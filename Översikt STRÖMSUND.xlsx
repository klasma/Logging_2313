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9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71219-2021</t>
        </is>
      </c>
      <c r="B2" t="inlineStr">
        <is>
          <t>avverkningsanmälan</t>
        </is>
      </c>
      <c r="C2" t="inlineStr">
        <is>
          <t>Föryngringsavverkning</t>
        </is>
      </c>
      <c r="D2" s="1" t="n">
        <v>44538</v>
      </c>
      <c r="E2" s="1" t="n">
        <v>46318</v>
      </c>
      <c r="F2" t="inlineStr">
        <is>
          <t>JÄMTLANDS LÄN</t>
        </is>
      </c>
      <c r="G2" t="inlineStr">
        <is>
          <t>STRÖMSUND</t>
        </is>
      </c>
      <c r="H2" t="inlineStr">
        <is>
          <t>SCA</t>
        </is>
      </c>
      <c r="I2" t="n">
        <v>95.3</v>
      </c>
      <c r="J2" t="n">
        <v>3</v>
      </c>
      <c r="K2" t="n">
        <v>11</v>
      </c>
      <c r="L2" t="n">
        <v>15</v>
      </c>
      <c r="M2" t="n">
        <v>12</v>
      </c>
      <c r="N2" t="n">
        <v>3</v>
      </c>
      <c r="O2" t="n">
        <v>2</v>
      </c>
      <c r="P2" t="n">
        <v>0</v>
      </c>
      <c r="Q2" t="n">
        <v>35</v>
      </c>
      <c r="R2" t="n">
        <v>17</v>
      </c>
      <c r="S2" t="n">
        <v>48</v>
      </c>
      <c r="T2" t="n">
        <v>144</v>
      </c>
      <c r="U2" t="n">
        <v>123</v>
      </c>
      <c r="V2" s="2" t="inlineStr">
        <is>
          <t>Lunglavshårprick
Ros-skivlav
Njurlavsknapp
Skrovellavsknapp
Trådbrosklav
Amerikansk sönderfallslav
Borsttagging
Cliostomum piceicola
Garnlav
Grantickeporing
Gränsticka
Liten sotlav
Lunglavsknapp
Norsk näverlav
Skuggkraterlav
Smalskaftslav
Tvådoftspindling
Brun svartspik
Brunpudrad nållav
Doftskinn
Grynig filtlav
Harticka
Kavernularia
Lavskrika
Liten svartspik
Lunglav
Nordlig nållav
Rödbrun blekspik
Skrovellav
Tretåig hackspett
Vedtrappmossa
Vitgrynig nållav
Grynig kolvlav
Roselliniella nephromatis
Tremella nephromatis
Barkkornlav
Bårdlav
Gytterlav
Korallblylav
Kornig nållav
Kransrams
Rostfläck
Sotlav
Strutbräken
Stuplav
Trådticka
Hässlebrodd
Skogsrör</t>
        </is>
      </c>
      <c r="W2">
        <f>HYPERLINK("https://klasma.github.io/Logging_2313/artfynd/A 71219-2021 artfynd.xlsx", "A 71219-2021")</f>
        <v/>
      </c>
      <c r="X2">
        <f>HYPERLINK("https://klasma.github.io/Logging_2313/kartor/A 71219-2021 karta.png", "A 71219-2021")</f>
        <v/>
      </c>
      <c r="Y2">
        <f>HYPERLINK("https://klasma.github.io/Logging_2313/kartor_geotiff/A 71219-2021 georefererad karta.tif", "A 71219-2021")</f>
        <v/>
      </c>
      <c r="AA2">
        <f>HYPERLINK("https://klasma.github.io/Logging_2313/klagomål/A 71219-2021 FSC-klagomål.docx", "A 71219-2021")</f>
        <v/>
      </c>
      <c r="AB2">
        <f>HYPERLINK("https://klasma.github.io/Logging_2313/klagomålsmail/A 71219-2021 FSC-klagomål mail.docx", "A 71219-2021")</f>
        <v/>
      </c>
      <c r="AC2">
        <f>HYPERLINK("https://klasma.github.io/Logging_2313/tillsyn/A 71219-2021 tillsynsbegäran.docx", "A 71219-2021")</f>
        <v/>
      </c>
      <c r="AD2">
        <f>HYPERLINK("https://klasma.github.io/Logging_2313/tillsynsmail/A 71219-2021 tillsynsbegäran mail.docx", "A 71219-2021")</f>
        <v/>
      </c>
      <c r="AE2">
        <f>HYPERLINK("https://klasma.github.io/Logging_2313/fåglar/A 71219-2021 prioriterade fågelarter.docx", "A 71219-2021")</f>
        <v/>
      </c>
    </row>
    <row r="3" ht="15" customHeight="1">
      <c r="A3" t="inlineStr">
        <is>
          <t>A 60753-2023</t>
        </is>
      </c>
      <c r="B3" t="inlineStr">
        <is>
          <t>avverkningsanmälan</t>
        </is>
      </c>
      <c r="C3" t="inlineStr">
        <is>
          <t>Föryngringsavverkning</t>
        </is>
      </c>
      <c r="D3" s="1" t="n">
        <v>45259</v>
      </c>
      <c r="E3" s="1" t="n">
        <v>46318</v>
      </c>
      <c r="F3" t="inlineStr">
        <is>
          <t>JÄMTLANDS LÄN</t>
        </is>
      </c>
      <c r="G3" t="inlineStr">
        <is>
          <t>STRÖMSUND</t>
        </is>
      </c>
      <c r="I3" t="n">
        <v>41.2</v>
      </c>
      <c r="J3" t="n">
        <v>8</v>
      </c>
      <c r="K3" t="n">
        <v>13</v>
      </c>
      <c r="L3" t="n">
        <v>13</v>
      </c>
      <c r="M3" t="n">
        <v>10</v>
      </c>
      <c r="N3" t="n">
        <v>0</v>
      </c>
      <c r="O3" t="n">
        <v>0</v>
      </c>
      <c r="P3" t="n">
        <v>0</v>
      </c>
      <c r="Q3" t="n">
        <v>23</v>
      </c>
      <c r="R3" t="n">
        <v>10</v>
      </c>
      <c r="S3" t="n">
        <v>40</v>
      </c>
      <c r="T3" t="n">
        <v>339</v>
      </c>
      <c r="U3" t="n">
        <v>304</v>
      </c>
      <c r="V3" s="2" t="inlineStr">
        <is>
          <t>Blackticka
Doftticka
Garnlav
Knärot
Lappticka
Liten aspgelélav
Norsk näverlav
Skeletocutis delicata
Smalskaftslav
Ulltickeporing
Doftskinn
Harticka
Kötticka
Lunglav
Rosenticka
Rynkskinn
Skrovellav
Stiftgelélav
Stjärntagging
Talltita
Tretåig hackspett
Ullticka
Vedtrappmossa
Bårdlav
Korallblylav
Kransrams
Luddlav
Rödgul trumpetsvamp
Skinnlav
Stor aspticka
Stuplav
Svavelriska
Tibast
Trådticka
Underviol
Vedticka
Järpe
Spillkråka
Tjäder
Revlummer</t>
        </is>
      </c>
      <c r="W3">
        <f>HYPERLINK("https://klasma.github.io/Logging_2313/artfynd/A 60753-2023 artfynd.xlsx", "A 60753-2023")</f>
        <v/>
      </c>
      <c r="X3">
        <f>HYPERLINK("https://klasma.github.io/Logging_2313/kartor/A 60753-2023 karta.png", "A 60753-2023")</f>
        <v/>
      </c>
      <c r="Y3">
        <f>HYPERLINK("https://klasma.github.io/Logging_2313/kartor_geotiff/A 60753-2023 georefererad karta.tif", "A 60753-2023")</f>
        <v/>
      </c>
      <c r="Z3">
        <f>HYPERLINK("https://klasma.github.io/Logging_2313/knärot/A 60753-2023 karta knärot.png", "A 60753-2023")</f>
        <v/>
      </c>
      <c r="AA3">
        <f>HYPERLINK("https://klasma.github.io/Logging_2313/klagomål/A 60753-2023 FSC-klagomål.docx", "A 60753-2023")</f>
        <v/>
      </c>
      <c r="AB3">
        <f>HYPERLINK("https://klasma.github.io/Logging_2313/klagomålsmail/A 60753-2023 FSC-klagomål mail.docx", "A 60753-2023")</f>
        <v/>
      </c>
      <c r="AC3">
        <f>HYPERLINK("https://klasma.github.io/Logging_2313/tillsyn/A 60753-2023 tillsynsbegäran.docx", "A 60753-2023")</f>
        <v/>
      </c>
      <c r="AD3">
        <f>HYPERLINK("https://klasma.github.io/Logging_2313/tillsynsmail/A 60753-2023 tillsynsbegäran mail.docx", "A 60753-2023")</f>
        <v/>
      </c>
      <c r="AE3">
        <f>HYPERLINK("https://klasma.github.io/Logging_2313/fåglar/A 60753-2023 prioriterade fågelarter.docx", "A 60753-2023")</f>
        <v/>
      </c>
    </row>
    <row r="4" ht="15" customHeight="1">
      <c r="A4" t="inlineStr">
        <is>
          <t>A 15237-2022</t>
        </is>
      </c>
      <c r="B4" t="inlineStr">
        <is>
          <t>avverkningsanmälan</t>
        </is>
      </c>
      <c r="C4" t="inlineStr">
        <is>
          <t>Föryngringsavverkning</t>
        </is>
      </c>
      <c r="D4" s="1" t="n">
        <v>44658</v>
      </c>
      <c r="E4" s="1" t="n">
        <v>46318</v>
      </c>
      <c r="F4" t="inlineStr">
        <is>
          <t>JÄMTLANDS LÄN</t>
        </is>
      </c>
      <c r="G4" t="inlineStr">
        <is>
          <t>STRÖMSUND</t>
        </is>
      </c>
      <c r="H4" t="inlineStr">
        <is>
          <t>SCA</t>
        </is>
      </c>
      <c r="I4" t="n">
        <v>16.6</v>
      </c>
      <c r="J4" t="n">
        <v>5</v>
      </c>
      <c r="K4" t="n">
        <v>16</v>
      </c>
      <c r="L4" t="n">
        <v>12</v>
      </c>
      <c r="M4" t="n">
        <v>9</v>
      </c>
      <c r="N4" t="n">
        <v>0</v>
      </c>
      <c r="O4" t="n">
        <v>0</v>
      </c>
      <c r="P4" t="n">
        <v>0</v>
      </c>
      <c r="Q4" t="n">
        <v>21</v>
      </c>
      <c r="R4" t="n">
        <v>9</v>
      </c>
      <c r="S4" t="n">
        <v>38</v>
      </c>
      <c r="T4" t="n">
        <v>152</v>
      </c>
      <c r="U4" t="n">
        <v>152</v>
      </c>
      <c r="V4" s="2" t="inlineStr">
        <is>
          <t>Blackticka
Garnlav
Gränsticka
Kilporing
Lappticka
Mjölig dropplav
Norsk näverlav
Rödskaftad svartspik
Skuggnål
Harticka
Kavernularia
Luddfingersvamp
Lunglav
Rosenticka
Rynkskinn
Rödvingetrast
Skrovellav
Talltita
Ullticka
Vitgrynig nållav
Vitterspindling
Barkkornlav
Brun granbastborre
Granriska
Grönkulla
Gytterlav
Kransrams
Luddlav
Rostfläck
Skogshakmossa
Spindelblomster
Stuplav
Svart trolldruva
Trådticka
Vedticka
Vågbandad barkbock
Ögonpyrola
Spillkråka</t>
        </is>
      </c>
      <c r="W4">
        <f>HYPERLINK("https://klasma.github.io/Logging_2313/artfynd/A 15237-2022 artfynd.xlsx", "A 15237-2022")</f>
        <v/>
      </c>
      <c r="X4">
        <f>HYPERLINK("https://klasma.github.io/Logging_2313/kartor/A 15237-2022 karta.png", "A 15237-2022")</f>
        <v/>
      </c>
      <c r="Y4">
        <f>HYPERLINK("https://klasma.github.io/Logging_2313/kartor_geotiff/A 15237-2022 georefererad karta.tif", "A 15237-2022")</f>
        <v/>
      </c>
      <c r="AA4">
        <f>HYPERLINK("https://klasma.github.io/Logging_2313/klagomål/A 15237-2022 FSC-klagomål.docx", "A 15237-2022")</f>
        <v/>
      </c>
      <c r="AB4">
        <f>HYPERLINK("https://klasma.github.io/Logging_2313/klagomålsmail/A 15237-2022 FSC-klagomål mail.docx", "A 15237-2022")</f>
        <v/>
      </c>
      <c r="AC4">
        <f>HYPERLINK("https://klasma.github.io/Logging_2313/tillsyn/A 15237-2022 tillsynsbegäran.docx", "A 15237-2022")</f>
        <v/>
      </c>
      <c r="AD4">
        <f>HYPERLINK("https://klasma.github.io/Logging_2313/tillsynsmail/A 15237-2022 tillsynsbegäran mail.docx", "A 15237-2022")</f>
        <v/>
      </c>
      <c r="AE4">
        <f>HYPERLINK("https://klasma.github.io/Logging_2313/fåglar/A 15237-2022 prioriterade fågelarter.docx", "A 15237-2022")</f>
        <v/>
      </c>
    </row>
    <row r="5" ht="15" customHeight="1">
      <c r="A5" t="inlineStr">
        <is>
          <t>A 47636-2022</t>
        </is>
      </c>
      <c r="B5" t="inlineStr">
        <is>
          <t>avverkningsanmälan</t>
        </is>
      </c>
      <c r="C5" t="inlineStr">
        <is>
          <t>Föryngringsavverkning</t>
        </is>
      </c>
      <c r="D5" s="1" t="n">
        <v>44854</v>
      </c>
      <c r="E5" s="1" t="n">
        <v>46318</v>
      </c>
      <c r="F5" t="inlineStr">
        <is>
          <t>JÄMTLANDS LÄN</t>
        </is>
      </c>
      <c r="G5" t="inlineStr">
        <is>
          <t>STRÖMSUND</t>
        </is>
      </c>
      <c r="H5" t="inlineStr">
        <is>
          <t>Holmen skog AB</t>
        </is>
      </c>
      <c r="I5" t="n">
        <v>18.7</v>
      </c>
      <c r="J5" t="n">
        <v>8</v>
      </c>
      <c r="K5" t="n">
        <v>17</v>
      </c>
      <c r="L5" t="n">
        <v>9</v>
      </c>
      <c r="M5" t="n">
        <v>4</v>
      </c>
      <c r="N5" t="n">
        <v>0</v>
      </c>
      <c r="O5" t="n">
        <v>0</v>
      </c>
      <c r="P5" t="n">
        <v>0</v>
      </c>
      <c r="Q5" t="n">
        <v>13</v>
      </c>
      <c r="R5" t="n">
        <v>4</v>
      </c>
      <c r="S5" t="n">
        <v>38</v>
      </c>
      <c r="T5" t="n">
        <v>117</v>
      </c>
      <c r="U5" t="n">
        <v>117</v>
      </c>
      <c r="V5" s="2" t="inlineStr">
        <is>
          <t>Garnlav
Gränsticka
Knärot
Norsk näverlav
Flattoppad klubbsvamp
Gammelgransskål
Harticka
Rostania effusa
Rostania pallida
Rödbrun blekspik
Skrovellav
Stjärntagging
Vitgrynig nållav
Bårdlav
Grönkulla
Guldkremla
Gulnål
Gytterlav
Korallrot
Kransrams
Källmossa
Källmossor
Luddlav
Mörk husmossa
Spindelblomster
Stuplav
Svavelriska
Tvåblad
Vedticka
Ögonpyrola
Kransmossa
Kärrfibbla
Lundarv
Nordisk stormhatt
Torta
Skogsrör
Fläcknycklar
Käppkrokmossa</t>
        </is>
      </c>
      <c r="W5">
        <f>HYPERLINK("https://klasma.github.io/Logging_2313/artfynd/A 47636-2022 artfynd.xlsx", "A 47636-2022")</f>
        <v/>
      </c>
      <c r="X5">
        <f>HYPERLINK("https://klasma.github.io/Logging_2313/kartor/A 47636-2022 karta.png", "A 47636-2022")</f>
        <v/>
      </c>
      <c r="Y5">
        <f>HYPERLINK("https://klasma.github.io/Logging_2313/kartor_geotiff/A 47636-2022 georefererad karta.tif", "A 47636-2022")</f>
        <v/>
      </c>
      <c r="Z5">
        <f>HYPERLINK("https://klasma.github.io/Logging_2313/knärot/A 47636-2022 karta knärot.png", "A 47636-2022")</f>
        <v/>
      </c>
      <c r="AA5">
        <f>HYPERLINK("https://klasma.github.io/Logging_2313/klagomål/A 47636-2022 FSC-klagomål.docx", "A 47636-2022")</f>
        <v/>
      </c>
      <c r="AB5">
        <f>HYPERLINK("https://klasma.github.io/Logging_2313/klagomålsmail/A 47636-2022 FSC-klagomål mail.docx", "A 47636-2022")</f>
        <v/>
      </c>
      <c r="AC5">
        <f>HYPERLINK("https://klasma.github.io/Logging_2313/tillsyn/A 47636-2022 tillsynsbegäran.docx", "A 47636-2022")</f>
        <v/>
      </c>
      <c r="AD5">
        <f>HYPERLINK("https://klasma.github.io/Logging_2313/tillsynsmail/A 47636-2022 tillsynsbegäran mail.docx", "A 47636-2022")</f>
        <v/>
      </c>
    </row>
    <row r="6" ht="15" customHeight="1">
      <c r="A6" t="inlineStr">
        <is>
          <t>A 71914-2021</t>
        </is>
      </c>
      <c r="B6" t="inlineStr">
        <is>
          <t>avverkningsanmälan</t>
        </is>
      </c>
      <c r="C6" t="inlineStr">
        <is>
          <t>Föryngringsavverkning</t>
        </is>
      </c>
      <c r="D6" s="1" t="n">
        <v>44543</v>
      </c>
      <c r="E6" s="1" t="n">
        <v>46318</v>
      </c>
      <c r="F6" t="inlineStr">
        <is>
          <t>JÄMTLANDS LÄN</t>
        </is>
      </c>
      <c r="G6" t="inlineStr">
        <is>
          <t>STRÖMSUND</t>
        </is>
      </c>
      <c r="I6" t="n">
        <v>30</v>
      </c>
      <c r="J6" t="n">
        <v>7</v>
      </c>
      <c r="K6" t="n">
        <v>13</v>
      </c>
      <c r="L6" t="n">
        <v>13</v>
      </c>
      <c r="M6" t="n">
        <v>3</v>
      </c>
      <c r="N6" t="n">
        <v>0</v>
      </c>
      <c r="O6" t="n">
        <v>0</v>
      </c>
      <c r="P6" t="n">
        <v>0</v>
      </c>
      <c r="Q6" t="n">
        <v>16</v>
      </c>
      <c r="R6" t="n">
        <v>3</v>
      </c>
      <c r="S6" t="n">
        <v>30</v>
      </c>
      <c r="T6" t="n">
        <v>156</v>
      </c>
      <c r="U6" t="n">
        <v>156</v>
      </c>
      <c r="V6" s="2" t="inlineStr">
        <is>
          <t>Garnlav
Knärot
Vitskaftad svartspik
Blanksvart spiklav
Blågrå svartspik
Doftskinn
Flattoppad klubbsvamp
Gammelgransskål
Harticka
Lunglav
Skrovellav
Talltita
Tretåig hackspett
Ullticka
Vedskivlav
Vitgrynig nållav
Blodticka
Bårdlav
Dvärgtufs
Kransrams
Luddlav
Plattlummer
Skinnlav
Spindelblomster
Stuplav
Svavelriska
Tvåblad
Vågbandad barkbock
Ögonpyrola
Brudsporre</t>
        </is>
      </c>
      <c r="W6">
        <f>HYPERLINK("https://klasma.github.io/Logging_2313/artfynd/A 71914-2021 artfynd.xlsx", "A 71914-2021")</f>
        <v/>
      </c>
      <c r="X6">
        <f>HYPERLINK("https://klasma.github.io/Logging_2313/kartor/A 71914-2021 karta.png", "A 71914-2021")</f>
        <v/>
      </c>
      <c r="Y6">
        <f>HYPERLINK("https://klasma.github.io/Logging_2313/kartor_geotiff/A 71914-2021 georefererad karta.tif", "A 71914-2021")</f>
        <v/>
      </c>
      <c r="Z6">
        <f>HYPERLINK("https://klasma.github.io/Logging_2313/knärot/A 71914-2021 karta knärot.png", "A 71914-2021")</f>
        <v/>
      </c>
      <c r="AA6">
        <f>HYPERLINK("https://klasma.github.io/Logging_2313/klagomål/A 71914-2021 FSC-klagomål.docx", "A 71914-2021")</f>
        <v/>
      </c>
      <c r="AB6">
        <f>HYPERLINK("https://klasma.github.io/Logging_2313/klagomålsmail/A 71914-2021 FSC-klagomål mail.docx", "A 71914-2021")</f>
        <v/>
      </c>
      <c r="AC6">
        <f>HYPERLINK("https://klasma.github.io/Logging_2313/tillsyn/A 71914-2021 tillsynsbegäran.docx", "A 71914-2021")</f>
        <v/>
      </c>
      <c r="AD6">
        <f>HYPERLINK("https://klasma.github.io/Logging_2313/tillsynsmail/A 71914-2021 tillsynsbegäran mail.docx", "A 71914-2021")</f>
        <v/>
      </c>
      <c r="AE6">
        <f>HYPERLINK("https://klasma.github.io/Logging_2313/fåglar/A 71914-2021 prioriterade fågelarter.docx", "A 71914-2021")</f>
        <v/>
      </c>
    </row>
    <row r="7" ht="15" customHeight="1">
      <c r="A7" t="inlineStr">
        <is>
          <t>A 2751-2025</t>
        </is>
      </c>
      <c r="B7" t="inlineStr">
        <is>
          <t>avverkningsanmälan</t>
        </is>
      </c>
      <c r="C7" t="inlineStr">
        <is>
          <t>Föryngringsavverkning</t>
        </is>
      </c>
      <c r="D7" s="1" t="n">
        <v>45674</v>
      </c>
      <c r="E7" s="1" t="n">
        <v>46318</v>
      </c>
      <c r="F7" t="inlineStr">
        <is>
          <t>JÄMTLANDS LÄN</t>
        </is>
      </c>
      <c r="G7" t="inlineStr">
        <is>
          <t>STRÖMSUND</t>
        </is>
      </c>
      <c r="I7" t="n">
        <v>11.7</v>
      </c>
      <c r="J7" t="n">
        <v>8</v>
      </c>
      <c r="K7" t="n">
        <v>10</v>
      </c>
      <c r="L7" t="n">
        <v>9</v>
      </c>
      <c r="M7" t="n">
        <v>2</v>
      </c>
      <c r="N7" t="n">
        <v>0</v>
      </c>
      <c r="O7" t="n">
        <v>0</v>
      </c>
      <c r="P7" t="n">
        <v>0</v>
      </c>
      <c r="Q7" t="n">
        <v>11</v>
      </c>
      <c r="R7" t="n">
        <v>2</v>
      </c>
      <c r="S7" t="n">
        <v>26</v>
      </c>
      <c r="T7" t="n">
        <v>93</v>
      </c>
      <c r="U7" t="n">
        <v>76</v>
      </c>
      <c r="V7" s="2" t="inlineStr">
        <is>
          <t>Blackticka
Garnlav
Fjällig taggsvamp s.str.
Harticka
Lunglav
Rynkskinn
Skrovellav
Talltita
Tretåig hackspett
Ullticka
Vitgrynig nållav
Diskvaxskivling
Droppklibbskivling
Finbräken
Kransrams
Luddlav
Stuplav
Svavelriska
Tibast
Trådticka
Tvåblad
Blåsippa
Järpe
Spillkråka
Kungsfågel
Revlummer</t>
        </is>
      </c>
      <c r="W7">
        <f>HYPERLINK("https://klasma.github.io/Logging_2313/artfynd/A 2751-2025 artfynd.xlsx", "A 2751-2025")</f>
        <v/>
      </c>
      <c r="X7">
        <f>HYPERLINK("https://klasma.github.io/Logging_2313/kartor/A 2751-2025 karta.png", "A 2751-2025")</f>
        <v/>
      </c>
      <c r="Y7">
        <f>HYPERLINK("https://klasma.github.io/Logging_2313/kartor_geotiff/A 2751-2025 georefererad karta.tif", "A 2751-2025")</f>
        <v/>
      </c>
      <c r="AA7">
        <f>HYPERLINK("https://klasma.github.io/Logging_2313/klagomål/A 2751-2025 FSC-klagomål.docx", "A 2751-2025")</f>
        <v/>
      </c>
      <c r="AB7">
        <f>HYPERLINK("https://klasma.github.io/Logging_2313/klagomålsmail/A 2751-2025 FSC-klagomål mail.docx", "A 2751-2025")</f>
        <v/>
      </c>
      <c r="AC7">
        <f>HYPERLINK("https://klasma.github.io/Logging_2313/tillsyn/A 2751-2025 tillsynsbegäran.docx", "A 2751-2025")</f>
        <v/>
      </c>
      <c r="AD7">
        <f>HYPERLINK("https://klasma.github.io/Logging_2313/tillsynsmail/A 2751-2025 tillsynsbegäran mail.docx", "A 2751-2025")</f>
        <v/>
      </c>
      <c r="AE7">
        <f>HYPERLINK("https://klasma.github.io/Logging_2313/fåglar/A 2751-2025 prioriterade fågelarter.docx", "A 2751-2025")</f>
        <v/>
      </c>
    </row>
    <row r="8" ht="15" customHeight="1">
      <c r="A8" t="inlineStr">
        <is>
          <t>A 29945-2022</t>
        </is>
      </c>
      <c r="B8" t="inlineStr">
        <is>
          <t>avverkningsanmälan</t>
        </is>
      </c>
      <c r="C8" t="inlineStr">
        <is>
          <t>Föryngringsavverkning</t>
        </is>
      </c>
      <c r="D8" s="1" t="n">
        <v>44756</v>
      </c>
      <c r="E8" s="1" t="n">
        <v>46318</v>
      </c>
      <c r="F8" t="inlineStr">
        <is>
          <t>JÄMTLANDS LÄN</t>
        </is>
      </c>
      <c r="G8" t="inlineStr">
        <is>
          <t>STRÖMSUND</t>
        </is>
      </c>
      <c r="H8" t="inlineStr">
        <is>
          <t>Holmen skog AB</t>
        </is>
      </c>
      <c r="I8" t="n">
        <v>14.5</v>
      </c>
      <c r="J8" t="n">
        <v>0</v>
      </c>
      <c r="K8" t="n">
        <v>11</v>
      </c>
      <c r="L8" t="n">
        <v>11</v>
      </c>
      <c r="M8" t="n">
        <v>3</v>
      </c>
      <c r="N8" t="n">
        <v>0</v>
      </c>
      <c r="O8" t="n">
        <v>0</v>
      </c>
      <c r="P8" t="n">
        <v>0</v>
      </c>
      <c r="Q8" t="n">
        <v>14</v>
      </c>
      <c r="R8" t="n">
        <v>3</v>
      </c>
      <c r="S8" t="n">
        <v>26</v>
      </c>
      <c r="T8" t="n">
        <v>95</v>
      </c>
      <c r="U8" t="n">
        <v>95</v>
      </c>
      <c r="V8" s="2" t="inlineStr">
        <is>
          <t>Garnlav
Gränsticka
Norsk näverlav
Brunpudrad nållav
Doftskinn
Gammelgransskål
Lunglav
Rosenticka
Rödbrun blekspik
Skrovellav
Stjärntagging
Ullticka
Vedtrappmossa
Vitgrynig nållav
Barkkornlav
Bårdlav
Gulnål
Korallblylav
Luddlav
Mörk husmossa
Skogshakmossa
Stuplav
Svavelriska
Trådticka
Vedticka
Kärrfibbla</t>
        </is>
      </c>
      <c r="W8">
        <f>HYPERLINK("https://klasma.github.io/Logging_2313/artfynd/A 29945-2022 artfynd.xlsx", "A 29945-2022")</f>
        <v/>
      </c>
      <c r="X8">
        <f>HYPERLINK("https://klasma.github.io/Logging_2313/kartor/A 29945-2022 karta.png", "A 29945-2022")</f>
        <v/>
      </c>
      <c r="Y8">
        <f>HYPERLINK("https://klasma.github.io/Logging_2313/kartor_geotiff/A 29945-2022 georefererad karta.tif", "A 29945-2022")</f>
        <v/>
      </c>
      <c r="AA8">
        <f>HYPERLINK("https://klasma.github.io/Logging_2313/klagomål/A 29945-2022 FSC-klagomål.docx", "A 29945-2022")</f>
        <v/>
      </c>
      <c r="AB8">
        <f>HYPERLINK("https://klasma.github.io/Logging_2313/klagomålsmail/A 29945-2022 FSC-klagomål mail.docx", "A 29945-2022")</f>
        <v/>
      </c>
      <c r="AC8">
        <f>HYPERLINK("https://klasma.github.io/Logging_2313/tillsyn/A 29945-2022 tillsynsbegäran.docx", "A 29945-2022")</f>
        <v/>
      </c>
      <c r="AD8">
        <f>HYPERLINK("https://klasma.github.io/Logging_2313/tillsynsmail/A 29945-2022 tillsynsbegäran mail.docx", "A 29945-2022")</f>
        <v/>
      </c>
    </row>
    <row r="9" ht="15" customHeight="1">
      <c r="A9" t="inlineStr">
        <is>
          <t>A 58174-2022</t>
        </is>
      </c>
      <c r="B9" t="inlineStr">
        <is>
          <t>avverkningsanmälan</t>
        </is>
      </c>
      <c r="C9" t="inlineStr">
        <is>
          <t>Avverkning för annat ändamål</t>
        </is>
      </c>
      <c r="D9" s="1" t="n">
        <v>44900</v>
      </c>
      <c r="E9" s="1" t="n">
        <v>46318</v>
      </c>
      <c r="F9" t="inlineStr">
        <is>
          <t>JÄMTLANDS LÄN</t>
        </is>
      </c>
      <c r="G9" t="inlineStr">
        <is>
          <t>STRÖMSUND</t>
        </is>
      </c>
      <c r="I9" t="n">
        <v>0.3</v>
      </c>
      <c r="J9" t="n">
        <v>22</v>
      </c>
      <c r="K9" t="n">
        <v>0</v>
      </c>
      <c r="L9" t="n">
        <v>10</v>
      </c>
      <c r="M9" t="n">
        <v>2</v>
      </c>
      <c r="N9" t="n">
        <v>0</v>
      </c>
      <c r="O9" t="n">
        <v>0</v>
      </c>
      <c r="P9" t="n">
        <v>0</v>
      </c>
      <c r="Q9" t="n">
        <v>12</v>
      </c>
      <c r="R9" t="n">
        <v>2</v>
      </c>
      <c r="S9" t="n">
        <v>26</v>
      </c>
      <c r="T9" t="n">
        <v>52</v>
      </c>
      <c r="U9" t="n">
        <v>52</v>
      </c>
      <c r="V9" s="2" t="inlineStr">
        <is>
          <t>Grönfink
Silverblåvinge
Björktrast
Drillsnäppa
Lavskrika
Nötkråka
Rödvingetrast
Skogshare
Sädesärla
Talltita
Tretåig hackspett
Vitfläckig guldvinge
Brudborste
Järpe
Spillkråka
Tallbit
Tjäder
Fiskgjuse
Grönsiska
Kråka
Kungsfågel
Orre
Svartvit flugsnappare
Trana
Ärtsångare
Vanlig groda</t>
        </is>
      </c>
      <c r="W9">
        <f>HYPERLINK("https://klasma.github.io/Logging_2313/artfynd/A 58174-2022 artfynd.xlsx", "A 58174-2022")</f>
        <v/>
      </c>
      <c r="X9">
        <f>HYPERLINK("https://klasma.github.io/Logging_2313/kartor/A 58174-2022 karta.png", "A 58174-2022")</f>
        <v/>
      </c>
      <c r="Y9">
        <f>HYPERLINK("https://klasma.github.io/Logging_2313/kartor_geotiff/A 58174-2022 georefererad karta.tif", "A 58174-2022")</f>
        <v/>
      </c>
      <c r="AA9">
        <f>HYPERLINK("https://klasma.github.io/Logging_2313/klagomål/A 58174-2022 FSC-klagomål.docx", "A 58174-2022")</f>
        <v/>
      </c>
      <c r="AB9">
        <f>HYPERLINK("https://klasma.github.io/Logging_2313/klagomålsmail/A 58174-2022 FSC-klagomål mail.docx", "A 58174-2022")</f>
        <v/>
      </c>
      <c r="AC9">
        <f>HYPERLINK("https://klasma.github.io/Logging_2313/tillsyn/A 58174-2022 tillsynsbegäran.docx", "A 58174-2022")</f>
        <v/>
      </c>
      <c r="AD9">
        <f>HYPERLINK("https://klasma.github.io/Logging_2313/tillsynsmail/A 58174-2022 tillsynsbegäran mail.docx", "A 58174-2022")</f>
        <v/>
      </c>
      <c r="AE9">
        <f>HYPERLINK("https://klasma.github.io/Logging_2313/fåglar/A 58174-2022 prioriterade fågelarter.docx", "A 58174-2022")</f>
        <v/>
      </c>
    </row>
    <row r="10" ht="15" customHeight="1">
      <c r="A10" t="inlineStr">
        <is>
          <t>A 34775-2023</t>
        </is>
      </c>
      <c r="B10" t="inlineStr">
        <is>
          <t>avverkningsanmälan</t>
        </is>
      </c>
      <c r="C10" t="inlineStr">
        <is>
          <t>Föryngringsavverkning</t>
        </is>
      </c>
      <c r="D10" s="1" t="n">
        <v>45140</v>
      </c>
      <c r="E10" s="1" t="n">
        <v>46318</v>
      </c>
      <c r="F10" t="inlineStr">
        <is>
          <t>JÄMTLANDS LÄN</t>
        </is>
      </c>
      <c r="G10" t="inlineStr">
        <is>
          <t>STRÖMSUND</t>
        </is>
      </c>
      <c r="I10" t="n">
        <v>9.199999999999999</v>
      </c>
      <c r="J10" t="n">
        <v>9</v>
      </c>
      <c r="K10" t="n">
        <v>7</v>
      </c>
      <c r="L10" t="n">
        <v>11</v>
      </c>
      <c r="M10" t="n">
        <v>5</v>
      </c>
      <c r="N10" t="n">
        <v>0</v>
      </c>
      <c r="O10" t="n">
        <v>0</v>
      </c>
      <c r="P10" t="n">
        <v>0</v>
      </c>
      <c r="Q10" t="n">
        <v>16</v>
      </c>
      <c r="R10" t="n">
        <v>5</v>
      </c>
      <c r="S10" t="n">
        <v>26</v>
      </c>
      <c r="T10" t="n">
        <v>86</v>
      </c>
      <c r="U10" t="n">
        <v>83</v>
      </c>
      <c r="V10" s="2" t="inlineStr">
        <is>
          <t>Blackticka
Gränsticka
Kilporing
Knärot
Kopparspindling
Gröntagging
Lavskrika
Lunglav
Persiljespindling
Phellodon dititomentosus
Puderspindling
Skogsfru
Sotvaxskivling
Tretåig hackspett
Ullticka
Äggvaxskivling
Bårdlav
Korallrot
Kransrams
Spindelblomster
Stor aspticka
Strimspindling
Vedticka
Järpe
Spillkråka
Fläcknycklar</t>
        </is>
      </c>
      <c r="W10">
        <f>HYPERLINK("https://klasma.github.io/Logging_2313/artfynd/A 34775-2023 artfynd.xlsx", "A 34775-2023")</f>
        <v/>
      </c>
      <c r="X10">
        <f>HYPERLINK("https://klasma.github.io/Logging_2313/kartor/A 34775-2023 karta.png", "A 34775-2023")</f>
        <v/>
      </c>
      <c r="Y10">
        <f>HYPERLINK("https://klasma.github.io/Logging_2313/kartor_geotiff/A 34775-2023 georefererad karta.tif", "A 34775-2023")</f>
        <v/>
      </c>
      <c r="Z10">
        <f>HYPERLINK("https://klasma.github.io/Logging_2313/knärot/A 34775-2023 karta knärot.png", "A 34775-2023")</f>
        <v/>
      </c>
      <c r="AA10">
        <f>HYPERLINK("https://klasma.github.io/Logging_2313/klagomål/A 34775-2023 FSC-klagomål.docx", "A 34775-2023")</f>
        <v/>
      </c>
      <c r="AB10">
        <f>HYPERLINK("https://klasma.github.io/Logging_2313/klagomålsmail/A 34775-2023 FSC-klagomål mail.docx", "A 34775-2023")</f>
        <v/>
      </c>
      <c r="AC10">
        <f>HYPERLINK("https://klasma.github.io/Logging_2313/tillsyn/A 34775-2023 tillsynsbegäran.docx", "A 34775-2023")</f>
        <v/>
      </c>
      <c r="AD10">
        <f>HYPERLINK("https://klasma.github.io/Logging_2313/tillsynsmail/A 34775-2023 tillsynsbegäran mail.docx", "A 34775-2023")</f>
        <v/>
      </c>
      <c r="AE10">
        <f>HYPERLINK("https://klasma.github.io/Logging_2313/fåglar/A 34775-2023 prioriterade fågelarter.docx", "A 34775-2023")</f>
        <v/>
      </c>
    </row>
    <row r="11" ht="15" customHeight="1">
      <c r="A11" t="inlineStr">
        <is>
          <t>A 536-2023</t>
        </is>
      </c>
      <c r="B11" t="inlineStr">
        <is>
          <t>avverkningsanmälan</t>
        </is>
      </c>
      <c r="C11" t="inlineStr">
        <is>
          <t>Föryngringsavverkning</t>
        </is>
      </c>
      <c r="D11" s="1" t="n">
        <v>44930</v>
      </c>
      <c r="E11" s="1" t="n">
        <v>46318</v>
      </c>
      <c r="F11" t="inlineStr">
        <is>
          <t>JÄMTLANDS LÄN</t>
        </is>
      </c>
      <c r="G11" t="inlineStr">
        <is>
          <t>STRÖMSUND</t>
        </is>
      </c>
      <c r="I11" t="n">
        <v>35.4</v>
      </c>
      <c r="J11" t="n">
        <v>0</v>
      </c>
      <c r="K11" t="n">
        <v>5</v>
      </c>
      <c r="L11" t="n">
        <v>7</v>
      </c>
      <c r="M11" t="n">
        <v>8</v>
      </c>
      <c r="N11" t="n">
        <v>2</v>
      </c>
      <c r="O11" t="n">
        <v>0</v>
      </c>
      <c r="P11" t="n">
        <v>0</v>
      </c>
      <c r="Q11" t="n">
        <v>20</v>
      </c>
      <c r="R11" t="n">
        <v>10</v>
      </c>
      <c r="S11" t="n">
        <v>25</v>
      </c>
      <c r="T11" t="n">
        <v>52</v>
      </c>
      <c r="U11" t="n">
        <v>52</v>
      </c>
      <c r="V11" s="2" t="inlineStr">
        <is>
          <t>Njurlavsknapp
Skrovellavsknapp
Abrothallus lobariae
Calycina lobariae
Liten sotlav
Läderlappslav
Norsk näverlav
Protounguicularia nephromatis
Skrovelmössing
Västlig njurlav
Barkporlav
Brunpudrad nållav
Grynig filtlav
Lunglav
Refractohilum galligenum
Rostania pallida
Skrovellav
Bacidina circumpulla
Merismatium lobariae
Roselliniella nephromatis
Bårdlav
Gytterlav
Luddlav
Rostfläck
Stuplav</t>
        </is>
      </c>
      <c r="W11">
        <f>HYPERLINK("https://klasma.github.io/Logging_2313/artfynd/A 536-2023 artfynd.xlsx", "A 536-2023")</f>
        <v/>
      </c>
      <c r="X11">
        <f>HYPERLINK("https://klasma.github.io/Logging_2313/kartor/A 536-2023 karta.png", "A 536-2023")</f>
        <v/>
      </c>
      <c r="Y11">
        <f>HYPERLINK("https://klasma.github.io/Logging_2313/kartor_geotiff/A 536-2023 georefererad karta.tif", "A 536-2023")</f>
        <v/>
      </c>
      <c r="AA11">
        <f>HYPERLINK("https://klasma.github.io/Logging_2313/klagomål/A 536-2023 FSC-klagomål.docx", "A 536-2023")</f>
        <v/>
      </c>
      <c r="AB11">
        <f>HYPERLINK("https://klasma.github.io/Logging_2313/klagomålsmail/A 536-2023 FSC-klagomål mail.docx", "A 536-2023")</f>
        <v/>
      </c>
      <c r="AC11">
        <f>HYPERLINK("https://klasma.github.io/Logging_2313/tillsyn/A 536-2023 tillsynsbegäran.docx", "A 536-2023")</f>
        <v/>
      </c>
      <c r="AD11">
        <f>HYPERLINK("https://klasma.github.io/Logging_2313/tillsynsmail/A 536-2023 tillsynsbegäran mail.docx", "A 536-2023")</f>
        <v/>
      </c>
    </row>
    <row r="12" ht="15" customHeight="1">
      <c r="A12" t="inlineStr">
        <is>
          <t>A 52753-2025</t>
        </is>
      </c>
      <c r="B12" t="inlineStr">
        <is>
          <t>avverkningsanmälan</t>
        </is>
      </c>
      <c r="C12" t="inlineStr">
        <is>
          <t>Föryngringsavverkning</t>
        </is>
      </c>
      <c r="D12" s="1" t="n">
        <v>45957</v>
      </c>
      <c r="E12" s="1" t="n">
        <v>46318</v>
      </c>
      <c r="F12" t="inlineStr">
        <is>
          <t>JÄMTLANDS LÄN</t>
        </is>
      </c>
      <c r="G12" t="inlineStr">
        <is>
          <t>STRÖMSUND</t>
        </is>
      </c>
      <c r="H12" t="inlineStr">
        <is>
          <t>Övriga statliga verk och myndigheter</t>
        </is>
      </c>
      <c r="I12" t="n">
        <v>18.3</v>
      </c>
      <c r="J12" t="n">
        <v>4</v>
      </c>
      <c r="K12" t="n">
        <v>5</v>
      </c>
      <c r="L12" t="n">
        <v>16</v>
      </c>
      <c r="M12" t="n">
        <v>3</v>
      </c>
      <c r="N12" t="n">
        <v>0</v>
      </c>
      <c r="O12" t="n">
        <v>0</v>
      </c>
      <c r="P12" t="n">
        <v>0</v>
      </c>
      <c r="Q12" t="n">
        <v>19</v>
      </c>
      <c r="R12" t="n">
        <v>3</v>
      </c>
      <c r="S12" t="n">
        <v>25</v>
      </c>
      <c r="T12" t="n">
        <v>166</v>
      </c>
      <c r="U12" t="n">
        <v>166</v>
      </c>
      <c r="V12" s="2" t="inlineStr">
        <is>
          <t>Garnlav
Liten blekspik
Skuggnål
Brunpudrad nållav
Gammelgransskål
Harticka
Kolflarnlav
Lavskrika
Liten svartspik
Lunglav
Rödbrun blekspik
Skrovellav
Stjärntagging
Talltagel
Talltita
Tretåig hackspett
Ullticka
Vedflamlav
Vitgrynig nållav
Barkkornlav
Norrlandslav
Rostfläck
Skinnlav
Trådticka
Spillkråka</t>
        </is>
      </c>
      <c r="W12">
        <f>HYPERLINK("https://klasma.github.io/Logging_2313/artfynd/A 52753-2025 artfynd.xlsx", "A 52753-2025")</f>
        <v/>
      </c>
      <c r="X12">
        <f>HYPERLINK("https://klasma.github.io/Logging_2313/kartor/A 52753-2025 karta.png", "A 52753-2025")</f>
        <v/>
      </c>
      <c r="Y12">
        <f>HYPERLINK("https://klasma.github.io/Logging_2313/kartor_geotiff/A 52753-2025 georefererad karta.tif", "A 52753-2025")</f>
        <v/>
      </c>
      <c r="AA12">
        <f>HYPERLINK("https://klasma.github.io/Logging_2313/klagomål/A 52753-2025 FSC-klagomål.docx", "A 52753-2025")</f>
        <v/>
      </c>
      <c r="AB12">
        <f>HYPERLINK("https://klasma.github.io/Logging_2313/klagomålsmail/A 52753-2025 FSC-klagomål mail.docx", "A 52753-2025")</f>
        <v/>
      </c>
      <c r="AC12">
        <f>HYPERLINK("https://klasma.github.io/Logging_2313/tillsyn/A 52753-2025 tillsynsbegäran.docx", "A 52753-2025")</f>
        <v/>
      </c>
      <c r="AD12">
        <f>HYPERLINK("https://klasma.github.io/Logging_2313/tillsynsmail/A 52753-2025 tillsynsbegäran mail.docx", "A 52753-2025")</f>
        <v/>
      </c>
      <c r="AE12">
        <f>HYPERLINK("https://klasma.github.io/Logging_2313/fåglar/A 52753-2025 prioriterade fågelarter.docx", "A 52753-2025")</f>
        <v/>
      </c>
    </row>
    <row r="13" ht="15" customHeight="1">
      <c r="A13" t="inlineStr">
        <is>
          <t>A 27999-2025</t>
        </is>
      </c>
      <c r="B13" t="inlineStr">
        <is>
          <t>avverkningsanmälan</t>
        </is>
      </c>
      <c r="C13" t="inlineStr">
        <is>
          <t>Föryngringsavverkning</t>
        </is>
      </c>
      <c r="D13" s="1" t="n">
        <v>45817</v>
      </c>
      <c r="E13" s="1" t="n">
        <v>46318</v>
      </c>
      <c r="F13" t="inlineStr">
        <is>
          <t>JÄMTLANDS LÄN</t>
        </is>
      </c>
      <c r="G13" t="inlineStr">
        <is>
          <t>STRÖMSUND</t>
        </is>
      </c>
      <c r="H13" t="inlineStr">
        <is>
          <t>SCA</t>
        </is>
      </c>
      <c r="I13" t="n">
        <v>7.5</v>
      </c>
      <c r="J13" t="n">
        <v>5</v>
      </c>
      <c r="K13" t="n">
        <v>2</v>
      </c>
      <c r="L13" t="n">
        <v>17</v>
      </c>
      <c r="M13" t="n">
        <v>5</v>
      </c>
      <c r="N13" t="n">
        <v>0</v>
      </c>
      <c r="O13" t="n">
        <v>0</v>
      </c>
      <c r="P13" t="n">
        <v>0</v>
      </c>
      <c r="Q13" t="n">
        <v>22</v>
      </c>
      <c r="R13" t="n">
        <v>5</v>
      </c>
      <c r="S13" t="n">
        <v>24</v>
      </c>
      <c r="T13" t="n">
        <v>105</v>
      </c>
      <c r="U13" t="n">
        <v>98</v>
      </c>
      <c r="V13" s="2" t="inlineStr">
        <is>
          <t>Garnlav
Gräddporing
Knärot
Skrovlig taggsvamp
Smalfotad taggsvamp
Blå taggsvamp
Dropptaggsvamp
Dvärgbägarlav
Kolflarnlav
Lavskrika
Motaggsvamp
Mörk kolflarnlav
Skarp dropptaggsvamp
Svartvit taggsvamp
Tallkötticka
Talltagel
Tallticka
Talltita
Tretåig hackspett
Ullticka
Vaddporing
Vedskivlav
Flagellkvastmossa
Plattlummer</t>
        </is>
      </c>
      <c r="W13">
        <f>HYPERLINK("https://klasma.github.io/Logging_2313/artfynd/A 27999-2025 artfynd.xlsx", "A 27999-2025")</f>
        <v/>
      </c>
      <c r="X13">
        <f>HYPERLINK("https://klasma.github.io/Logging_2313/kartor/A 27999-2025 karta.png", "A 27999-2025")</f>
        <v/>
      </c>
      <c r="Y13">
        <f>HYPERLINK("https://klasma.github.io/Logging_2313/kartor_geotiff/A 27999-2025 georefererad karta.tif", "A 27999-2025")</f>
        <v/>
      </c>
      <c r="Z13">
        <f>HYPERLINK("https://klasma.github.io/Logging_2313/knärot/A 27999-2025 karta knärot.png", "A 27999-2025")</f>
        <v/>
      </c>
      <c r="AA13">
        <f>HYPERLINK("https://klasma.github.io/Logging_2313/klagomål/A 27999-2025 FSC-klagomål.docx", "A 27999-2025")</f>
        <v/>
      </c>
      <c r="AB13">
        <f>HYPERLINK("https://klasma.github.io/Logging_2313/klagomålsmail/A 27999-2025 FSC-klagomål mail.docx", "A 27999-2025")</f>
        <v/>
      </c>
      <c r="AC13">
        <f>HYPERLINK("https://klasma.github.io/Logging_2313/tillsyn/A 27999-2025 tillsynsbegäran.docx", "A 27999-2025")</f>
        <v/>
      </c>
      <c r="AD13">
        <f>HYPERLINK("https://klasma.github.io/Logging_2313/tillsynsmail/A 27999-2025 tillsynsbegäran mail.docx", "A 27999-2025")</f>
        <v/>
      </c>
      <c r="AE13">
        <f>HYPERLINK("https://klasma.github.io/Logging_2313/fåglar/A 27999-2025 prioriterade fågelarter.docx", "A 27999-2025")</f>
        <v/>
      </c>
    </row>
    <row r="14" ht="15" customHeight="1">
      <c r="A14" t="inlineStr">
        <is>
          <t>A 1318-2026</t>
        </is>
      </c>
      <c r="B14" t="inlineStr">
        <is>
          <t>avverkningsanmälan</t>
        </is>
      </c>
      <c r="C14" t="inlineStr">
        <is>
          <t>Föryngringsavverkning</t>
        </is>
      </c>
      <c r="D14" s="1" t="n">
        <v>46031</v>
      </c>
      <c r="E14" s="1" t="n">
        <v>46318</v>
      </c>
      <c r="F14" t="inlineStr">
        <is>
          <t>JÄMTLANDS LÄN</t>
        </is>
      </c>
      <c r="G14" t="inlineStr">
        <is>
          <t>STRÖMSUND</t>
        </is>
      </c>
      <c r="I14" t="n">
        <v>28.4</v>
      </c>
      <c r="J14" t="n">
        <v>7</v>
      </c>
      <c r="K14" t="n">
        <v>11</v>
      </c>
      <c r="L14" t="n">
        <v>9</v>
      </c>
      <c r="M14" t="n">
        <v>1</v>
      </c>
      <c r="N14" t="n">
        <v>0</v>
      </c>
      <c r="O14" t="n">
        <v>0</v>
      </c>
      <c r="P14" t="n">
        <v>0</v>
      </c>
      <c r="Q14" t="n">
        <v>10</v>
      </c>
      <c r="R14" t="n">
        <v>1</v>
      </c>
      <c r="S14" t="n">
        <v>24</v>
      </c>
      <c r="T14" t="n">
        <v>168</v>
      </c>
      <c r="U14" t="n">
        <v>134</v>
      </c>
      <c r="V14" s="2" t="inlineStr">
        <is>
          <t>Garnlav
Doftskinn
Harticka
Liten svartspik
Lunglav
Skrovellav
Sparvuggla
Tretåig hackspett
Ullticka
Vitgrynig nållav
Blodticka
Finbräken
Kransrams
Luddlav
Plattlummer
Skinnlav
Stuplav
Svart trolldruva
Tvåblad
Underviol
Vedticka
Järpe
Spillkråka
Tjäder</t>
        </is>
      </c>
      <c r="W14">
        <f>HYPERLINK("https://klasma.github.io/Logging_2313/artfynd/A 1318-2026 artfynd.xlsx", "A 1318-2026")</f>
        <v/>
      </c>
      <c r="X14">
        <f>HYPERLINK("https://klasma.github.io/Logging_2313/kartor/A 1318-2026 karta.png", "A 1318-2026")</f>
        <v/>
      </c>
      <c r="Y14">
        <f>HYPERLINK("https://klasma.github.io/Logging_2313/kartor_geotiff/A 1318-2026 georefererad karta.tif", "A 1318-2026")</f>
        <v/>
      </c>
      <c r="AA14">
        <f>HYPERLINK("https://klasma.github.io/Logging_2313/klagomål/A 1318-2026 FSC-klagomål.docx", "A 1318-2026")</f>
        <v/>
      </c>
      <c r="AB14">
        <f>HYPERLINK("https://klasma.github.io/Logging_2313/klagomålsmail/A 1318-2026 FSC-klagomål mail.docx", "A 1318-2026")</f>
        <v/>
      </c>
      <c r="AC14">
        <f>HYPERLINK("https://klasma.github.io/Logging_2313/tillsyn/A 1318-2026 tillsynsbegäran.docx", "A 1318-2026")</f>
        <v/>
      </c>
      <c r="AD14">
        <f>HYPERLINK("https://klasma.github.io/Logging_2313/tillsynsmail/A 1318-2026 tillsynsbegäran mail.docx", "A 1318-2026")</f>
        <v/>
      </c>
      <c r="AE14">
        <f>HYPERLINK("https://klasma.github.io/Logging_2313/fåglar/A 1318-2026 prioriterade fågelarter.docx", "A 1318-2026")</f>
        <v/>
      </c>
    </row>
    <row r="15" ht="15" customHeight="1">
      <c r="A15" t="inlineStr">
        <is>
          <t>A 51287-2025</t>
        </is>
      </c>
      <c r="B15" t="inlineStr">
        <is>
          <t>avverkningsanmälan</t>
        </is>
      </c>
      <c r="C15" t="inlineStr">
        <is>
          <t>Föryngringsavverkning</t>
        </is>
      </c>
      <c r="D15" s="1" t="n">
        <v>45950</v>
      </c>
      <c r="E15" s="1" t="n">
        <v>46318</v>
      </c>
      <c r="F15" t="inlineStr">
        <is>
          <t>JÄMTLANDS LÄN</t>
        </is>
      </c>
      <c r="G15" t="inlineStr">
        <is>
          <t>STRÖMSUND</t>
        </is>
      </c>
      <c r="H15" t="inlineStr">
        <is>
          <t>SCA</t>
        </is>
      </c>
      <c r="I15" t="n">
        <v>8.699999999999999</v>
      </c>
      <c r="J15" t="n">
        <v>2</v>
      </c>
      <c r="K15" t="n">
        <v>4</v>
      </c>
      <c r="L15" t="n">
        <v>13</v>
      </c>
      <c r="M15" t="n">
        <v>6</v>
      </c>
      <c r="N15" t="n">
        <v>0</v>
      </c>
      <c r="O15" t="n">
        <v>0</v>
      </c>
      <c r="P15" t="n">
        <v>0</v>
      </c>
      <c r="Q15" t="n">
        <v>19</v>
      </c>
      <c r="R15" t="n">
        <v>6</v>
      </c>
      <c r="S15" t="n">
        <v>23</v>
      </c>
      <c r="T15" t="n">
        <v>44</v>
      </c>
      <c r="U15" t="n">
        <v>0</v>
      </c>
      <c r="V15" s="2" t="inlineStr">
        <is>
          <t>Doftticka
Fläckporing
Garnlav
Goliatmusseron
Gräddporing
Knärot
Dvärgbägarlav
Kolflarnlav
Kortskaftad ärgspik
Lunglav
Mörk kolflarnlav
Nordtagging
Skrovellav
Skuggblåslav
Ullticka
Vedflamlav
Vedskivlav
Vedtrappmossa
Vitplätt
Bårdlav
Skinnlav
Stuplav
Vedticka</t>
        </is>
      </c>
      <c r="W15">
        <f>HYPERLINK("https://klasma.github.io/Logging_2313/artfynd/A 51287-2025 artfynd.xlsx", "A 51287-2025")</f>
        <v/>
      </c>
      <c r="X15">
        <f>HYPERLINK("https://klasma.github.io/Logging_2313/kartor/A 51287-2025 karta.png", "A 51287-2025")</f>
        <v/>
      </c>
      <c r="Y15">
        <f>HYPERLINK("https://klasma.github.io/Logging_2313/kartor_geotiff/A 51287-2025 georefererad karta.tif", "A 51287-2025")</f>
        <v/>
      </c>
      <c r="Z15">
        <f>HYPERLINK("https://klasma.github.io/Logging_2313/knärot/A 51287-2025 karta knärot.png", "A 51287-2025")</f>
        <v/>
      </c>
      <c r="AA15">
        <f>HYPERLINK("https://klasma.github.io/Logging_2313/klagomål/A 51287-2025 FSC-klagomål.docx", "A 51287-2025")</f>
        <v/>
      </c>
      <c r="AB15">
        <f>HYPERLINK("https://klasma.github.io/Logging_2313/klagomålsmail/A 51287-2025 FSC-klagomål mail.docx", "A 51287-2025")</f>
        <v/>
      </c>
      <c r="AC15">
        <f>HYPERLINK("https://klasma.github.io/Logging_2313/tillsyn/A 51287-2025 tillsynsbegäran.docx", "A 51287-2025")</f>
        <v/>
      </c>
      <c r="AD15">
        <f>HYPERLINK("https://klasma.github.io/Logging_2313/tillsynsmail/A 51287-2025 tillsynsbegäran mail.docx", "A 51287-2025")</f>
        <v/>
      </c>
    </row>
    <row r="16" ht="15" customHeight="1">
      <c r="A16" t="inlineStr">
        <is>
          <t>A 33994-2026</t>
        </is>
      </c>
      <c r="B16" t="inlineStr">
        <is>
          <t>avverkningsanmälan</t>
        </is>
      </c>
      <c r="C16" t="inlineStr">
        <is>
          <t>Föryngringsavverkning</t>
        </is>
      </c>
      <c r="D16" s="1" t="n">
        <v>46252</v>
      </c>
      <c r="E16" s="1" t="n">
        <v>46318</v>
      </c>
      <c r="F16" t="inlineStr">
        <is>
          <t>JÄMTLANDS LÄN</t>
        </is>
      </c>
      <c r="G16" t="inlineStr">
        <is>
          <t>STRÖMSUND</t>
        </is>
      </c>
      <c r="H16" t="inlineStr">
        <is>
          <t>Holmen skog AB</t>
        </is>
      </c>
      <c r="I16" t="n">
        <v>7.7</v>
      </c>
      <c r="J16" t="n">
        <v>2</v>
      </c>
      <c r="K16" t="n">
        <v>2</v>
      </c>
      <c r="L16" t="n">
        <v>13</v>
      </c>
      <c r="M16" t="n">
        <v>7</v>
      </c>
      <c r="N16" t="n">
        <v>0</v>
      </c>
      <c r="O16" t="n">
        <v>0</v>
      </c>
      <c r="P16" t="n">
        <v>0</v>
      </c>
      <c r="Q16" t="n">
        <v>20</v>
      </c>
      <c r="R16" t="n">
        <v>7</v>
      </c>
      <c r="S16" t="n">
        <v>23</v>
      </c>
      <c r="T16" t="n">
        <v>64</v>
      </c>
      <c r="U16" t="n">
        <v>62</v>
      </c>
      <c r="V16" s="2" t="inlineStr">
        <is>
          <t>Fläckporing
Garnlav
Gräddporing
Knärot
Ostticka
Skrovlig taggsvamp
Smalfotad taggsvamp
Aspskinn
Blanksvart spiklav
Blågrå svartspik
Dropptaggsvamp
Dvärgbägarlav
Kolflarnlav
Kortskaftad ärgspik
Mörk kolflarnlav
Nordtagging
Vaddporing
Vedflamlav
Vedskivlav
Vedtrappmossa
Bårdlav
Nästlav
Tjäder</t>
        </is>
      </c>
      <c r="W16">
        <f>HYPERLINK("https://klasma.github.io/Logging_2313/artfynd/A 33994-2026 artfynd.xlsx", "A 33994-2026")</f>
        <v/>
      </c>
      <c r="X16">
        <f>HYPERLINK("https://klasma.github.io/Logging_2313/kartor/A 33994-2026 karta.png", "A 33994-2026")</f>
        <v/>
      </c>
      <c r="Y16">
        <f>HYPERLINK("https://klasma.github.io/Logging_2313/kartor_geotiff/A 33994-2026 georefererad karta.tif", "A 33994-2026")</f>
        <v/>
      </c>
      <c r="Z16">
        <f>HYPERLINK("https://klasma.github.io/Logging_2313/knärot/A 33994-2026 karta knärot.png", "A 33994-2026")</f>
        <v/>
      </c>
      <c r="AA16">
        <f>HYPERLINK("https://klasma.github.io/Logging_2313/klagomål/A 33994-2026 FSC-klagomål.docx", "A 33994-2026")</f>
        <v/>
      </c>
      <c r="AB16">
        <f>HYPERLINK("https://klasma.github.io/Logging_2313/klagomålsmail/A 33994-2026 FSC-klagomål mail.docx", "A 33994-2026")</f>
        <v/>
      </c>
      <c r="AC16">
        <f>HYPERLINK("https://klasma.github.io/Logging_2313/tillsyn/A 33994-2026 tillsynsbegäran.docx", "A 33994-2026")</f>
        <v/>
      </c>
      <c r="AD16">
        <f>HYPERLINK("https://klasma.github.io/Logging_2313/tillsynsmail/A 33994-2026 tillsynsbegäran mail.docx", "A 33994-2026")</f>
        <v/>
      </c>
      <c r="AE16">
        <f>HYPERLINK("https://klasma.github.io/Logging_2313/fåglar/A 33994-2026 prioriterade fågelarter.docx", "A 33994-2026")</f>
        <v/>
      </c>
    </row>
    <row r="17" ht="15" customHeight="1">
      <c r="A17" t="inlineStr">
        <is>
          <t>A 52745-2025</t>
        </is>
      </c>
      <c r="B17" t="inlineStr">
        <is>
          <t>avverkningsanmälan</t>
        </is>
      </c>
      <c r="C17" t="inlineStr">
        <is>
          <t>Föryngringsavverkning</t>
        </is>
      </c>
      <c r="D17" s="1" t="n">
        <v>45957</v>
      </c>
      <c r="E17" s="1" t="n">
        <v>46318</v>
      </c>
      <c r="F17" t="inlineStr">
        <is>
          <t>JÄMTLANDS LÄN</t>
        </is>
      </c>
      <c r="G17" t="inlineStr">
        <is>
          <t>STRÖMSUND</t>
        </is>
      </c>
      <c r="H17" t="inlineStr">
        <is>
          <t>Övriga statliga verk och myndigheter</t>
        </is>
      </c>
      <c r="I17" t="n">
        <v>17.9</v>
      </c>
      <c r="J17" t="n">
        <v>5</v>
      </c>
      <c r="K17" t="n">
        <v>3</v>
      </c>
      <c r="L17" t="n">
        <v>14</v>
      </c>
      <c r="M17" t="n">
        <v>4</v>
      </c>
      <c r="N17" t="n">
        <v>0</v>
      </c>
      <c r="O17" t="n">
        <v>0</v>
      </c>
      <c r="P17" t="n">
        <v>0</v>
      </c>
      <c r="Q17" t="n">
        <v>18</v>
      </c>
      <c r="R17" t="n">
        <v>4</v>
      </c>
      <c r="S17" t="n">
        <v>23</v>
      </c>
      <c r="T17" t="n">
        <v>127</v>
      </c>
      <c r="U17" t="n">
        <v>127</v>
      </c>
      <c r="V17" s="2" t="inlineStr">
        <is>
          <t>Garnlav
Gränsticka
Ostticka
Ulltickeporing
Brunpudrad nållav
Doftskinn
Gammelgransskål
Harticka
Lavskrika
Liten svartspik
Lunglav
Rosenticka
Rödbrun blekspik
Skrovellav
Talltita
Tretåig hackspett
Ullticka
Vitgrynig nållav
Rostfläck
Stuplav
Trådticka
Spillkråka
Tjäder</t>
        </is>
      </c>
      <c r="W17">
        <f>HYPERLINK("https://klasma.github.io/Logging_2313/artfynd/A 52745-2025 artfynd.xlsx", "A 52745-2025")</f>
        <v/>
      </c>
      <c r="X17">
        <f>HYPERLINK("https://klasma.github.io/Logging_2313/kartor/A 52745-2025 karta.png", "A 52745-2025")</f>
        <v/>
      </c>
      <c r="Y17">
        <f>HYPERLINK("https://klasma.github.io/Logging_2313/kartor_geotiff/A 52745-2025 georefererad karta.tif", "A 52745-2025")</f>
        <v/>
      </c>
      <c r="AA17">
        <f>HYPERLINK("https://klasma.github.io/Logging_2313/klagomål/A 52745-2025 FSC-klagomål.docx", "A 52745-2025")</f>
        <v/>
      </c>
      <c r="AB17">
        <f>HYPERLINK("https://klasma.github.io/Logging_2313/klagomålsmail/A 52745-2025 FSC-klagomål mail.docx", "A 52745-2025")</f>
        <v/>
      </c>
      <c r="AC17">
        <f>HYPERLINK("https://klasma.github.io/Logging_2313/tillsyn/A 52745-2025 tillsynsbegäran.docx", "A 52745-2025")</f>
        <v/>
      </c>
      <c r="AD17">
        <f>HYPERLINK("https://klasma.github.io/Logging_2313/tillsynsmail/A 52745-2025 tillsynsbegäran mail.docx", "A 52745-2025")</f>
        <v/>
      </c>
      <c r="AE17">
        <f>HYPERLINK("https://klasma.github.io/Logging_2313/fåglar/A 52745-2025 prioriterade fågelarter.docx", "A 52745-2025")</f>
        <v/>
      </c>
    </row>
    <row r="18" ht="15" customHeight="1">
      <c r="A18" t="inlineStr">
        <is>
          <t>A 37713-2025</t>
        </is>
      </c>
      <c r="B18" t="inlineStr">
        <is>
          <t>avverkningsanmälan</t>
        </is>
      </c>
      <c r="C18" t="inlineStr">
        <is>
          <t>Föryngringsavverkning</t>
        </is>
      </c>
      <c r="D18" s="1" t="n">
        <v>45880</v>
      </c>
      <c r="E18" s="1" t="n">
        <v>46318</v>
      </c>
      <c r="F18" t="inlineStr">
        <is>
          <t>JÄMTLANDS LÄN</t>
        </is>
      </c>
      <c r="G18" t="inlineStr">
        <is>
          <t>STRÖMSUND</t>
        </is>
      </c>
      <c r="I18" t="n">
        <v>19.1</v>
      </c>
      <c r="J18" t="n">
        <v>7</v>
      </c>
      <c r="K18" t="n">
        <v>8</v>
      </c>
      <c r="L18" t="n">
        <v>9</v>
      </c>
      <c r="M18" t="n">
        <v>3</v>
      </c>
      <c r="N18" t="n">
        <v>0</v>
      </c>
      <c r="O18" t="n">
        <v>0</v>
      </c>
      <c r="P18" t="n">
        <v>0</v>
      </c>
      <c r="Q18" t="n">
        <v>12</v>
      </c>
      <c r="R18" t="n">
        <v>3</v>
      </c>
      <c r="S18" t="n">
        <v>23</v>
      </c>
      <c r="T18" t="n">
        <v>69</v>
      </c>
      <c r="U18" t="n">
        <v>2</v>
      </c>
      <c r="V18" s="2" t="inlineStr">
        <is>
          <t>Garnlav
Norsk näverlav
Ulltickeporing
Dvärgbägarlav
Lavskrika
Luddfingersvamp
Lunglav
Skrovellav
Tretåig hackspett
Ullticka
Vedtrappmossa
Vitgrynig nållav
Bårdlav
Luddlav
Plattlummer
Skinnlav
Slanklav
Spindelblomster
Stuplav
Vågbandad barkbock
Spillkråka
Tjäder
Revlummer</t>
        </is>
      </c>
      <c r="W18">
        <f>HYPERLINK("https://klasma.github.io/Logging_2313/artfynd/A 37713-2025 artfynd.xlsx", "A 37713-2025")</f>
        <v/>
      </c>
      <c r="X18">
        <f>HYPERLINK("https://klasma.github.io/Logging_2313/kartor/A 37713-2025 karta.png", "A 37713-2025")</f>
        <v/>
      </c>
      <c r="Y18">
        <f>HYPERLINK("https://klasma.github.io/Logging_2313/kartor_geotiff/A 37713-2025 georefererad karta.tif", "A 37713-2025")</f>
        <v/>
      </c>
      <c r="AA18">
        <f>HYPERLINK("https://klasma.github.io/Logging_2313/klagomål/A 37713-2025 FSC-klagomål.docx", "A 37713-2025")</f>
        <v/>
      </c>
      <c r="AB18">
        <f>HYPERLINK("https://klasma.github.io/Logging_2313/klagomålsmail/A 37713-2025 FSC-klagomål mail.docx", "A 37713-2025")</f>
        <v/>
      </c>
      <c r="AC18">
        <f>HYPERLINK("https://klasma.github.io/Logging_2313/tillsyn/A 37713-2025 tillsynsbegäran.docx", "A 37713-2025")</f>
        <v/>
      </c>
      <c r="AD18">
        <f>HYPERLINK("https://klasma.github.io/Logging_2313/tillsynsmail/A 37713-2025 tillsynsbegäran mail.docx", "A 37713-2025")</f>
        <v/>
      </c>
      <c r="AE18">
        <f>HYPERLINK("https://klasma.github.io/Logging_2313/fåglar/A 37713-2025 prioriterade fågelarter.docx", "A 37713-2025")</f>
        <v/>
      </c>
    </row>
    <row r="19" ht="15" customHeight="1">
      <c r="A19" t="inlineStr">
        <is>
          <t>S 988-2025</t>
        </is>
      </c>
      <c r="B19" t="inlineStr">
        <is>
          <t>samrådsanmälan</t>
        </is>
      </c>
      <c r="C19" t="inlineStr">
        <is>
          <t>Skogsgödsling</t>
        </is>
      </c>
      <c r="D19" s="1" t="n">
        <v>45743</v>
      </c>
      <c r="E19" s="1" t="n">
        <v>46318</v>
      </c>
      <c r="F19" t="inlineStr">
        <is>
          <t>JÄMTLANDS LÄN</t>
        </is>
      </c>
      <c r="G19" t="inlineStr">
        <is>
          <t>STRÖMSUND</t>
        </is>
      </c>
      <c r="H19" t="inlineStr">
        <is>
          <t>SCA</t>
        </is>
      </c>
      <c r="I19" t="n">
        <v>2609.1</v>
      </c>
      <c r="J19" t="n">
        <v>8</v>
      </c>
      <c r="K19" t="n">
        <v>7</v>
      </c>
      <c r="L19" t="n">
        <v>12</v>
      </c>
      <c r="M19" t="n">
        <v>1</v>
      </c>
      <c r="N19" t="n">
        <v>0</v>
      </c>
      <c r="O19" t="n">
        <v>0</v>
      </c>
      <c r="P19" t="n">
        <v>0</v>
      </c>
      <c r="Q19" t="n">
        <v>13</v>
      </c>
      <c r="R19" t="n">
        <v>1</v>
      </c>
      <c r="S19" t="n">
        <v>23</v>
      </c>
      <c r="T19" t="n">
        <v>29</v>
      </c>
      <c r="U19" t="n">
        <v>6</v>
      </c>
      <c r="V19" s="2" t="inlineStr">
        <is>
          <t>Garnlav
Brunklöver
Kandelabersvamp
Knotterdyna
Lavskrika
Lunglav
Månlåsbräken
Rosenticka
Rynkskinn
Skrovellav
Tretåig hackspett
Ullticka
Vitgrynig nållav
Bårdlav
Grönpyrola
Korallrot
Lappranunkel
Skinnlav
Spindelblomster
Svart trolldruva
Skogsrör
Fläcknycklar
Revlummer</t>
        </is>
      </c>
      <c r="W19">
        <f>HYPERLINK("https://klasma.github.io/Logging_2313/artfynd/S 988-2025 artfynd.xlsx", "S 988-2025")</f>
        <v/>
      </c>
      <c r="X19">
        <f>HYPERLINK("https://klasma.github.io/Logging_2313/kartor/S 988-2025 karta.png", "S 988-2025")</f>
        <v/>
      </c>
      <c r="Y19">
        <f>HYPERLINK("https://klasma.github.io/Logging_2313/kartor_geotiff/S 988-2025 georefererad karta.tif", "S 988-2025")</f>
        <v/>
      </c>
      <c r="Z19">
        <f>HYPERLINK("https://klasma.github.io/Logging_2313/knärot/S 988-2025 karta knärot.png", "S 988-2025")</f>
        <v/>
      </c>
      <c r="AA19">
        <f>HYPERLINK("https://klasma.github.io/Logging_2313/klagomål/S 988-2025 FSC-klagomål.docx", "S 988-2025")</f>
        <v/>
      </c>
      <c r="AB19">
        <f>HYPERLINK("https://klasma.github.io/Logging_2313/klagomålsmail/S 988-2025 FSC-klagomål mail.docx", "S 988-2025")</f>
        <v/>
      </c>
      <c r="AC19">
        <f>HYPERLINK("https://klasma.github.io/Logging_2313/tillsyn/S 988-2025 tillsynsbegäran.docx", "S 988-2025")</f>
        <v/>
      </c>
      <c r="AD19">
        <f>HYPERLINK("https://klasma.github.io/Logging_2313/tillsynsmail/S 988-2025 tillsynsbegäran mail.docx", "S 988-2025")</f>
        <v/>
      </c>
      <c r="AE19">
        <f>HYPERLINK("https://klasma.github.io/Logging_2313/fåglar/S 988-2025 prioriterade fågelarter.docx", "S 988-2025")</f>
        <v/>
      </c>
    </row>
    <row r="20" ht="15" customHeight="1">
      <c r="A20" t="inlineStr">
        <is>
          <t>A 57844-2022</t>
        </is>
      </c>
      <c r="B20" t="inlineStr">
        <is>
          <t>avverkningsanmälan</t>
        </is>
      </c>
      <c r="C20" t="inlineStr">
        <is>
          <t>Föryngringsavverkning</t>
        </is>
      </c>
      <c r="D20" s="1" t="n">
        <v>44897</v>
      </c>
      <c r="E20" s="1" t="n">
        <v>46318</v>
      </c>
      <c r="F20" t="inlineStr">
        <is>
          <t>JÄMTLANDS LÄN</t>
        </is>
      </c>
      <c r="G20" t="inlineStr">
        <is>
          <t>STRÖMSUND</t>
        </is>
      </c>
      <c r="H20" t="inlineStr">
        <is>
          <t>SCA</t>
        </is>
      </c>
      <c r="I20" t="n">
        <v>6.5</v>
      </c>
      <c r="J20" t="n">
        <v>5</v>
      </c>
      <c r="K20" t="n">
        <v>7</v>
      </c>
      <c r="L20" t="n">
        <v>9</v>
      </c>
      <c r="M20" t="n">
        <v>3</v>
      </c>
      <c r="N20" t="n">
        <v>0</v>
      </c>
      <c r="O20" t="n">
        <v>0</v>
      </c>
      <c r="P20" t="n">
        <v>0</v>
      </c>
      <c r="Q20" t="n">
        <v>12</v>
      </c>
      <c r="R20" t="n">
        <v>3</v>
      </c>
      <c r="S20" t="n">
        <v>22</v>
      </c>
      <c r="T20" t="n">
        <v>60</v>
      </c>
      <c r="U20" t="n">
        <v>60</v>
      </c>
      <c r="V20" s="2" t="inlineStr">
        <is>
          <t>Garnlav
Gränsticka
Liten hornflikmossa
Harticka
Platt spretmossa
Rosenticka
Rödbrun blekspik
Tretåig hackspett
Ullticka
Vedflikmossa
Vedtrappmossa
Vitgrynig nållav
Grov husmossa
Grön sköldmossa
Mörk husmossa
Skogshakmossa
Vanlig rörsvepemossa
Vedticka
Ögonpyrola
Järpe
Lopplummer (aggregat)
Revlummer</t>
        </is>
      </c>
      <c r="W20">
        <f>HYPERLINK("https://klasma.github.io/Logging_2313/artfynd/A 57844-2022 artfynd.xlsx", "A 57844-2022")</f>
        <v/>
      </c>
      <c r="X20">
        <f>HYPERLINK("https://klasma.github.io/Logging_2313/kartor/A 57844-2022 karta.png", "A 57844-2022")</f>
        <v/>
      </c>
      <c r="Y20">
        <f>HYPERLINK("https://klasma.github.io/Logging_2313/kartor_geotiff/A 57844-2022 georefererad karta.tif", "A 57844-2022")</f>
        <v/>
      </c>
      <c r="AA20">
        <f>HYPERLINK("https://klasma.github.io/Logging_2313/klagomål/A 57844-2022 FSC-klagomål.docx", "A 57844-2022")</f>
        <v/>
      </c>
      <c r="AB20">
        <f>HYPERLINK("https://klasma.github.io/Logging_2313/klagomålsmail/A 57844-2022 FSC-klagomål mail.docx", "A 57844-2022")</f>
        <v/>
      </c>
      <c r="AC20">
        <f>HYPERLINK("https://klasma.github.io/Logging_2313/tillsyn/A 57844-2022 tillsynsbegäran.docx", "A 57844-2022")</f>
        <v/>
      </c>
      <c r="AD20">
        <f>HYPERLINK("https://klasma.github.io/Logging_2313/tillsynsmail/A 57844-2022 tillsynsbegäran mail.docx", "A 57844-2022")</f>
        <v/>
      </c>
      <c r="AE20">
        <f>HYPERLINK("https://klasma.github.io/Logging_2313/fåglar/A 57844-2022 prioriterade fågelarter.docx", "A 57844-2022")</f>
        <v/>
      </c>
    </row>
    <row r="21" ht="15" customHeight="1">
      <c r="A21" t="inlineStr">
        <is>
          <t>A 51873-2023</t>
        </is>
      </c>
      <c r="B21" t="inlineStr">
        <is>
          <t>avverkningsanmälan</t>
        </is>
      </c>
      <c r="C21" t="inlineStr">
        <is>
          <t>Föryngringsavverkning</t>
        </is>
      </c>
      <c r="D21" s="1" t="n">
        <v>45215</v>
      </c>
      <c r="E21" s="1" t="n">
        <v>46318</v>
      </c>
      <c r="F21" t="inlineStr">
        <is>
          <t>JÄMTLANDS LÄN</t>
        </is>
      </c>
      <c r="G21" t="inlineStr">
        <is>
          <t>STRÖMSUND</t>
        </is>
      </c>
      <c r="I21" t="n">
        <v>11.2</v>
      </c>
      <c r="J21" t="n">
        <v>3</v>
      </c>
      <c r="K21" t="n">
        <v>7</v>
      </c>
      <c r="L21" t="n">
        <v>8</v>
      </c>
      <c r="M21" t="n">
        <v>4</v>
      </c>
      <c r="N21" t="n">
        <v>0</v>
      </c>
      <c r="O21" t="n">
        <v>0</v>
      </c>
      <c r="P21" t="n">
        <v>0</v>
      </c>
      <c r="Q21" t="n">
        <v>12</v>
      </c>
      <c r="R21" t="n">
        <v>4</v>
      </c>
      <c r="S21" t="n">
        <v>21</v>
      </c>
      <c r="T21" t="n">
        <v>47</v>
      </c>
      <c r="U21" t="n">
        <v>47</v>
      </c>
      <c r="V21" s="2" t="inlineStr">
        <is>
          <t>Blackticka
Garnlav
Gränsticka
Norsk näverlav
Doftskinn
Kötticka
Lavskrika
Lunglav
Rosenticka
Talltita
Tretåig hackspett
Ullticka
Bårdlav
Korallblylav
Kransrams
Luddlav
Skinnlav
Trådticka
Ögonpyrola
Kransmossa
Lundarv</t>
        </is>
      </c>
      <c r="W21">
        <f>HYPERLINK("https://klasma.github.io/Logging_2313/artfynd/A 51873-2023 artfynd.xlsx", "A 51873-2023")</f>
        <v/>
      </c>
      <c r="X21">
        <f>HYPERLINK("https://klasma.github.io/Logging_2313/kartor/A 51873-2023 karta.png", "A 51873-2023")</f>
        <v/>
      </c>
      <c r="Y21">
        <f>HYPERLINK("https://klasma.github.io/Logging_2313/kartor_geotiff/A 51873-2023 georefererad karta.tif", "A 51873-2023")</f>
        <v/>
      </c>
      <c r="AA21">
        <f>HYPERLINK("https://klasma.github.io/Logging_2313/klagomål/A 51873-2023 FSC-klagomål.docx", "A 51873-2023")</f>
        <v/>
      </c>
      <c r="AB21">
        <f>HYPERLINK("https://klasma.github.io/Logging_2313/klagomålsmail/A 51873-2023 FSC-klagomål mail.docx", "A 51873-2023")</f>
        <v/>
      </c>
      <c r="AC21">
        <f>HYPERLINK("https://klasma.github.io/Logging_2313/tillsyn/A 51873-2023 tillsynsbegäran.docx", "A 51873-2023")</f>
        <v/>
      </c>
      <c r="AD21">
        <f>HYPERLINK("https://klasma.github.io/Logging_2313/tillsynsmail/A 51873-2023 tillsynsbegäran mail.docx", "A 51873-2023")</f>
        <v/>
      </c>
      <c r="AE21">
        <f>HYPERLINK("https://klasma.github.io/Logging_2313/fåglar/A 51873-2023 prioriterade fågelarter.docx", "A 51873-2023")</f>
        <v/>
      </c>
    </row>
    <row r="22" ht="15" customHeight="1">
      <c r="A22" t="inlineStr">
        <is>
          <t>A 31327-2023</t>
        </is>
      </c>
      <c r="B22" t="inlineStr">
        <is>
          <t>avverkningsanmälan</t>
        </is>
      </c>
      <c r="C22" t="inlineStr">
        <is>
          <t>Avverkning för att bevara och utveckla /försöksver</t>
        </is>
      </c>
      <c r="D22" s="1" t="n">
        <v>45114</v>
      </c>
      <c r="E22" s="1" t="n">
        <v>46318</v>
      </c>
      <c r="F22" t="inlineStr">
        <is>
          <t>JÄMTLANDS LÄN</t>
        </is>
      </c>
      <c r="G22" t="inlineStr">
        <is>
          <t>STRÖMSUND</t>
        </is>
      </c>
      <c r="H22" t="inlineStr">
        <is>
          <t>Holmen skog AB</t>
        </is>
      </c>
      <c r="I22" t="n">
        <v>20.3</v>
      </c>
      <c r="J22" t="n">
        <v>6</v>
      </c>
      <c r="K22" t="n">
        <v>5</v>
      </c>
      <c r="L22" t="n">
        <v>10</v>
      </c>
      <c r="M22" t="n">
        <v>2</v>
      </c>
      <c r="N22" t="n">
        <v>0</v>
      </c>
      <c r="O22" t="n">
        <v>0</v>
      </c>
      <c r="P22" t="n">
        <v>0</v>
      </c>
      <c r="Q22" t="n">
        <v>12</v>
      </c>
      <c r="R22" t="n">
        <v>2</v>
      </c>
      <c r="S22" t="n">
        <v>20</v>
      </c>
      <c r="T22" t="n">
        <v>42</v>
      </c>
      <c r="U22" t="n">
        <v>41</v>
      </c>
      <c r="V22" s="2" t="inlineStr">
        <is>
          <t>Garnlav
Vitskaftad svartspik
Dvärgbägarlav
Kolflarnlav
Lunglav
Skrovellav
Talltita
Tretåig hackspett
Vedflamlav
Vedskivlav
Vedtrappmossa
Vitgrynig nållav
Bårdlav
Skinnlav
Spindelblomster
Stor aspticka
Stuplav
Spillkråka
Fläcknycklar
Revlummer</t>
        </is>
      </c>
      <c r="W22">
        <f>HYPERLINK("https://klasma.github.io/Logging_2313/artfynd/A 31327-2023 artfynd.xlsx", "A 31327-2023")</f>
        <v/>
      </c>
      <c r="X22">
        <f>HYPERLINK("https://klasma.github.io/Logging_2313/kartor/A 31327-2023 karta.png", "A 31327-2023")</f>
        <v/>
      </c>
      <c r="Y22">
        <f>HYPERLINK("https://klasma.github.io/Logging_2313/kartor_geotiff/A 31327-2023 georefererad karta.tif", "A 31327-2023")</f>
        <v/>
      </c>
      <c r="AA22">
        <f>HYPERLINK("https://klasma.github.io/Logging_2313/klagomål/A 31327-2023 FSC-klagomål.docx", "A 31327-2023")</f>
        <v/>
      </c>
      <c r="AB22">
        <f>HYPERLINK("https://klasma.github.io/Logging_2313/klagomålsmail/A 31327-2023 FSC-klagomål mail.docx", "A 31327-2023")</f>
        <v/>
      </c>
      <c r="AC22">
        <f>HYPERLINK("https://klasma.github.io/Logging_2313/tillsyn/A 31327-2023 tillsynsbegäran.docx", "A 31327-2023")</f>
        <v/>
      </c>
      <c r="AD22">
        <f>HYPERLINK("https://klasma.github.io/Logging_2313/tillsynsmail/A 31327-2023 tillsynsbegäran mail.docx", "A 31327-2023")</f>
        <v/>
      </c>
      <c r="AE22">
        <f>HYPERLINK("https://klasma.github.io/Logging_2313/fåglar/A 31327-2023 prioriterade fågelarter.docx", "A 31327-2023")</f>
        <v/>
      </c>
    </row>
    <row r="23" ht="15" customHeight="1">
      <c r="A23" t="inlineStr">
        <is>
          <t>A 33440-2026</t>
        </is>
      </c>
      <c r="B23" t="inlineStr">
        <is>
          <t>avverkningsanmälan</t>
        </is>
      </c>
      <c r="C23" t="inlineStr">
        <is>
          <t>Föryngringsavverkning</t>
        </is>
      </c>
      <c r="D23" s="1" t="n">
        <v>46247</v>
      </c>
      <c r="E23" s="1" t="n">
        <v>46318</v>
      </c>
      <c r="F23" t="inlineStr">
        <is>
          <t>JÄMTLANDS LÄN</t>
        </is>
      </c>
      <c r="G23" t="inlineStr">
        <is>
          <t>STRÖMSUND</t>
        </is>
      </c>
      <c r="H23" t="inlineStr">
        <is>
          <t>Holmen skog AB</t>
        </is>
      </c>
      <c r="I23" t="n">
        <v>15.8</v>
      </c>
      <c r="J23" t="n">
        <v>3</v>
      </c>
      <c r="K23" t="n">
        <v>2</v>
      </c>
      <c r="L23" t="n">
        <v>12</v>
      </c>
      <c r="M23" t="n">
        <v>4</v>
      </c>
      <c r="N23" t="n">
        <v>0</v>
      </c>
      <c r="O23" t="n">
        <v>0</v>
      </c>
      <c r="P23" t="n">
        <v>0</v>
      </c>
      <c r="Q23" t="n">
        <v>16</v>
      </c>
      <c r="R23" t="n">
        <v>4</v>
      </c>
      <c r="S23" t="n">
        <v>20</v>
      </c>
      <c r="T23" t="n">
        <v>80</v>
      </c>
      <c r="U23" t="n">
        <v>79</v>
      </c>
      <c r="V23" s="2" t="inlineStr">
        <is>
          <t>Fläckporing
Garnlav
Gräddporing
Smalfotad taggsvamp
Blanksvart spiklav
Blågrå svartspik
Dropptaggsvamp
Dvärgbägarlav
Kolflarnlav
Mörk kolflarnlav
Nordtagging
Talltagel
Talltita
Vaddporing
Vedflamlav
Vedskivlav
Sotlav
Vedticka
Tjäder
Fläcknycklar</t>
        </is>
      </c>
      <c r="W23">
        <f>HYPERLINK("https://klasma.github.io/Logging_2313/artfynd/A 33440-2026 artfynd.xlsx", "A 33440-2026")</f>
        <v/>
      </c>
      <c r="X23">
        <f>HYPERLINK("https://klasma.github.io/Logging_2313/kartor/A 33440-2026 karta.png", "A 33440-2026")</f>
        <v/>
      </c>
      <c r="Y23">
        <f>HYPERLINK("https://klasma.github.io/Logging_2313/kartor_geotiff/A 33440-2026 georefererad karta.tif", "A 33440-2026")</f>
        <v/>
      </c>
      <c r="AA23">
        <f>HYPERLINK("https://klasma.github.io/Logging_2313/klagomål/A 33440-2026 FSC-klagomål.docx", "A 33440-2026")</f>
        <v/>
      </c>
      <c r="AB23">
        <f>HYPERLINK("https://klasma.github.io/Logging_2313/klagomålsmail/A 33440-2026 FSC-klagomål mail.docx", "A 33440-2026")</f>
        <v/>
      </c>
      <c r="AC23">
        <f>HYPERLINK("https://klasma.github.io/Logging_2313/tillsyn/A 33440-2026 tillsynsbegäran.docx", "A 33440-2026")</f>
        <v/>
      </c>
      <c r="AD23">
        <f>HYPERLINK("https://klasma.github.io/Logging_2313/tillsynsmail/A 33440-2026 tillsynsbegäran mail.docx", "A 33440-2026")</f>
        <v/>
      </c>
      <c r="AE23">
        <f>HYPERLINK("https://klasma.github.io/Logging_2313/fåglar/A 33440-2026 prioriterade fågelarter.docx", "A 33440-2026")</f>
        <v/>
      </c>
    </row>
    <row r="24" ht="15" customHeight="1">
      <c r="A24" t="inlineStr">
        <is>
          <t>A 68643-2021</t>
        </is>
      </c>
      <c r="B24" t="inlineStr">
        <is>
          <t>avverkningsanmälan</t>
        </is>
      </c>
      <c r="C24" t="inlineStr">
        <is>
          <t>Föryngringsavverkning</t>
        </is>
      </c>
      <c r="D24" s="1" t="n">
        <v>44529</v>
      </c>
      <c r="E24" s="1" t="n">
        <v>46318</v>
      </c>
      <c r="F24" t="inlineStr">
        <is>
          <t>JÄMTLANDS LÄN</t>
        </is>
      </c>
      <c r="G24" t="inlineStr">
        <is>
          <t>STRÖMSUND</t>
        </is>
      </c>
      <c r="I24" t="n">
        <v>40.8</v>
      </c>
      <c r="J24" t="n">
        <v>4</v>
      </c>
      <c r="K24" t="n">
        <v>4</v>
      </c>
      <c r="L24" t="n">
        <v>13</v>
      </c>
      <c r="M24" t="n">
        <v>2</v>
      </c>
      <c r="N24" t="n">
        <v>0</v>
      </c>
      <c r="O24" t="n">
        <v>0</v>
      </c>
      <c r="P24" t="n">
        <v>0</v>
      </c>
      <c r="Q24" t="n">
        <v>15</v>
      </c>
      <c r="R24" t="n">
        <v>2</v>
      </c>
      <c r="S24" t="n">
        <v>19</v>
      </c>
      <c r="T24" t="n">
        <v>70</v>
      </c>
      <c r="U24" t="n">
        <v>70</v>
      </c>
      <c r="V24" s="2" t="inlineStr">
        <is>
          <t>Garnlav
Knärot
Blanksvart spiklav
Blågrå svartspik
Brunpudrad nållav
Dropptaggsvamp
Dvärgbägarlav
Kolflarnlav
Lunglav
Skrovellav
Skuggblåslav
Tretåig hackspett
Vedskivlav
Vitgrynig nållav
Vitplätt
Plattlummer
Skinnlav
Spindelblomster
Stuplav</t>
        </is>
      </c>
      <c r="W24">
        <f>HYPERLINK("https://klasma.github.io/Logging_2313/artfynd/A 68643-2021 artfynd.xlsx", "A 68643-2021")</f>
        <v/>
      </c>
      <c r="X24">
        <f>HYPERLINK("https://klasma.github.io/Logging_2313/kartor/A 68643-2021 karta.png", "A 68643-2021")</f>
        <v/>
      </c>
      <c r="Y24">
        <f>HYPERLINK("https://klasma.github.io/Logging_2313/kartor_geotiff/A 68643-2021 georefererad karta.tif", "A 68643-2021")</f>
        <v/>
      </c>
      <c r="Z24">
        <f>HYPERLINK("https://klasma.github.io/Logging_2313/knärot/A 68643-2021 karta knärot.png", "A 68643-2021")</f>
        <v/>
      </c>
      <c r="AA24">
        <f>HYPERLINK("https://klasma.github.io/Logging_2313/klagomål/A 68643-2021 FSC-klagomål.docx", "A 68643-2021")</f>
        <v/>
      </c>
      <c r="AB24">
        <f>HYPERLINK("https://klasma.github.io/Logging_2313/klagomålsmail/A 68643-2021 FSC-klagomål mail.docx", "A 68643-2021")</f>
        <v/>
      </c>
      <c r="AC24">
        <f>HYPERLINK("https://klasma.github.io/Logging_2313/tillsyn/A 68643-2021 tillsynsbegäran.docx", "A 68643-2021")</f>
        <v/>
      </c>
      <c r="AD24">
        <f>HYPERLINK("https://klasma.github.io/Logging_2313/tillsynsmail/A 68643-2021 tillsynsbegäran mail.docx", "A 68643-2021")</f>
        <v/>
      </c>
      <c r="AE24">
        <f>HYPERLINK("https://klasma.github.io/Logging_2313/fåglar/A 68643-2021 prioriterade fågelarter.docx", "A 68643-2021")</f>
        <v/>
      </c>
    </row>
    <row r="25" ht="15" customHeight="1">
      <c r="A25" t="inlineStr">
        <is>
          <t>A 19512-2025</t>
        </is>
      </c>
      <c r="B25" t="inlineStr">
        <is>
          <t>avverkningsanmälan</t>
        </is>
      </c>
      <c r="C25" t="inlineStr">
        <is>
          <t>Föryngringsavverkning</t>
        </is>
      </c>
      <c r="D25" s="1" t="n">
        <v>45770</v>
      </c>
      <c r="E25" s="1" t="n">
        <v>46318</v>
      </c>
      <c r="F25" t="inlineStr">
        <is>
          <t>JÄMTLANDS LÄN</t>
        </is>
      </c>
      <c r="G25" t="inlineStr">
        <is>
          <t>STRÖMSUND</t>
        </is>
      </c>
      <c r="H25" t="inlineStr">
        <is>
          <t>SCA</t>
        </is>
      </c>
      <c r="I25" t="n">
        <v>8.1</v>
      </c>
      <c r="J25" t="n">
        <v>2</v>
      </c>
      <c r="K25" t="n">
        <v>1</v>
      </c>
      <c r="L25" t="n">
        <v>15</v>
      </c>
      <c r="M25" t="n">
        <v>3</v>
      </c>
      <c r="N25" t="n">
        <v>0</v>
      </c>
      <c r="O25" t="n">
        <v>0</v>
      </c>
      <c r="P25" t="n">
        <v>0</v>
      </c>
      <c r="Q25" t="n">
        <v>18</v>
      </c>
      <c r="R25" t="n">
        <v>3</v>
      </c>
      <c r="S25" t="n">
        <v>19</v>
      </c>
      <c r="T25" t="n">
        <v>64</v>
      </c>
      <c r="U25" t="n">
        <v>64</v>
      </c>
      <c r="V25" s="2" t="inlineStr">
        <is>
          <t>Fläckporing
Garnlav
Gräddporing
Blågrå svartspik
Dropptaggsvamp
Gammelgransskål
Kolflarnlav
Mörk kolflarnlav
Nordtagging
Rosenticka
Skrovellav
Talltita
Tretåig hackspett
Ullticka
Vedflamlav
Vedskivlav
Vedtrappmossa
Vitgrynig nållav
Skinnlav</t>
        </is>
      </c>
      <c r="W25">
        <f>HYPERLINK("https://klasma.github.io/Logging_2313/artfynd/A 19512-2025 artfynd.xlsx", "A 19512-2025")</f>
        <v/>
      </c>
      <c r="X25">
        <f>HYPERLINK("https://klasma.github.io/Logging_2313/kartor/A 19512-2025 karta.png", "A 19512-2025")</f>
        <v/>
      </c>
      <c r="Y25">
        <f>HYPERLINK("https://klasma.github.io/Logging_2313/kartor_geotiff/A 19512-2025 georefererad karta.tif", "A 19512-2025")</f>
        <v/>
      </c>
      <c r="AA25">
        <f>HYPERLINK("https://klasma.github.io/Logging_2313/klagomål/A 19512-2025 FSC-klagomål.docx", "A 19512-2025")</f>
        <v/>
      </c>
      <c r="AB25">
        <f>HYPERLINK("https://klasma.github.io/Logging_2313/klagomålsmail/A 19512-2025 FSC-klagomål mail.docx", "A 19512-2025")</f>
        <v/>
      </c>
      <c r="AC25">
        <f>HYPERLINK("https://klasma.github.io/Logging_2313/tillsyn/A 19512-2025 tillsynsbegäran.docx", "A 19512-2025")</f>
        <v/>
      </c>
      <c r="AD25">
        <f>HYPERLINK("https://klasma.github.io/Logging_2313/tillsynsmail/A 19512-2025 tillsynsbegäran mail.docx", "A 19512-2025")</f>
        <v/>
      </c>
      <c r="AE25">
        <f>HYPERLINK("https://klasma.github.io/Logging_2313/fåglar/A 19512-2025 prioriterade fågelarter.docx", "A 19512-2025")</f>
        <v/>
      </c>
    </row>
    <row r="26" ht="15" customHeight="1">
      <c r="A26" t="inlineStr">
        <is>
          <t>A 27666-2026</t>
        </is>
      </c>
      <c r="B26" t="inlineStr">
        <is>
          <t>avverkningsanmälan</t>
        </is>
      </c>
      <c r="C26" t="inlineStr">
        <is>
          <t>Föryngringsavverkning</t>
        </is>
      </c>
      <c r="D26" s="1" t="n">
        <v>46188</v>
      </c>
      <c r="E26" s="1" t="n">
        <v>46318</v>
      </c>
      <c r="F26" t="inlineStr">
        <is>
          <t>JÄMTLANDS LÄN</t>
        </is>
      </c>
      <c r="G26" t="inlineStr">
        <is>
          <t>STRÖMSUND</t>
        </is>
      </c>
      <c r="I26" t="n">
        <v>13.2</v>
      </c>
      <c r="J26" t="n">
        <v>2</v>
      </c>
      <c r="K26" t="n">
        <v>7</v>
      </c>
      <c r="L26" t="n">
        <v>8</v>
      </c>
      <c r="M26" t="n">
        <v>4</v>
      </c>
      <c r="N26" t="n">
        <v>0</v>
      </c>
      <c r="O26" t="n">
        <v>0</v>
      </c>
      <c r="P26" t="n">
        <v>0</v>
      </c>
      <c r="Q26" t="n">
        <v>12</v>
      </c>
      <c r="R26" t="n">
        <v>4</v>
      </c>
      <c r="S26" t="n">
        <v>19</v>
      </c>
      <c r="T26" t="n">
        <v>132</v>
      </c>
      <c r="U26" t="n">
        <v>127</v>
      </c>
      <c r="V26" s="2" t="inlineStr">
        <is>
          <t>Garnlav
Gränsticka
Knärot
Ostticka
Brunpudrad nållav
Kortskaftad ärgspik
Lunglav
Rosenticka
Rynkskinn
Stjärntagging
Ullticka
Vitgrynig nållav
Björksplintborre
Bronshjon
Kornig nållav
Källpraktmossa
Spindelblomster
Vedticka
Vågbandad barkbock</t>
        </is>
      </c>
      <c r="W26">
        <f>HYPERLINK("https://klasma.github.io/Logging_2313/artfynd/A 27666-2026 artfynd.xlsx", "A 27666-2026")</f>
        <v/>
      </c>
      <c r="X26">
        <f>HYPERLINK("https://klasma.github.io/Logging_2313/kartor/A 27666-2026 karta.png", "A 27666-2026")</f>
        <v/>
      </c>
      <c r="Y26">
        <f>HYPERLINK("https://klasma.github.io/Logging_2313/kartor_geotiff/A 27666-2026 georefererad karta.tif", "A 27666-2026")</f>
        <v/>
      </c>
      <c r="Z26">
        <f>HYPERLINK("https://klasma.github.io/Logging_2313/knärot/A 27666-2026 karta knärot.png", "A 27666-2026")</f>
        <v/>
      </c>
      <c r="AA26">
        <f>HYPERLINK("https://klasma.github.io/Logging_2313/klagomål/A 27666-2026 FSC-klagomål.docx", "A 27666-2026")</f>
        <v/>
      </c>
      <c r="AB26">
        <f>HYPERLINK("https://klasma.github.io/Logging_2313/klagomålsmail/A 27666-2026 FSC-klagomål mail.docx", "A 27666-2026")</f>
        <v/>
      </c>
      <c r="AC26">
        <f>HYPERLINK("https://klasma.github.io/Logging_2313/tillsyn/A 27666-2026 tillsynsbegäran.docx", "A 27666-2026")</f>
        <v/>
      </c>
      <c r="AD26">
        <f>HYPERLINK("https://klasma.github.io/Logging_2313/tillsynsmail/A 27666-2026 tillsynsbegäran mail.docx", "A 27666-2026")</f>
        <v/>
      </c>
    </row>
    <row r="27" ht="15" customHeight="1">
      <c r="A27" t="inlineStr">
        <is>
          <t>A 40673-2024</t>
        </is>
      </c>
      <c r="B27" t="inlineStr">
        <is>
          <t>avverkningsanmälan</t>
        </is>
      </c>
      <c r="C27" t="inlineStr">
        <is>
          <t>Föryngringsavverkning</t>
        </is>
      </c>
      <c r="D27" s="1" t="n">
        <v>45558</v>
      </c>
      <c r="E27" s="1" t="n">
        <v>46318</v>
      </c>
      <c r="F27" t="inlineStr">
        <is>
          <t>JÄMTLANDS LÄN</t>
        </is>
      </c>
      <c r="G27" t="inlineStr">
        <is>
          <t>STRÖMSUND</t>
        </is>
      </c>
      <c r="I27" t="n">
        <v>7.7</v>
      </c>
      <c r="J27" t="n">
        <v>8</v>
      </c>
      <c r="K27" t="n">
        <v>8</v>
      </c>
      <c r="L27" t="n">
        <v>6</v>
      </c>
      <c r="M27" t="n">
        <v>2</v>
      </c>
      <c r="N27" t="n">
        <v>0</v>
      </c>
      <c r="O27" t="n">
        <v>0</v>
      </c>
      <c r="P27" t="n">
        <v>0</v>
      </c>
      <c r="Q27" t="n">
        <v>8</v>
      </c>
      <c r="R27" t="n">
        <v>2</v>
      </c>
      <c r="S27" t="n">
        <v>18</v>
      </c>
      <c r="T27" t="n">
        <v>56</v>
      </c>
      <c r="U27" t="n">
        <v>56</v>
      </c>
      <c r="V27" s="2" t="inlineStr">
        <is>
          <t>Garnlav
Lappuggla
Fjällig taggsvamp s.str.
Harticka
Skrovellav
Tallticka
Talltita
Tretåig hackspett
Bårdlav
Guckusko
Korallrot
Luddlav
Plattlummer
Rödgul trumpetsvamp
Svavelriska
Trådticka
Spillkråka
Brudsporre</t>
        </is>
      </c>
      <c r="W27">
        <f>HYPERLINK("https://klasma.github.io/Logging_2313/artfynd/A 40673-2024 artfynd.xlsx", "A 40673-2024")</f>
        <v/>
      </c>
      <c r="X27">
        <f>HYPERLINK("https://klasma.github.io/Logging_2313/kartor/A 40673-2024 karta.png", "A 40673-2024")</f>
        <v/>
      </c>
      <c r="Y27">
        <f>HYPERLINK("https://klasma.github.io/Logging_2313/kartor_geotiff/A 40673-2024 georefererad karta.tif", "A 40673-2024")</f>
        <v/>
      </c>
      <c r="AA27">
        <f>HYPERLINK("https://klasma.github.io/Logging_2313/klagomål/A 40673-2024 FSC-klagomål.docx", "A 40673-2024")</f>
        <v/>
      </c>
      <c r="AB27">
        <f>HYPERLINK("https://klasma.github.io/Logging_2313/klagomålsmail/A 40673-2024 FSC-klagomål mail.docx", "A 40673-2024")</f>
        <v/>
      </c>
      <c r="AC27">
        <f>HYPERLINK("https://klasma.github.io/Logging_2313/tillsyn/A 40673-2024 tillsynsbegäran.docx", "A 40673-2024")</f>
        <v/>
      </c>
      <c r="AD27">
        <f>HYPERLINK("https://klasma.github.io/Logging_2313/tillsynsmail/A 40673-2024 tillsynsbegäran mail.docx", "A 40673-2024")</f>
        <v/>
      </c>
      <c r="AE27">
        <f>HYPERLINK("https://klasma.github.io/Logging_2313/fåglar/A 40673-2024 prioriterade fågelarter.docx", "A 40673-2024")</f>
        <v/>
      </c>
    </row>
    <row r="28" ht="15" customHeight="1">
      <c r="A28" t="inlineStr">
        <is>
          <t>A 68593-2021</t>
        </is>
      </c>
      <c r="B28" t="inlineStr">
        <is>
          <t>avverkningsanmälan</t>
        </is>
      </c>
      <c r="C28" t="inlineStr">
        <is>
          <t>Föryngringsavverkning</t>
        </is>
      </c>
      <c r="D28" s="1" t="n">
        <v>44529</v>
      </c>
      <c r="E28" s="1" t="n">
        <v>46318</v>
      </c>
      <c r="F28" t="inlineStr">
        <is>
          <t>JÄMTLANDS LÄN</t>
        </is>
      </c>
      <c r="G28" t="inlineStr">
        <is>
          <t>STRÖMSUND</t>
        </is>
      </c>
      <c r="I28" t="n">
        <v>20.7</v>
      </c>
      <c r="J28" t="n">
        <v>2</v>
      </c>
      <c r="K28" t="n">
        <v>5</v>
      </c>
      <c r="L28" t="n">
        <v>10</v>
      </c>
      <c r="M28" t="n">
        <v>2</v>
      </c>
      <c r="N28" t="n">
        <v>0</v>
      </c>
      <c r="O28" t="n">
        <v>0</v>
      </c>
      <c r="P28" t="n">
        <v>0</v>
      </c>
      <c r="Q28" t="n">
        <v>12</v>
      </c>
      <c r="R28" t="n">
        <v>2</v>
      </c>
      <c r="S28" t="n">
        <v>17</v>
      </c>
      <c r="T28" t="n">
        <v>41</v>
      </c>
      <c r="U28" t="n">
        <v>41</v>
      </c>
      <c r="V28" s="2" t="inlineStr">
        <is>
          <t>Garnlav
Gräddporing
Blanksvart spiklav
Blågrå svartspik
Brunpudrad nållav
Dvärgbägarlav
Kolflarnlav
Lunglav
Rynkskinn
Skrovellav
Vedskivlav
Vitgrynig nållav
Bårdlav
Plattlummer
Skinnlav
Spindelblomster
Stuplav</t>
        </is>
      </c>
      <c r="W28">
        <f>HYPERLINK("https://klasma.github.io/Logging_2313/artfynd/A 68593-2021 artfynd.xlsx", "A 68593-2021")</f>
        <v/>
      </c>
      <c r="X28">
        <f>HYPERLINK("https://klasma.github.io/Logging_2313/kartor/A 68593-2021 karta.png", "A 68593-2021")</f>
        <v/>
      </c>
      <c r="Y28">
        <f>HYPERLINK("https://klasma.github.io/Logging_2313/kartor_geotiff/A 68593-2021 georefererad karta.tif", "A 68593-2021")</f>
        <v/>
      </c>
      <c r="AA28">
        <f>HYPERLINK("https://klasma.github.io/Logging_2313/klagomål/A 68593-2021 FSC-klagomål.docx", "A 68593-2021")</f>
        <v/>
      </c>
      <c r="AB28">
        <f>HYPERLINK("https://klasma.github.io/Logging_2313/klagomålsmail/A 68593-2021 FSC-klagomål mail.docx", "A 68593-2021")</f>
        <v/>
      </c>
      <c r="AC28">
        <f>HYPERLINK("https://klasma.github.io/Logging_2313/tillsyn/A 68593-2021 tillsynsbegäran.docx", "A 68593-2021")</f>
        <v/>
      </c>
      <c r="AD28">
        <f>HYPERLINK("https://klasma.github.io/Logging_2313/tillsynsmail/A 68593-2021 tillsynsbegäran mail.docx", "A 68593-2021")</f>
        <v/>
      </c>
    </row>
    <row r="29" ht="15" customHeight="1">
      <c r="A29" t="inlineStr">
        <is>
          <t>A 9593-2026</t>
        </is>
      </c>
      <c r="B29" t="inlineStr">
        <is>
          <t>avverkningsanmälan</t>
        </is>
      </c>
      <c r="C29" t="inlineStr">
        <is>
          <t>Föryngringsavverkning</t>
        </is>
      </c>
      <c r="D29" s="1" t="n">
        <v>46071</v>
      </c>
      <c r="E29" s="1" t="n">
        <v>46318</v>
      </c>
      <c r="F29" t="inlineStr">
        <is>
          <t>JÄMTLANDS LÄN</t>
        </is>
      </c>
      <c r="G29" t="inlineStr">
        <is>
          <t>STRÖMSUND</t>
        </is>
      </c>
      <c r="I29" t="n">
        <v>19.1</v>
      </c>
      <c r="J29" t="n">
        <v>2</v>
      </c>
      <c r="K29" t="n">
        <v>6</v>
      </c>
      <c r="L29" t="n">
        <v>6</v>
      </c>
      <c r="M29" t="n">
        <v>5</v>
      </c>
      <c r="N29" t="n">
        <v>0</v>
      </c>
      <c r="O29" t="n">
        <v>0</v>
      </c>
      <c r="P29" t="n">
        <v>0</v>
      </c>
      <c r="Q29" t="n">
        <v>11</v>
      </c>
      <c r="R29" t="n">
        <v>5</v>
      </c>
      <c r="S29" t="n">
        <v>17</v>
      </c>
      <c r="T29" t="n">
        <v>43</v>
      </c>
      <c r="U29" t="n">
        <v>12</v>
      </c>
      <c r="V29" s="2" t="inlineStr">
        <is>
          <t>Amerikansk sönderfallslav
Cliostomum piceicola
Garnlav
Norsk näverlav
Skäggvaxskivling
Brunpudrad nållav
Harticka
Luddfingersvamp
Lunglav
Skrovellav
Tretåig hackspett
Bårdlav
Gulnål
Gytterlav
Spindelblomster
Stuplav
Västlig hakmossa</t>
        </is>
      </c>
      <c r="W29">
        <f>HYPERLINK("https://klasma.github.io/Logging_2313/artfynd/A 9593-2026 artfynd.xlsx", "A 9593-2026")</f>
        <v/>
      </c>
      <c r="X29">
        <f>HYPERLINK("https://klasma.github.io/Logging_2313/kartor/A 9593-2026 karta.png", "A 9593-2026")</f>
        <v/>
      </c>
      <c r="Y29">
        <f>HYPERLINK("https://klasma.github.io/Logging_2313/kartor_geotiff/A 9593-2026 georefererad karta.tif", "A 9593-2026")</f>
        <v/>
      </c>
      <c r="AA29">
        <f>HYPERLINK("https://klasma.github.io/Logging_2313/klagomål/A 9593-2026 FSC-klagomål.docx", "A 9593-2026")</f>
        <v/>
      </c>
      <c r="AB29">
        <f>HYPERLINK("https://klasma.github.io/Logging_2313/klagomålsmail/A 9593-2026 FSC-klagomål mail.docx", "A 9593-2026")</f>
        <v/>
      </c>
      <c r="AC29">
        <f>HYPERLINK("https://klasma.github.io/Logging_2313/tillsyn/A 9593-2026 tillsynsbegäran.docx", "A 9593-2026")</f>
        <v/>
      </c>
      <c r="AD29">
        <f>HYPERLINK("https://klasma.github.io/Logging_2313/tillsynsmail/A 9593-2026 tillsynsbegäran mail.docx", "A 9593-2026")</f>
        <v/>
      </c>
      <c r="AE29">
        <f>HYPERLINK("https://klasma.github.io/Logging_2313/fåglar/A 9593-2026 prioriterade fågelarter.docx", "A 9593-2026")</f>
        <v/>
      </c>
    </row>
    <row r="30" ht="15" customHeight="1">
      <c r="A30" t="inlineStr">
        <is>
          <t>A 32304-2025</t>
        </is>
      </c>
      <c r="B30" t="inlineStr">
        <is>
          <t>avverkningsanmälan</t>
        </is>
      </c>
      <c r="C30" t="inlineStr">
        <is>
          <t>Föryngringsavverkning</t>
        </is>
      </c>
      <c r="D30" s="1" t="n">
        <v>45835</v>
      </c>
      <c r="E30" s="1" t="n">
        <v>46318</v>
      </c>
      <c r="F30" t="inlineStr">
        <is>
          <t>JÄMTLANDS LÄN</t>
        </is>
      </c>
      <c r="G30" t="inlineStr">
        <is>
          <t>STRÖMSUND</t>
        </is>
      </c>
      <c r="H30" t="inlineStr">
        <is>
          <t>SCA</t>
        </is>
      </c>
      <c r="I30" t="n">
        <v>9.4</v>
      </c>
      <c r="J30" t="n">
        <v>4</v>
      </c>
      <c r="K30" t="n">
        <v>5</v>
      </c>
      <c r="L30" t="n">
        <v>7</v>
      </c>
      <c r="M30" t="n">
        <v>3</v>
      </c>
      <c r="N30" t="n">
        <v>1</v>
      </c>
      <c r="O30" t="n">
        <v>0</v>
      </c>
      <c r="P30" t="n">
        <v>0</v>
      </c>
      <c r="Q30" t="n">
        <v>11</v>
      </c>
      <c r="R30" t="n">
        <v>4</v>
      </c>
      <c r="S30" t="n">
        <v>16</v>
      </c>
      <c r="T30" t="n">
        <v>19</v>
      </c>
      <c r="U30" t="n">
        <v>6</v>
      </c>
      <c r="V30" s="2" t="inlineStr">
        <is>
          <t>Mikroskapania
Fläckporing
Gräddporing
Knärot
Barrfagerspindling
Kortskaftad ärgspik
Lunglav
Tretåig hackspett
Ullticka
Vaddporing
Vedtrappmossa
Finbräken
Guckusko
Strimspindling
Svart trolldruva
Trådfräken</t>
        </is>
      </c>
      <c r="W30">
        <f>HYPERLINK("https://klasma.github.io/Logging_2313/artfynd/A 32304-2025 artfynd.xlsx", "A 32304-2025")</f>
        <v/>
      </c>
      <c r="X30">
        <f>HYPERLINK("https://klasma.github.io/Logging_2313/kartor/A 32304-2025 karta.png", "A 32304-2025")</f>
        <v/>
      </c>
      <c r="Y30">
        <f>HYPERLINK("https://klasma.github.io/Logging_2313/kartor_geotiff/A 32304-2025 georefererad karta.tif", "A 32304-2025")</f>
        <v/>
      </c>
      <c r="Z30">
        <f>HYPERLINK("https://klasma.github.io/Logging_2313/knärot/A 32304-2025 karta knärot.png", "A 32304-2025")</f>
        <v/>
      </c>
      <c r="AA30">
        <f>HYPERLINK("https://klasma.github.io/Logging_2313/klagomål/A 32304-2025 FSC-klagomål.docx", "A 32304-2025")</f>
        <v/>
      </c>
      <c r="AB30">
        <f>HYPERLINK("https://klasma.github.io/Logging_2313/klagomålsmail/A 32304-2025 FSC-klagomål mail.docx", "A 32304-2025")</f>
        <v/>
      </c>
      <c r="AC30">
        <f>HYPERLINK("https://klasma.github.io/Logging_2313/tillsyn/A 32304-2025 tillsynsbegäran.docx", "A 32304-2025")</f>
        <v/>
      </c>
      <c r="AD30">
        <f>HYPERLINK("https://klasma.github.io/Logging_2313/tillsynsmail/A 32304-2025 tillsynsbegäran mail.docx", "A 32304-2025")</f>
        <v/>
      </c>
      <c r="AE30">
        <f>HYPERLINK("https://klasma.github.io/Logging_2313/fåglar/A 32304-2025 prioriterade fågelarter.docx", "A 32304-2025")</f>
        <v/>
      </c>
    </row>
    <row r="31" ht="15" customHeight="1">
      <c r="A31" t="inlineStr">
        <is>
          <t>A 37262-2025</t>
        </is>
      </c>
      <c r="B31" t="inlineStr">
        <is>
          <t>avverkningsanmälan</t>
        </is>
      </c>
      <c r="C31" t="inlineStr">
        <is>
          <t>Föryngringsavverkning</t>
        </is>
      </c>
      <c r="D31" s="1" t="n">
        <v>45876</v>
      </c>
      <c r="E31" s="1" t="n">
        <v>46318</v>
      </c>
      <c r="F31" t="inlineStr">
        <is>
          <t>JÄMTLANDS LÄN</t>
        </is>
      </c>
      <c r="G31" t="inlineStr">
        <is>
          <t>STRÖMSUND</t>
        </is>
      </c>
      <c r="I31" t="n">
        <v>8.1</v>
      </c>
      <c r="J31" t="n">
        <v>3</v>
      </c>
      <c r="K31" t="n">
        <v>0</v>
      </c>
      <c r="L31" t="n">
        <v>12</v>
      </c>
      <c r="M31" t="n">
        <v>2</v>
      </c>
      <c r="N31" t="n">
        <v>0</v>
      </c>
      <c r="O31" t="n">
        <v>0</v>
      </c>
      <c r="P31" t="n">
        <v>0</v>
      </c>
      <c r="Q31" t="n">
        <v>14</v>
      </c>
      <c r="R31" t="n">
        <v>2</v>
      </c>
      <c r="S31" t="n">
        <v>16</v>
      </c>
      <c r="T31" t="n">
        <v>45</v>
      </c>
      <c r="U31" t="n">
        <v>45</v>
      </c>
      <c r="V31" s="2" t="inlineStr">
        <is>
          <t>Garnlav
Gräddporing
Dropptaggsvamp
Harticka
Kolflarnlav
Lunglav
Mörk kolflarnlav
Nordtagging
Skrovellav
Tretåig hackspett
Vedflamlav
Vedskivlav
Vedtrappmossa
Vitgrynig nållav
Järpe
Tjäder</t>
        </is>
      </c>
      <c r="W31">
        <f>HYPERLINK("https://klasma.github.io/Logging_2313/artfynd/A 37262-2025 artfynd.xlsx", "A 37262-2025")</f>
        <v/>
      </c>
      <c r="X31">
        <f>HYPERLINK("https://klasma.github.io/Logging_2313/kartor/A 37262-2025 karta.png", "A 37262-2025")</f>
        <v/>
      </c>
      <c r="Y31">
        <f>HYPERLINK("https://klasma.github.io/Logging_2313/kartor_geotiff/A 37262-2025 georefererad karta.tif", "A 37262-2025")</f>
        <v/>
      </c>
      <c r="AA31">
        <f>HYPERLINK("https://klasma.github.io/Logging_2313/klagomål/A 37262-2025 FSC-klagomål.docx", "A 37262-2025")</f>
        <v/>
      </c>
      <c r="AB31">
        <f>HYPERLINK("https://klasma.github.io/Logging_2313/klagomålsmail/A 37262-2025 FSC-klagomål mail.docx", "A 37262-2025")</f>
        <v/>
      </c>
      <c r="AC31">
        <f>HYPERLINK("https://klasma.github.io/Logging_2313/tillsyn/A 37262-2025 tillsynsbegäran.docx", "A 37262-2025")</f>
        <v/>
      </c>
      <c r="AD31">
        <f>HYPERLINK("https://klasma.github.io/Logging_2313/tillsynsmail/A 37262-2025 tillsynsbegäran mail.docx", "A 37262-2025")</f>
        <v/>
      </c>
      <c r="AE31">
        <f>HYPERLINK("https://klasma.github.io/Logging_2313/fåglar/A 37262-2025 prioriterade fågelarter.docx", "A 37262-2025")</f>
        <v/>
      </c>
    </row>
    <row r="32" ht="15" customHeight="1">
      <c r="A32" t="inlineStr">
        <is>
          <t>A 5737-2026</t>
        </is>
      </c>
      <c r="B32" t="inlineStr">
        <is>
          <t>avverkningsanmälan</t>
        </is>
      </c>
      <c r="C32" t="inlineStr">
        <is>
          <t>Föryngringsavverkning</t>
        </is>
      </c>
      <c r="D32" s="1" t="n">
        <v>46049</v>
      </c>
      <c r="E32" s="1" t="n">
        <v>46318</v>
      </c>
      <c r="F32" t="inlineStr">
        <is>
          <t>JÄMTLANDS LÄN</t>
        </is>
      </c>
      <c r="G32" t="inlineStr">
        <is>
          <t>STRÖMSUND</t>
        </is>
      </c>
      <c r="I32" t="n">
        <v>19.6</v>
      </c>
      <c r="J32" t="n">
        <v>2</v>
      </c>
      <c r="K32" t="n">
        <v>5</v>
      </c>
      <c r="L32" t="n">
        <v>9</v>
      </c>
      <c r="M32" t="n">
        <v>1</v>
      </c>
      <c r="N32" t="n">
        <v>0</v>
      </c>
      <c r="O32" t="n">
        <v>0</v>
      </c>
      <c r="P32" t="n">
        <v>0</v>
      </c>
      <c r="Q32" t="n">
        <v>10</v>
      </c>
      <c r="R32" t="n">
        <v>1</v>
      </c>
      <c r="S32" t="n">
        <v>15</v>
      </c>
      <c r="T32" t="n">
        <v>29</v>
      </c>
      <c r="U32" t="n">
        <v>0</v>
      </c>
      <c r="V32" s="2" t="inlineStr">
        <is>
          <t>Knärot
Kolflarnlav
Lunglav
Rosenticka
Rynkskinn
Skrovellav
Ullticka
Vedflikmossa
Vedtrappmossa
Vitgrynig nållav
Bårdlav
Dvärgtufs
Korallblylav
Korallrot
Vedticka</t>
        </is>
      </c>
      <c r="W32">
        <f>HYPERLINK("https://klasma.github.io/Logging_2313/artfynd/A 5737-2026 artfynd.xlsx", "A 5737-2026")</f>
        <v/>
      </c>
      <c r="X32">
        <f>HYPERLINK("https://klasma.github.io/Logging_2313/kartor/A 5737-2026 karta.png", "A 5737-2026")</f>
        <v/>
      </c>
      <c r="Y32">
        <f>HYPERLINK("https://klasma.github.io/Logging_2313/kartor_geotiff/A 5737-2026 georefererad karta.tif", "A 5737-2026")</f>
        <v/>
      </c>
      <c r="Z32">
        <f>HYPERLINK("https://klasma.github.io/Logging_2313/knärot/A 5737-2026 karta knärot.png", "A 5737-2026")</f>
        <v/>
      </c>
      <c r="AA32">
        <f>HYPERLINK("https://klasma.github.io/Logging_2313/klagomål/A 5737-2026 FSC-klagomål.docx", "A 5737-2026")</f>
        <v/>
      </c>
      <c r="AB32">
        <f>HYPERLINK("https://klasma.github.io/Logging_2313/klagomålsmail/A 5737-2026 FSC-klagomål mail.docx", "A 5737-2026")</f>
        <v/>
      </c>
      <c r="AC32">
        <f>HYPERLINK("https://klasma.github.io/Logging_2313/tillsyn/A 5737-2026 tillsynsbegäran.docx", "A 5737-2026")</f>
        <v/>
      </c>
      <c r="AD32">
        <f>HYPERLINK("https://klasma.github.io/Logging_2313/tillsynsmail/A 5737-2026 tillsynsbegäran mail.docx", "A 5737-2026")</f>
        <v/>
      </c>
    </row>
    <row r="33" ht="15" customHeight="1">
      <c r="A33" t="inlineStr">
        <is>
          <t>A 43417-2023</t>
        </is>
      </c>
      <c r="B33" t="inlineStr">
        <is>
          <t>avverkningsanmälan</t>
        </is>
      </c>
      <c r="C33" t="inlineStr">
        <is>
          <t>Föryngringsavverkning</t>
        </is>
      </c>
      <c r="D33" s="1" t="n">
        <v>45183</v>
      </c>
      <c r="E33" s="1" t="n">
        <v>46318</v>
      </c>
      <c r="F33" t="inlineStr">
        <is>
          <t>JÄMTLANDS LÄN</t>
        </is>
      </c>
      <c r="G33" t="inlineStr">
        <is>
          <t>STRÖMSUND</t>
        </is>
      </c>
      <c r="H33" t="inlineStr">
        <is>
          <t>SCA</t>
        </is>
      </c>
      <c r="I33" t="n">
        <v>8.199999999999999</v>
      </c>
      <c r="J33" t="n">
        <v>3</v>
      </c>
      <c r="K33" t="n">
        <v>4</v>
      </c>
      <c r="L33" t="n">
        <v>6</v>
      </c>
      <c r="M33" t="n">
        <v>3</v>
      </c>
      <c r="N33" t="n">
        <v>0</v>
      </c>
      <c r="O33" t="n">
        <v>0</v>
      </c>
      <c r="P33" t="n">
        <v>0</v>
      </c>
      <c r="Q33" t="n">
        <v>9</v>
      </c>
      <c r="R33" t="n">
        <v>3</v>
      </c>
      <c r="S33" t="n">
        <v>15</v>
      </c>
      <c r="T33" t="n">
        <v>25</v>
      </c>
      <c r="U33" t="n">
        <v>25</v>
      </c>
      <c r="V33" s="2" t="inlineStr">
        <is>
          <t>Doftticka
Garnlav
Skrovlig taggsvamp
Doftskinn
Lunglav
Mörk kolflarnlav
Skarp dropptaggsvamp
Skrovellav
Vaddporing
Bårdlav
Luddlav
Skinnlav
Stuplav
Järpe
Tjäder</t>
        </is>
      </c>
      <c r="W33">
        <f>HYPERLINK("https://klasma.github.io/Logging_2313/artfynd/A 43417-2023 artfynd.xlsx", "A 43417-2023")</f>
        <v/>
      </c>
      <c r="X33">
        <f>HYPERLINK("https://klasma.github.io/Logging_2313/kartor/A 43417-2023 karta.png", "A 43417-2023")</f>
        <v/>
      </c>
      <c r="Y33">
        <f>HYPERLINK("https://klasma.github.io/Logging_2313/kartor_geotiff/A 43417-2023 georefererad karta.tif", "A 43417-2023")</f>
        <v/>
      </c>
      <c r="AA33">
        <f>HYPERLINK("https://klasma.github.io/Logging_2313/klagomål/A 43417-2023 FSC-klagomål.docx", "A 43417-2023")</f>
        <v/>
      </c>
      <c r="AB33">
        <f>HYPERLINK("https://klasma.github.io/Logging_2313/klagomålsmail/A 43417-2023 FSC-klagomål mail.docx", "A 43417-2023")</f>
        <v/>
      </c>
      <c r="AC33">
        <f>HYPERLINK("https://klasma.github.io/Logging_2313/tillsyn/A 43417-2023 tillsynsbegäran.docx", "A 43417-2023")</f>
        <v/>
      </c>
      <c r="AD33">
        <f>HYPERLINK("https://klasma.github.io/Logging_2313/tillsynsmail/A 43417-2023 tillsynsbegäran mail.docx", "A 43417-2023")</f>
        <v/>
      </c>
      <c r="AE33">
        <f>HYPERLINK("https://klasma.github.io/Logging_2313/fåglar/A 43417-2023 prioriterade fågelarter.docx", "A 43417-2023")</f>
        <v/>
      </c>
    </row>
    <row r="34" ht="15" customHeight="1">
      <c r="A34" t="inlineStr">
        <is>
          <t>A 54246-2022</t>
        </is>
      </c>
      <c r="B34" t="inlineStr">
        <is>
          <t>avverkningsanmälan</t>
        </is>
      </c>
      <c r="C34" t="inlineStr">
        <is>
          <t>Föryngringsavverkning</t>
        </is>
      </c>
      <c r="D34" s="1" t="n">
        <v>44881</v>
      </c>
      <c r="E34" s="1" t="n">
        <v>46318</v>
      </c>
      <c r="F34" t="inlineStr">
        <is>
          <t>JÄMTLANDS LÄN</t>
        </is>
      </c>
      <c r="G34" t="inlineStr">
        <is>
          <t>STRÖMSUND</t>
        </is>
      </c>
      <c r="H34" t="inlineStr">
        <is>
          <t>SCA</t>
        </is>
      </c>
      <c r="I34" t="n">
        <v>8.199999999999999</v>
      </c>
      <c r="J34" t="n">
        <v>3</v>
      </c>
      <c r="K34" t="n">
        <v>4</v>
      </c>
      <c r="L34" t="n">
        <v>7</v>
      </c>
      <c r="M34" t="n">
        <v>3</v>
      </c>
      <c r="N34" t="n">
        <v>0</v>
      </c>
      <c r="O34" t="n">
        <v>0</v>
      </c>
      <c r="P34" t="n">
        <v>0</v>
      </c>
      <c r="Q34" t="n">
        <v>10</v>
      </c>
      <c r="R34" t="n">
        <v>3</v>
      </c>
      <c r="S34" t="n">
        <v>15</v>
      </c>
      <c r="T34" t="n">
        <v>52</v>
      </c>
      <c r="U34" t="n">
        <v>28</v>
      </c>
      <c r="V34" s="2" t="inlineStr">
        <is>
          <t>Fjällfotad musseron
Garnlav
Läderdoftande fingersvamp
Fjällig taggsvamp s.str.
Gammelgransskål
Grantaggsvamp
Lunglav
Skrovellav
Tretåig hackspett
Äggvaxskivling
Bårdlav
Spindelblomster
Stuplav
Svavelriska
Spillkråka</t>
        </is>
      </c>
      <c r="W34">
        <f>HYPERLINK("https://klasma.github.io/Logging_2313/artfynd/A 54246-2022 artfynd.xlsx", "A 54246-2022")</f>
        <v/>
      </c>
      <c r="X34">
        <f>HYPERLINK("https://klasma.github.io/Logging_2313/kartor/A 54246-2022 karta.png", "A 54246-2022")</f>
        <v/>
      </c>
      <c r="Y34">
        <f>HYPERLINK("https://klasma.github.io/Logging_2313/kartor_geotiff/A 54246-2022 georefererad karta.tif", "A 54246-2022")</f>
        <v/>
      </c>
      <c r="AA34">
        <f>HYPERLINK("https://klasma.github.io/Logging_2313/klagomål/A 54246-2022 FSC-klagomål.docx", "A 54246-2022")</f>
        <v/>
      </c>
      <c r="AB34">
        <f>HYPERLINK("https://klasma.github.io/Logging_2313/klagomålsmail/A 54246-2022 FSC-klagomål mail.docx", "A 54246-2022")</f>
        <v/>
      </c>
      <c r="AC34">
        <f>HYPERLINK("https://klasma.github.io/Logging_2313/tillsyn/A 54246-2022 tillsynsbegäran.docx", "A 54246-2022")</f>
        <v/>
      </c>
      <c r="AD34">
        <f>HYPERLINK("https://klasma.github.io/Logging_2313/tillsynsmail/A 54246-2022 tillsynsbegäran mail.docx", "A 54246-2022")</f>
        <v/>
      </c>
      <c r="AE34">
        <f>HYPERLINK("https://klasma.github.io/Logging_2313/fåglar/A 54246-2022 prioriterade fågelarter.docx", "A 54246-2022")</f>
        <v/>
      </c>
    </row>
    <row r="35" ht="15" customHeight="1">
      <c r="A35" t="inlineStr">
        <is>
          <t>A 60164-2024</t>
        </is>
      </c>
      <c r="B35" t="inlineStr">
        <is>
          <t>avverkningsanmälan</t>
        </is>
      </c>
      <c r="C35" t="inlineStr">
        <is>
          <t>Föryngringsavverkning</t>
        </is>
      </c>
      <c r="D35" s="1" t="n">
        <v>45642</v>
      </c>
      <c r="E35" s="1" t="n">
        <v>46318</v>
      </c>
      <c r="F35" t="inlineStr">
        <is>
          <t>JÄMTLANDS LÄN</t>
        </is>
      </c>
      <c r="G35" t="inlineStr">
        <is>
          <t>STRÖMSUND</t>
        </is>
      </c>
      <c r="I35" t="n">
        <v>1.4</v>
      </c>
      <c r="J35" t="n">
        <v>0</v>
      </c>
      <c r="K35" t="n">
        <v>7</v>
      </c>
      <c r="L35" t="n">
        <v>6</v>
      </c>
      <c r="M35" t="n">
        <v>0</v>
      </c>
      <c r="N35" t="n">
        <v>0</v>
      </c>
      <c r="O35" t="n">
        <v>0</v>
      </c>
      <c r="P35" t="n">
        <v>0</v>
      </c>
      <c r="Q35" t="n">
        <v>6</v>
      </c>
      <c r="R35" t="n">
        <v>0</v>
      </c>
      <c r="S35" t="n">
        <v>14</v>
      </c>
      <c r="T35" t="n">
        <v>18</v>
      </c>
      <c r="U35" t="n">
        <v>2</v>
      </c>
      <c r="V35" s="2" t="inlineStr">
        <is>
          <t>Lunglav
Orange taggsvamp
Rynkskinn
Skrovellav
Vitgrynig nållav
Äggvaxskivling
Gytterlav
Luddlav
Mörk husmossa
Skinnlav
Skogshakmossa
Svart trolldruva
Svavelriska
Ekbräken</t>
        </is>
      </c>
      <c r="W35">
        <f>HYPERLINK("https://klasma.github.io/Logging_2313/artfynd/A 60164-2024 artfynd.xlsx", "A 60164-2024")</f>
        <v/>
      </c>
      <c r="X35">
        <f>HYPERLINK("https://klasma.github.io/Logging_2313/kartor/A 60164-2024 karta.png", "A 60164-2024")</f>
        <v/>
      </c>
      <c r="Y35">
        <f>HYPERLINK("https://klasma.github.io/Logging_2313/kartor_geotiff/A 60164-2024 georefererad karta.tif", "A 60164-2024")</f>
        <v/>
      </c>
      <c r="AA35">
        <f>HYPERLINK("https://klasma.github.io/Logging_2313/klagomål/A 60164-2024 FSC-klagomål.docx", "A 60164-2024")</f>
        <v/>
      </c>
      <c r="AB35">
        <f>HYPERLINK("https://klasma.github.io/Logging_2313/klagomålsmail/A 60164-2024 FSC-klagomål mail.docx", "A 60164-2024")</f>
        <v/>
      </c>
      <c r="AC35">
        <f>HYPERLINK("https://klasma.github.io/Logging_2313/tillsyn/A 60164-2024 tillsynsbegäran.docx", "A 60164-2024")</f>
        <v/>
      </c>
      <c r="AD35">
        <f>HYPERLINK("https://klasma.github.io/Logging_2313/tillsynsmail/A 60164-2024 tillsynsbegäran mail.docx", "A 60164-2024")</f>
        <v/>
      </c>
    </row>
    <row r="36" ht="15" customHeight="1">
      <c r="A36" t="inlineStr">
        <is>
          <t>A 40397-2023</t>
        </is>
      </c>
      <c r="B36" t="inlineStr">
        <is>
          <t>avverkningsanmälan</t>
        </is>
      </c>
      <c r="C36" t="inlineStr">
        <is>
          <t>Föryngringsavverkning</t>
        </is>
      </c>
      <c r="D36" s="1" t="n">
        <v>45169</v>
      </c>
      <c r="E36" s="1" t="n">
        <v>46318</v>
      </c>
      <c r="F36" t="inlineStr">
        <is>
          <t>JÄMTLANDS LÄN</t>
        </is>
      </c>
      <c r="G36" t="inlineStr">
        <is>
          <t>STRÖMSUND</t>
        </is>
      </c>
      <c r="H36" t="inlineStr">
        <is>
          <t>SCA</t>
        </is>
      </c>
      <c r="I36" t="n">
        <v>5.4</v>
      </c>
      <c r="J36" t="n">
        <v>1</v>
      </c>
      <c r="K36" t="n">
        <v>5</v>
      </c>
      <c r="L36" t="n">
        <v>7</v>
      </c>
      <c r="M36" t="n">
        <v>1</v>
      </c>
      <c r="N36" t="n">
        <v>0</v>
      </c>
      <c r="O36" t="n">
        <v>0</v>
      </c>
      <c r="P36" t="n">
        <v>0</v>
      </c>
      <c r="Q36" t="n">
        <v>8</v>
      </c>
      <c r="R36" t="n">
        <v>1</v>
      </c>
      <c r="S36" t="n">
        <v>13</v>
      </c>
      <c r="T36" t="n">
        <v>17</v>
      </c>
      <c r="U36" t="n">
        <v>17</v>
      </c>
      <c r="V36" s="2" t="inlineStr">
        <is>
          <t>Garnlav
Brunpudrad nållav
Gammelgransskål
Lunglav
Rosenticka
Skrovellav
Ullticka
Vitgrynig nållav
Guckusko
Gulnål
Kransrams
Svavelriska
Vedticka</t>
        </is>
      </c>
      <c r="W36">
        <f>HYPERLINK("https://klasma.github.io/Logging_2313/artfynd/A 40397-2023 artfynd.xlsx", "A 40397-2023")</f>
        <v/>
      </c>
      <c r="X36">
        <f>HYPERLINK("https://klasma.github.io/Logging_2313/kartor/A 40397-2023 karta.png", "A 40397-2023")</f>
        <v/>
      </c>
      <c r="Y36">
        <f>HYPERLINK("https://klasma.github.io/Logging_2313/kartor_geotiff/A 40397-2023 georefererad karta.tif", "A 40397-2023")</f>
        <v/>
      </c>
      <c r="AA36">
        <f>HYPERLINK("https://klasma.github.io/Logging_2313/klagomål/A 40397-2023 FSC-klagomål.docx", "A 40397-2023")</f>
        <v/>
      </c>
      <c r="AB36">
        <f>HYPERLINK("https://klasma.github.io/Logging_2313/klagomålsmail/A 40397-2023 FSC-klagomål mail.docx", "A 40397-2023")</f>
        <v/>
      </c>
      <c r="AC36">
        <f>HYPERLINK("https://klasma.github.io/Logging_2313/tillsyn/A 40397-2023 tillsynsbegäran.docx", "A 40397-2023")</f>
        <v/>
      </c>
      <c r="AD36">
        <f>HYPERLINK("https://klasma.github.io/Logging_2313/tillsynsmail/A 40397-2023 tillsynsbegäran mail.docx", "A 40397-2023")</f>
        <v/>
      </c>
    </row>
    <row r="37" ht="15" customHeight="1">
      <c r="A37" t="inlineStr">
        <is>
          <t>A 12622-2026</t>
        </is>
      </c>
      <c r="B37" t="inlineStr">
        <is>
          <t>avverkningsanmälan</t>
        </is>
      </c>
      <c r="C37" t="inlineStr">
        <is>
          <t>Föryngringsavverkning</t>
        </is>
      </c>
      <c r="D37" s="1" t="n">
        <v>46091</v>
      </c>
      <c r="E37" s="1" t="n">
        <v>46318</v>
      </c>
      <c r="F37" t="inlineStr">
        <is>
          <t>JÄMTLANDS LÄN</t>
        </is>
      </c>
      <c r="G37" t="inlineStr">
        <is>
          <t>STRÖMSUND</t>
        </is>
      </c>
      <c r="I37" t="n">
        <v>5.2</v>
      </c>
      <c r="J37" t="n">
        <v>4</v>
      </c>
      <c r="K37" t="n">
        <v>3</v>
      </c>
      <c r="L37" t="n">
        <v>5</v>
      </c>
      <c r="M37" t="n">
        <v>1</v>
      </c>
      <c r="N37" t="n">
        <v>0</v>
      </c>
      <c r="O37" t="n">
        <v>0</v>
      </c>
      <c r="P37" t="n">
        <v>0</v>
      </c>
      <c r="Q37" t="n">
        <v>6</v>
      </c>
      <c r="R37" t="n">
        <v>1</v>
      </c>
      <c r="S37" t="n">
        <v>13</v>
      </c>
      <c r="T37" t="n">
        <v>38</v>
      </c>
      <c r="U37" t="n">
        <v>38</v>
      </c>
      <c r="V37" s="2" t="inlineStr">
        <is>
          <t>Garnlav
Doftskinn
Harticka
Lunglav
Skrovellav
Tretåig hackspett
Bårdlav
Norrlandslav
Trådticka
Järpe
Linnea
Kungsfågel
Revlummer</t>
        </is>
      </c>
      <c r="W37">
        <f>HYPERLINK("https://klasma.github.io/Logging_2313/artfynd/A 12622-2026 artfynd.xlsx", "A 12622-2026")</f>
        <v/>
      </c>
      <c r="X37">
        <f>HYPERLINK("https://klasma.github.io/Logging_2313/kartor/A 12622-2026 karta.png", "A 12622-2026")</f>
        <v/>
      </c>
      <c r="Y37">
        <f>HYPERLINK("https://klasma.github.io/Logging_2313/kartor_geotiff/A 12622-2026 georefererad karta.tif", "A 12622-2026")</f>
        <v/>
      </c>
      <c r="AA37">
        <f>HYPERLINK("https://klasma.github.io/Logging_2313/klagomål/A 12622-2026 FSC-klagomål.docx", "A 12622-2026")</f>
        <v/>
      </c>
      <c r="AB37">
        <f>HYPERLINK("https://klasma.github.io/Logging_2313/klagomålsmail/A 12622-2026 FSC-klagomål mail.docx", "A 12622-2026")</f>
        <v/>
      </c>
      <c r="AC37">
        <f>HYPERLINK("https://klasma.github.io/Logging_2313/tillsyn/A 12622-2026 tillsynsbegäran.docx", "A 12622-2026")</f>
        <v/>
      </c>
      <c r="AD37">
        <f>HYPERLINK("https://klasma.github.io/Logging_2313/tillsynsmail/A 12622-2026 tillsynsbegäran mail.docx", "A 12622-2026")</f>
        <v/>
      </c>
      <c r="AE37">
        <f>HYPERLINK("https://klasma.github.io/Logging_2313/fåglar/A 12622-2026 prioriterade fågelarter.docx", "A 12622-2026")</f>
        <v/>
      </c>
    </row>
    <row r="38" ht="15" customHeight="1">
      <c r="A38" t="inlineStr">
        <is>
          <t>A 7126-2026</t>
        </is>
      </c>
      <c r="B38" t="inlineStr">
        <is>
          <t>avverkningsanmälan</t>
        </is>
      </c>
      <c r="C38" t="inlineStr">
        <is>
          <t>Föryngringsavverkning</t>
        </is>
      </c>
      <c r="D38" s="1" t="n">
        <v>46057</v>
      </c>
      <c r="E38" s="1" t="n">
        <v>46318</v>
      </c>
      <c r="F38" t="inlineStr">
        <is>
          <t>JÄMTLANDS LÄN</t>
        </is>
      </c>
      <c r="G38" t="inlineStr">
        <is>
          <t>STRÖMSUND</t>
        </is>
      </c>
      <c r="I38" t="n">
        <v>27.9</v>
      </c>
      <c r="J38" t="n">
        <v>2</v>
      </c>
      <c r="K38" t="n">
        <v>1</v>
      </c>
      <c r="L38" t="n">
        <v>8</v>
      </c>
      <c r="M38" t="n">
        <v>3</v>
      </c>
      <c r="N38" t="n">
        <v>0</v>
      </c>
      <c r="O38" t="n">
        <v>0</v>
      </c>
      <c r="P38" t="n">
        <v>0</v>
      </c>
      <c r="Q38" t="n">
        <v>11</v>
      </c>
      <c r="R38" t="n">
        <v>3</v>
      </c>
      <c r="S38" t="n">
        <v>13</v>
      </c>
      <c r="T38" t="n">
        <v>42</v>
      </c>
      <c r="U38" t="n">
        <v>0</v>
      </c>
      <c r="V38" s="2" t="inlineStr">
        <is>
          <t>Garnlav
Gränsticka
Ulltickeporing
Doftskinn
Harticka
Lunglav
Rosenticka
Rynkskinn
Skrovellav
Tretåig hackspett
Ullticka
Brun klibbskivling
Spillkråka</t>
        </is>
      </c>
      <c r="W38">
        <f>HYPERLINK("https://klasma.github.io/Logging_2313/artfynd/A 7126-2026 artfynd.xlsx", "A 7126-2026")</f>
        <v/>
      </c>
      <c r="X38">
        <f>HYPERLINK("https://klasma.github.io/Logging_2313/kartor/A 7126-2026 karta.png", "A 7126-2026")</f>
        <v/>
      </c>
      <c r="Y38">
        <f>HYPERLINK("https://klasma.github.io/Logging_2313/kartor_geotiff/A 7126-2026 georefererad karta.tif", "A 7126-2026")</f>
        <v/>
      </c>
      <c r="AA38">
        <f>HYPERLINK("https://klasma.github.io/Logging_2313/klagomål/A 7126-2026 FSC-klagomål.docx", "A 7126-2026")</f>
        <v/>
      </c>
      <c r="AB38">
        <f>HYPERLINK("https://klasma.github.io/Logging_2313/klagomålsmail/A 7126-2026 FSC-klagomål mail.docx", "A 7126-2026")</f>
        <v/>
      </c>
      <c r="AC38">
        <f>HYPERLINK("https://klasma.github.io/Logging_2313/tillsyn/A 7126-2026 tillsynsbegäran.docx", "A 7126-2026")</f>
        <v/>
      </c>
      <c r="AD38">
        <f>HYPERLINK("https://klasma.github.io/Logging_2313/tillsynsmail/A 7126-2026 tillsynsbegäran mail.docx", "A 7126-2026")</f>
        <v/>
      </c>
      <c r="AE38">
        <f>HYPERLINK("https://klasma.github.io/Logging_2313/fåglar/A 7126-2026 prioriterade fågelarter.docx", "A 7126-2026")</f>
        <v/>
      </c>
    </row>
    <row r="39" ht="15" customHeight="1">
      <c r="A39" t="inlineStr">
        <is>
          <t>A 23313-2025</t>
        </is>
      </c>
      <c r="B39" t="inlineStr">
        <is>
          <t>avverkningsanmälan</t>
        </is>
      </c>
      <c r="C39" t="inlineStr">
        <is>
          <t>Föryngringsavverkning</t>
        </is>
      </c>
      <c r="D39" s="1" t="n">
        <v>45791</v>
      </c>
      <c r="E39" s="1" t="n">
        <v>46318</v>
      </c>
      <c r="F39" t="inlineStr">
        <is>
          <t>JÄMTLANDS LÄN</t>
        </is>
      </c>
      <c r="G39" t="inlineStr">
        <is>
          <t>STRÖMSUND</t>
        </is>
      </c>
      <c r="I39" t="n">
        <v>5.8</v>
      </c>
      <c r="J39" t="n">
        <v>12</v>
      </c>
      <c r="K39" t="n">
        <v>0</v>
      </c>
      <c r="L39" t="n">
        <v>4</v>
      </c>
      <c r="M39" t="n">
        <v>0</v>
      </c>
      <c r="N39" t="n">
        <v>1</v>
      </c>
      <c r="O39" t="n">
        <v>0</v>
      </c>
      <c r="P39" t="n">
        <v>0</v>
      </c>
      <c r="Q39" t="n">
        <v>5</v>
      </c>
      <c r="R39" t="n">
        <v>1</v>
      </c>
      <c r="S39" t="n">
        <v>12</v>
      </c>
      <c r="T39" t="n">
        <v>16</v>
      </c>
      <c r="U39" t="n">
        <v>8</v>
      </c>
      <c r="V39" s="2" t="inlineStr">
        <is>
          <t>Storspov
Enkelbeckasin
Lavskrika
Rödvingetrast
Talltita
Spillkråka
Tjäder
Grönsiska
Kungsfågel
Orre
Trana
Ärtsångare</t>
        </is>
      </c>
      <c r="W39">
        <f>HYPERLINK("https://klasma.github.io/Logging_2313/artfynd/A 23313-2025 artfynd.xlsx", "A 23313-2025")</f>
        <v/>
      </c>
      <c r="X39">
        <f>HYPERLINK("https://klasma.github.io/Logging_2313/kartor/A 23313-2025 karta.png", "A 23313-2025")</f>
        <v/>
      </c>
      <c r="Y39">
        <f>HYPERLINK("https://klasma.github.io/Logging_2313/kartor_geotiff/A 23313-2025 georefererad karta.tif", "A 23313-2025")</f>
        <v/>
      </c>
      <c r="AA39">
        <f>HYPERLINK("https://klasma.github.io/Logging_2313/klagomål/A 23313-2025 FSC-klagomål.docx", "A 23313-2025")</f>
        <v/>
      </c>
      <c r="AB39">
        <f>HYPERLINK("https://klasma.github.io/Logging_2313/klagomålsmail/A 23313-2025 FSC-klagomål mail.docx", "A 23313-2025")</f>
        <v/>
      </c>
      <c r="AC39">
        <f>HYPERLINK("https://klasma.github.io/Logging_2313/tillsyn/A 23313-2025 tillsynsbegäran.docx", "A 23313-2025")</f>
        <v/>
      </c>
      <c r="AD39">
        <f>HYPERLINK("https://klasma.github.io/Logging_2313/tillsynsmail/A 23313-2025 tillsynsbegäran mail.docx", "A 23313-2025")</f>
        <v/>
      </c>
      <c r="AE39">
        <f>HYPERLINK("https://klasma.github.io/Logging_2313/fåglar/A 23313-2025 prioriterade fågelarter.docx", "A 23313-2025")</f>
        <v/>
      </c>
    </row>
    <row r="40" ht="15" customHeight="1">
      <c r="A40" t="inlineStr">
        <is>
          <t>A 26140-2022</t>
        </is>
      </c>
      <c r="B40" t="inlineStr">
        <is>
          <t>avverkningsanmälan</t>
        </is>
      </c>
      <c r="C40" t="inlineStr">
        <is>
          <t>Föryngringsavverkning</t>
        </is>
      </c>
      <c r="D40" s="1" t="n">
        <v>44734</v>
      </c>
      <c r="E40" s="1" t="n">
        <v>46318</v>
      </c>
      <c r="F40" t="inlineStr">
        <is>
          <t>JÄMTLANDS LÄN</t>
        </is>
      </c>
      <c r="G40" t="inlineStr">
        <is>
          <t>STRÖMSUND</t>
        </is>
      </c>
      <c r="H40" t="inlineStr">
        <is>
          <t>SCA</t>
        </is>
      </c>
      <c r="I40" t="n">
        <v>7.9</v>
      </c>
      <c r="J40" t="n">
        <v>3</v>
      </c>
      <c r="K40" t="n">
        <v>6</v>
      </c>
      <c r="L40" t="n">
        <v>4</v>
      </c>
      <c r="M40" t="n">
        <v>1</v>
      </c>
      <c r="N40" t="n">
        <v>0</v>
      </c>
      <c r="O40" t="n">
        <v>0</v>
      </c>
      <c r="P40" t="n">
        <v>0</v>
      </c>
      <c r="Q40" t="n">
        <v>5</v>
      </c>
      <c r="R40" t="n">
        <v>1</v>
      </c>
      <c r="S40" t="n">
        <v>12</v>
      </c>
      <c r="T40" t="n">
        <v>35</v>
      </c>
      <c r="U40" t="n">
        <v>0</v>
      </c>
      <c r="V40" s="2" t="inlineStr">
        <is>
          <t>Garnlav
Gammelgransskål
Lunglav
Skrovellav
Tretåig hackspett
Gulnål
Luddlav
Mörk husmossa
Skinnlav
Spindelblomster
Stuplav
Revlummer</t>
        </is>
      </c>
      <c r="W40">
        <f>HYPERLINK("https://klasma.github.io/Logging_2313/artfynd/A 26140-2022 artfynd.xlsx", "A 26140-2022")</f>
        <v/>
      </c>
      <c r="X40">
        <f>HYPERLINK("https://klasma.github.io/Logging_2313/kartor/A 26140-2022 karta.png", "A 26140-2022")</f>
        <v/>
      </c>
      <c r="Y40">
        <f>HYPERLINK("https://klasma.github.io/Logging_2313/kartor_geotiff/A 26140-2022 georefererad karta.tif", "A 26140-2022")</f>
        <v/>
      </c>
      <c r="AA40">
        <f>HYPERLINK("https://klasma.github.io/Logging_2313/klagomål/A 26140-2022 FSC-klagomål.docx", "A 26140-2022")</f>
        <v/>
      </c>
      <c r="AB40">
        <f>HYPERLINK("https://klasma.github.io/Logging_2313/klagomålsmail/A 26140-2022 FSC-klagomål mail.docx", "A 26140-2022")</f>
        <v/>
      </c>
      <c r="AC40">
        <f>HYPERLINK("https://klasma.github.io/Logging_2313/tillsyn/A 26140-2022 tillsynsbegäran.docx", "A 26140-2022")</f>
        <v/>
      </c>
      <c r="AD40">
        <f>HYPERLINK("https://klasma.github.io/Logging_2313/tillsynsmail/A 26140-2022 tillsynsbegäran mail.docx", "A 26140-2022")</f>
        <v/>
      </c>
      <c r="AE40">
        <f>HYPERLINK("https://klasma.github.io/Logging_2313/fåglar/A 26140-2022 prioriterade fågelarter.docx", "A 26140-2022")</f>
        <v/>
      </c>
    </row>
    <row r="41" ht="15" customHeight="1">
      <c r="A41" t="inlineStr">
        <is>
          <t>A 69142-2021</t>
        </is>
      </c>
      <c r="B41" t="inlineStr">
        <is>
          <t>avverkningsanmälan</t>
        </is>
      </c>
      <c r="C41" t="inlineStr">
        <is>
          <t>Föryngringsavverkning</t>
        </is>
      </c>
      <c r="D41" s="1" t="n">
        <v>44530</v>
      </c>
      <c r="E41" s="1" t="n">
        <v>46318</v>
      </c>
      <c r="F41" t="inlineStr">
        <is>
          <t>JÄMTLANDS LÄN</t>
        </is>
      </c>
      <c r="G41" t="inlineStr">
        <is>
          <t>STRÖMSUND</t>
        </is>
      </c>
      <c r="H41" t="inlineStr">
        <is>
          <t>SCA</t>
        </is>
      </c>
      <c r="I41" t="n">
        <v>4</v>
      </c>
      <c r="J41" t="n">
        <v>11</v>
      </c>
      <c r="K41" t="n">
        <v>0</v>
      </c>
      <c r="L41" t="n">
        <v>4</v>
      </c>
      <c r="M41" t="n">
        <v>1</v>
      </c>
      <c r="N41" t="n">
        <v>0</v>
      </c>
      <c r="O41" t="n">
        <v>0</v>
      </c>
      <c r="P41" t="n">
        <v>0</v>
      </c>
      <c r="Q41" t="n">
        <v>5</v>
      </c>
      <c r="R41" t="n">
        <v>1</v>
      </c>
      <c r="S41" t="n">
        <v>11</v>
      </c>
      <c r="T41" t="n">
        <v>12</v>
      </c>
      <c r="U41" t="n">
        <v>3</v>
      </c>
      <c r="V41" s="2" t="inlineStr">
        <is>
          <t>Grönfink
Björktrast
Ladusvala
Sädesärla
Talltita
Spillkråka
Grönsiska
Skogsduva
Svartvit flugsnappare
Trana
Fläcknycklar</t>
        </is>
      </c>
      <c r="W41">
        <f>HYPERLINK("https://klasma.github.io/Logging_2313/artfynd/A 69142-2021 artfynd.xlsx", "A 69142-2021")</f>
        <v/>
      </c>
      <c r="X41">
        <f>HYPERLINK("https://klasma.github.io/Logging_2313/kartor/A 69142-2021 karta.png", "A 69142-2021")</f>
        <v/>
      </c>
      <c r="Y41">
        <f>HYPERLINK("https://klasma.github.io/Logging_2313/kartor_geotiff/A 69142-2021 georefererad karta.tif", "A 69142-2021")</f>
        <v/>
      </c>
      <c r="AA41">
        <f>HYPERLINK("https://klasma.github.io/Logging_2313/klagomål/A 69142-2021 FSC-klagomål.docx", "A 69142-2021")</f>
        <v/>
      </c>
      <c r="AB41">
        <f>HYPERLINK("https://klasma.github.io/Logging_2313/klagomålsmail/A 69142-2021 FSC-klagomål mail.docx", "A 69142-2021")</f>
        <v/>
      </c>
      <c r="AC41">
        <f>HYPERLINK("https://klasma.github.io/Logging_2313/tillsyn/A 69142-2021 tillsynsbegäran.docx", "A 69142-2021")</f>
        <v/>
      </c>
      <c r="AD41">
        <f>HYPERLINK("https://klasma.github.io/Logging_2313/tillsynsmail/A 69142-2021 tillsynsbegäran mail.docx", "A 69142-2021")</f>
        <v/>
      </c>
      <c r="AE41">
        <f>HYPERLINK("https://klasma.github.io/Logging_2313/fåglar/A 69142-2021 prioriterade fågelarter.docx", "A 69142-2021")</f>
        <v/>
      </c>
    </row>
    <row r="42" ht="15" customHeight="1">
      <c r="A42" t="inlineStr">
        <is>
          <t>A 34023-2022</t>
        </is>
      </c>
      <c r="B42" t="inlineStr">
        <is>
          <t>avverkningsanmälan</t>
        </is>
      </c>
      <c r="C42" t="inlineStr">
        <is>
          <t>Föryngringsavverkning</t>
        </is>
      </c>
      <c r="D42" s="1" t="n">
        <v>44790</v>
      </c>
      <c r="E42" s="1" t="n">
        <v>46318</v>
      </c>
      <c r="F42" t="inlineStr">
        <is>
          <t>JÄMTLANDS LÄN</t>
        </is>
      </c>
      <c r="G42" t="inlineStr">
        <is>
          <t>STRÖMSUND</t>
        </is>
      </c>
      <c r="I42" t="n">
        <v>34.5</v>
      </c>
      <c r="J42" t="n">
        <v>11</v>
      </c>
      <c r="K42" t="n">
        <v>0</v>
      </c>
      <c r="L42" t="n">
        <v>4</v>
      </c>
      <c r="M42" t="n">
        <v>1</v>
      </c>
      <c r="N42" t="n">
        <v>0</v>
      </c>
      <c r="O42" t="n">
        <v>0</v>
      </c>
      <c r="P42" t="n">
        <v>0</v>
      </c>
      <c r="Q42" t="n">
        <v>5</v>
      </c>
      <c r="R42" t="n">
        <v>1</v>
      </c>
      <c r="S42" t="n">
        <v>11</v>
      </c>
      <c r="T42" t="n">
        <v>11</v>
      </c>
      <c r="U42" t="n">
        <v>10</v>
      </c>
      <c r="V42" s="2" t="inlineStr">
        <is>
          <t>Gråtrut
Björktrast
Bläsand
Gulsparv
Sädesärla
Kråka
Smålom
Svartvit flugsnappare
Sångsvan
Trana
Fläcknycklar</t>
        </is>
      </c>
      <c r="W42">
        <f>HYPERLINK("https://klasma.github.io/Logging_2313/artfynd/A 34023-2022 artfynd.xlsx", "A 34023-2022")</f>
        <v/>
      </c>
      <c r="X42">
        <f>HYPERLINK("https://klasma.github.io/Logging_2313/kartor/A 34023-2022 karta.png", "A 34023-2022")</f>
        <v/>
      </c>
      <c r="Y42">
        <f>HYPERLINK("https://klasma.github.io/Logging_2313/kartor_geotiff/A 34023-2022 georefererad karta.tif", "A 34023-2022")</f>
        <v/>
      </c>
      <c r="AA42">
        <f>HYPERLINK("https://klasma.github.io/Logging_2313/klagomål/A 34023-2022 FSC-klagomål.docx", "A 34023-2022")</f>
        <v/>
      </c>
      <c r="AB42">
        <f>HYPERLINK("https://klasma.github.io/Logging_2313/klagomålsmail/A 34023-2022 FSC-klagomål mail.docx", "A 34023-2022")</f>
        <v/>
      </c>
      <c r="AC42">
        <f>HYPERLINK("https://klasma.github.io/Logging_2313/tillsyn/A 34023-2022 tillsynsbegäran.docx", "A 34023-2022")</f>
        <v/>
      </c>
      <c r="AD42">
        <f>HYPERLINK("https://klasma.github.io/Logging_2313/tillsynsmail/A 34023-2022 tillsynsbegäran mail.docx", "A 34023-2022")</f>
        <v/>
      </c>
      <c r="AE42">
        <f>HYPERLINK("https://klasma.github.io/Logging_2313/fåglar/A 34023-2022 prioriterade fågelarter.docx", "A 34023-2022")</f>
        <v/>
      </c>
    </row>
    <row r="43" ht="15" customHeight="1">
      <c r="A43" t="inlineStr">
        <is>
          <t>A 4866-2024</t>
        </is>
      </c>
      <c r="B43" t="inlineStr">
        <is>
          <t>avverkningsanmälan</t>
        </is>
      </c>
      <c r="C43" t="inlineStr">
        <is>
          <t>Föryngringsavverkning</t>
        </is>
      </c>
      <c r="D43" s="1" t="n">
        <v>45329</v>
      </c>
      <c r="E43" s="1" t="n">
        <v>46318</v>
      </c>
      <c r="F43" t="inlineStr">
        <is>
          <t>JÄMTLANDS LÄN</t>
        </is>
      </c>
      <c r="G43" t="inlineStr">
        <is>
          <t>STRÖMSUND</t>
        </is>
      </c>
      <c r="I43" t="n">
        <v>16.8</v>
      </c>
      <c r="J43" t="n">
        <v>4</v>
      </c>
      <c r="K43" t="n">
        <v>0</v>
      </c>
      <c r="L43" t="n">
        <v>8</v>
      </c>
      <c r="M43" t="n">
        <v>1</v>
      </c>
      <c r="N43" t="n">
        <v>0</v>
      </c>
      <c r="O43" t="n">
        <v>0</v>
      </c>
      <c r="P43" t="n">
        <v>0</v>
      </c>
      <c r="Q43" t="n">
        <v>9</v>
      </c>
      <c r="R43" t="n">
        <v>1</v>
      </c>
      <c r="S43" t="n">
        <v>11</v>
      </c>
      <c r="T43" t="n">
        <v>26</v>
      </c>
      <c r="U43" t="n">
        <v>26</v>
      </c>
      <c r="V43" s="2" t="inlineStr">
        <is>
          <t>Garnlav
Gammelgransskål
Harticka
Kötticka
Lavskrika
Rödbrun blekspik
Skrovellav
Tretåig hackspett
Ullticka
Järpe
Spillkråka</t>
        </is>
      </c>
      <c r="W43">
        <f>HYPERLINK("https://klasma.github.io/Logging_2313/artfynd/A 4866-2024 artfynd.xlsx", "A 4866-2024")</f>
        <v/>
      </c>
      <c r="X43">
        <f>HYPERLINK("https://klasma.github.io/Logging_2313/kartor/A 4866-2024 karta.png", "A 4866-2024")</f>
        <v/>
      </c>
      <c r="Y43">
        <f>HYPERLINK("https://klasma.github.io/Logging_2313/kartor_geotiff/A 4866-2024 georefererad karta.tif", "A 4866-2024")</f>
        <v/>
      </c>
      <c r="AA43">
        <f>HYPERLINK("https://klasma.github.io/Logging_2313/klagomål/A 4866-2024 FSC-klagomål.docx", "A 4866-2024")</f>
        <v/>
      </c>
      <c r="AB43">
        <f>HYPERLINK("https://klasma.github.io/Logging_2313/klagomålsmail/A 4866-2024 FSC-klagomål mail.docx", "A 4866-2024")</f>
        <v/>
      </c>
      <c r="AC43">
        <f>HYPERLINK("https://klasma.github.io/Logging_2313/tillsyn/A 4866-2024 tillsynsbegäran.docx", "A 4866-2024")</f>
        <v/>
      </c>
      <c r="AD43">
        <f>HYPERLINK("https://klasma.github.io/Logging_2313/tillsynsmail/A 4866-2024 tillsynsbegäran mail.docx", "A 4866-2024")</f>
        <v/>
      </c>
      <c r="AE43">
        <f>HYPERLINK("https://klasma.github.io/Logging_2313/fåglar/A 4866-2024 prioriterade fågelarter.docx", "A 4866-2024")</f>
        <v/>
      </c>
    </row>
    <row r="44" ht="15" customHeight="1">
      <c r="A44" t="inlineStr">
        <is>
          <t>A 24299-2023</t>
        </is>
      </c>
      <c r="B44" t="inlineStr">
        <is>
          <t>avverkningsanmälan</t>
        </is>
      </c>
      <c r="C44" t="inlineStr">
        <is>
          <t>Avverkning för att bevara och utveckla /försöksver</t>
        </is>
      </c>
      <c r="D44" s="1" t="n">
        <v>45079</v>
      </c>
      <c r="E44" s="1" t="n">
        <v>46318</v>
      </c>
      <c r="F44" t="inlineStr">
        <is>
          <t>JÄMTLANDS LÄN</t>
        </is>
      </c>
      <c r="G44" t="inlineStr">
        <is>
          <t>STRÖMSUND</t>
        </is>
      </c>
      <c r="H44" t="inlineStr">
        <is>
          <t>SCA</t>
        </is>
      </c>
      <c r="I44" t="n">
        <v>5.2</v>
      </c>
      <c r="J44" t="n">
        <v>0</v>
      </c>
      <c r="K44" t="n">
        <v>3</v>
      </c>
      <c r="L44" t="n">
        <v>5</v>
      </c>
      <c r="M44" t="n">
        <v>3</v>
      </c>
      <c r="N44" t="n">
        <v>0</v>
      </c>
      <c r="O44" t="n">
        <v>0</v>
      </c>
      <c r="P44" t="n">
        <v>0</v>
      </c>
      <c r="Q44" t="n">
        <v>8</v>
      </c>
      <c r="R44" t="n">
        <v>3</v>
      </c>
      <c r="S44" t="n">
        <v>11</v>
      </c>
      <c r="T44" t="n">
        <v>14</v>
      </c>
      <c r="U44" t="n">
        <v>0</v>
      </c>
      <c r="V44" s="2" t="inlineStr">
        <is>
          <t>Fläckporing
Garnlav
Gräddporing
Dropptaggsvamp
Kolflarnlav
Lunglav
Skrovellav
Vitgrynig nållav
Bårdlav
Källmossa
Stuplav</t>
        </is>
      </c>
      <c r="W44">
        <f>HYPERLINK("https://klasma.github.io/Logging_2313/artfynd/A 24299-2023 artfynd.xlsx", "A 24299-2023")</f>
        <v/>
      </c>
      <c r="X44">
        <f>HYPERLINK("https://klasma.github.io/Logging_2313/kartor/A 24299-2023 karta.png", "A 24299-2023")</f>
        <v/>
      </c>
      <c r="Y44">
        <f>HYPERLINK("https://klasma.github.io/Logging_2313/kartor_geotiff/A 24299-2023 georefererad karta.tif", "A 24299-2023")</f>
        <v/>
      </c>
      <c r="AA44">
        <f>HYPERLINK("https://klasma.github.io/Logging_2313/klagomål/A 24299-2023 FSC-klagomål.docx", "A 24299-2023")</f>
        <v/>
      </c>
      <c r="AB44">
        <f>HYPERLINK("https://klasma.github.io/Logging_2313/klagomålsmail/A 24299-2023 FSC-klagomål mail.docx", "A 24299-2023")</f>
        <v/>
      </c>
      <c r="AC44">
        <f>HYPERLINK("https://klasma.github.io/Logging_2313/tillsyn/A 24299-2023 tillsynsbegäran.docx", "A 24299-2023")</f>
        <v/>
      </c>
      <c r="AD44">
        <f>HYPERLINK("https://klasma.github.io/Logging_2313/tillsynsmail/A 24299-2023 tillsynsbegäran mail.docx", "A 24299-2023")</f>
        <v/>
      </c>
    </row>
    <row r="45" ht="15" customHeight="1">
      <c r="A45" t="inlineStr">
        <is>
          <t>A 33262-2024</t>
        </is>
      </c>
      <c r="B45" t="inlineStr">
        <is>
          <t>avverkningsanmälan</t>
        </is>
      </c>
      <c r="C45" t="inlineStr">
        <is>
          <t>Föryngringsavverkning</t>
        </is>
      </c>
      <c r="D45" s="1" t="n">
        <v>45518</v>
      </c>
      <c r="E45" s="1" t="n">
        <v>46318</v>
      </c>
      <c r="F45" t="inlineStr">
        <is>
          <t>JÄMTLANDS LÄN</t>
        </is>
      </c>
      <c r="G45" t="inlineStr">
        <is>
          <t>STRÖMSUND</t>
        </is>
      </c>
      <c r="I45" t="n">
        <v>32.8</v>
      </c>
      <c r="J45" t="n">
        <v>4</v>
      </c>
      <c r="K45" t="n">
        <v>1</v>
      </c>
      <c r="L45" t="n">
        <v>7</v>
      </c>
      <c r="M45" t="n">
        <v>2</v>
      </c>
      <c r="N45" t="n">
        <v>0</v>
      </c>
      <c r="O45" t="n">
        <v>0</v>
      </c>
      <c r="P45" t="n">
        <v>0</v>
      </c>
      <c r="Q45" t="n">
        <v>9</v>
      </c>
      <c r="R45" t="n">
        <v>2</v>
      </c>
      <c r="S45" t="n">
        <v>11</v>
      </c>
      <c r="T45" t="n">
        <v>41</v>
      </c>
      <c r="U45" t="n">
        <v>41</v>
      </c>
      <c r="V45" s="2" t="inlineStr">
        <is>
          <t>Doftticka
Garnlav
Harticka
Lavskrika
Lunglav
Skrovellav
Tretåig hackspett
Ullticka
Äggvaxskivling
Trådticka
Spillkråka</t>
        </is>
      </c>
      <c r="W45">
        <f>HYPERLINK("https://klasma.github.io/Logging_2313/artfynd/A 33262-2024 artfynd.xlsx", "A 33262-2024")</f>
        <v/>
      </c>
      <c r="X45">
        <f>HYPERLINK("https://klasma.github.io/Logging_2313/kartor/A 33262-2024 karta.png", "A 33262-2024")</f>
        <v/>
      </c>
      <c r="Y45">
        <f>HYPERLINK("https://klasma.github.io/Logging_2313/kartor_geotiff/A 33262-2024 georefererad karta.tif", "A 33262-2024")</f>
        <v/>
      </c>
      <c r="AA45">
        <f>HYPERLINK("https://klasma.github.io/Logging_2313/klagomål/A 33262-2024 FSC-klagomål.docx", "A 33262-2024")</f>
        <v/>
      </c>
      <c r="AB45">
        <f>HYPERLINK("https://klasma.github.io/Logging_2313/klagomålsmail/A 33262-2024 FSC-klagomål mail.docx", "A 33262-2024")</f>
        <v/>
      </c>
      <c r="AC45">
        <f>HYPERLINK("https://klasma.github.io/Logging_2313/tillsyn/A 33262-2024 tillsynsbegäran.docx", "A 33262-2024")</f>
        <v/>
      </c>
      <c r="AD45">
        <f>HYPERLINK("https://klasma.github.io/Logging_2313/tillsynsmail/A 33262-2024 tillsynsbegäran mail.docx", "A 33262-2024")</f>
        <v/>
      </c>
      <c r="AE45">
        <f>HYPERLINK("https://klasma.github.io/Logging_2313/fåglar/A 33262-2024 prioriterade fågelarter.docx", "A 33262-2024")</f>
        <v/>
      </c>
    </row>
    <row r="46" ht="15" customHeight="1">
      <c r="A46" t="inlineStr">
        <is>
          <t>A 69914-2021</t>
        </is>
      </c>
      <c r="B46" t="inlineStr">
        <is>
          <t>avverkningsanmälan</t>
        </is>
      </c>
      <c r="C46" t="inlineStr">
        <is>
          <t>Avverkning för att bevara och utveckla /försöksver</t>
        </is>
      </c>
      <c r="D46" s="1" t="n">
        <v>44532</v>
      </c>
      <c r="E46" s="1" t="n">
        <v>46318</v>
      </c>
      <c r="F46" t="inlineStr">
        <is>
          <t>JÄMTLANDS LÄN</t>
        </is>
      </c>
      <c r="G46" t="inlineStr">
        <is>
          <t>STRÖMSUND</t>
        </is>
      </c>
      <c r="H46" t="inlineStr">
        <is>
          <t>SCA</t>
        </is>
      </c>
      <c r="I46" t="n">
        <v>4.9</v>
      </c>
      <c r="J46" t="n">
        <v>1</v>
      </c>
      <c r="K46" t="n">
        <v>4</v>
      </c>
      <c r="L46" t="n">
        <v>4</v>
      </c>
      <c r="M46" t="n">
        <v>2</v>
      </c>
      <c r="N46" t="n">
        <v>0</v>
      </c>
      <c r="O46" t="n">
        <v>0</v>
      </c>
      <c r="P46" t="n">
        <v>0</v>
      </c>
      <c r="Q46" t="n">
        <v>6</v>
      </c>
      <c r="R46" t="n">
        <v>2</v>
      </c>
      <c r="S46" t="n">
        <v>10</v>
      </c>
      <c r="T46" t="n">
        <v>14</v>
      </c>
      <c r="U46" t="n">
        <v>0</v>
      </c>
      <c r="V46" s="2" t="inlineStr">
        <is>
          <t>Knärot
Violettrandad spindling
Barrfagerspindling
Blå taggsvamp
Puderspindling
Rosenticka
Anisspindling
Diskvaxskivling
Strimspindling
Zontaggsvamp</t>
        </is>
      </c>
      <c r="W46">
        <f>HYPERLINK("https://klasma.github.io/Logging_2313/artfynd/A 69914-2021 artfynd.xlsx", "A 69914-2021")</f>
        <v/>
      </c>
      <c r="X46">
        <f>HYPERLINK("https://klasma.github.io/Logging_2313/kartor/A 69914-2021 karta.png", "A 69914-2021")</f>
        <v/>
      </c>
      <c r="Y46">
        <f>HYPERLINK("https://klasma.github.io/Logging_2313/kartor_geotiff/A 69914-2021 georefererad karta.tif", "A 69914-2021")</f>
        <v/>
      </c>
      <c r="Z46">
        <f>HYPERLINK("https://klasma.github.io/Logging_2313/knärot/A 69914-2021 karta knärot.png", "A 69914-2021")</f>
        <v/>
      </c>
      <c r="AA46">
        <f>HYPERLINK("https://klasma.github.io/Logging_2313/klagomål/A 69914-2021 FSC-klagomål.docx", "A 69914-2021")</f>
        <v/>
      </c>
      <c r="AB46">
        <f>HYPERLINK("https://klasma.github.io/Logging_2313/klagomålsmail/A 69914-2021 FSC-klagomål mail.docx", "A 69914-2021")</f>
        <v/>
      </c>
      <c r="AC46">
        <f>HYPERLINK("https://klasma.github.io/Logging_2313/tillsyn/A 69914-2021 tillsynsbegäran.docx", "A 69914-2021")</f>
        <v/>
      </c>
      <c r="AD46">
        <f>HYPERLINK("https://klasma.github.io/Logging_2313/tillsynsmail/A 69914-2021 tillsynsbegäran mail.docx", "A 69914-2021")</f>
        <v/>
      </c>
    </row>
    <row r="47" ht="15" customHeight="1">
      <c r="A47" t="inlineStr">
        <is>
          <t>A 26473-2026</t>
        </is>
      </c>
      <c r="B47" t="inlineStr">
        <is>
          <t>avverkningsanmälan</t>
        </is>
      </c>
      <c r="C47" t="inlineStr">
        <is>
          <t>Avverkning för att bevara och utveckla /försöksver</t>
        </is>
      </c>
      <c r="D47" s="1" t="n">
        <v>46183</v>
      </c>
      <c r="E47" s="1" t="n">
        <v>46318</v>
      </c>
      <c r="F47" t="inlineStr">
        <is>
          <t>JÄMTLANDS LÄN</t>
        </is>
      </c>
      <c r="G47" t="inlineStr">
        <is>
          <t>STRÖMSUND</t>
        </is>
      </c>
      <c r="H47" t="inlineStr">
        <is>
          <t>SCA</t>
        </is>
      </c>
      <c r="I47" t="n">
        <v>9.6</v>
      </c>
      <c r="J47" t="n">
        <v>0</v>
      </c>
      <c r="K47" t="n">
        <v>4</v>
      </c>
      <c r="L47" t="n">
        <v>5</v>
      </c>
      <c r="M47" t="n">
        <v>1</v>
      </c>
      <c r="N47" t="n">
        <v>0</v>
      </c>
      <c r="O47" t="n">
        <v>0</v>
      </c>
      <c r="P47" t="n">
        <v>0</v>
      </c>
      <c r="Q47" t="n">
        <v>6</v>
      </c>
      <c r="R47" t="n">
        <v>1</v>
      </c>
      <c r="S47" t="n">
        <v>10</v>
      </c>
      <c r="T47" t="n">
        <v>17</v>
      </c>
      <c r="U47" t="n">
        <v>0</v>
      </c>
      <c r="V47" s="2" t="inlineStr">
        <is>
          <t>Garnlav
Kolflarnlav
Lunglav
Mörk kolflarnlav
Vedskivlav
Vitgrynig nållav
Bårdlav
Skinnlav
Stuplav
Vedticka</t>
        </is>
      </c>
      <c r="W47">
        <f>HYPERLINK("https://klasma.github.io/Logging_2313/artfynd/A 26473-2026 artfynd.xlsx", "A 26473-2026")</f>
        <v/>
      </c>
      <c r="X47">
        <f>HYPERLINK("https://klasma.github.io/Logging_2313/kartor/A 26473-2026 karta.png", "A 26473-2026")</f>
        <v/>
      </c>
      <c r="Y47">
        <f>HYPERLINK("https://klasma.github.io/Logging_2313/kartor_geotiff/A 26473-2026 georefererad karta.tif", "A 26473-2026")</f>
        <v/>
      </c>
      <c r="AA47">
        <f>HYPERLINK("https://klasma.github.io/Logging_2313/klagomål/A 26473-2026 FSC-klagomål.docx", "A 26473-2026")</f>
        <v/>
      </c>
      <c r="AB47">
        <f>HYPERLINK("https://klasma.github.io/Logging_2313/klagomålsmail/A 26473-2026 FSC-klagomål mail.docx", "A 26473-2026")</f>
        <v/>
      </c>
      <c r="AC47">
        <f>HYPERLINK("https://klasma.github.io/Logging_2313/tillsyn/A 26473-2026 tillsynsbegäran.docx", "A 26473-2026")</f>
        <v/>
      </c>
      <c r="AD47">
        <f>HYPERLINK("https://klasma.github.io/Logging_2313/tillsynsmail/A 26473-2026 tillsynsbegäran mail.docx", "A 26473-2026")</f>
        <v/>
      </c>
    </row>
    <row r="48" ht="15" customHeight="1">
      <c r="A48" t="inlineStr">
        <is>
          <t>A 19167-2026</t>
        </is>
      </c>
      <c r="B48" t="inlineStr">
        <is>
          <t>avverkningsanmälan</t>
        </is>
      </c>
      <c r="C48" t="inlineStr">
        <is>
          <t>Föryngringsavverkning</t>
        </is>
      </c>
      <c r="D48" s="1" t="n">
        <v>46132</v>
      </c>
      <c r="E48" s="1" t="n">
        <v>46318</v>
      </c>
      <c r="F48" t="inlineStr">
        <is>
          <t>JÄMTLANDS LÄN</t>
        </is>
      </c>
      <c r="G48" t="inlineStr">
        <is>
          <t>STRÖMSUND</t>
        </is>
      </c>
      <c r="H48" t="inlineStr">
        <is>
          <t>SCA</t>
        </is>
      </c>
      <c r="I48" t="n">
        <v>52.9</v>
      </c>
      <c r="J48" t="n">
        <v>0</v>
      </c>
      <c r="K48" t="n">
        <v>2</v>
      </c>
      <c r="L48" t="n">
        <v>6</v>
      </c>
      <c r="M48" t="n">
        <v>2</v>
      </c>
      <c r="N48" t="n">
        <v>0</v>
      </c>
      <c r="O48" t="n">
        <v>0</v>
      </c>
      <c r="P48" t="n">
        <v>0</v>
      </c>
      <c r="Q48" t="n">
        <v>8</v>
      </c>
      <c r="R48" t="n">
        <v>2</v>
      </c>
      <c r="S48" t="n">
        <v>10</v>
      </c>
      <c r="T48" t="n">
        <v>14</v>
      </c>
      <c r="U48" t="n">
        <v>0</v>
      </c>
      <c r="V48" s="2" t="inlineStr">
        <is>
          <t>Gränsticka
Ostticka
Doftskinn
Harticka
Rosenticka
Stjärntagging
Ullticka
Violmussling
Blodticka
Vedticka</t>
        </is>
      </c>
      <c r="W48">
        <f>HYPERLINK("https://klasma.github.io/Logging_2313/artfynd/A 19167-2026 artfynd.xlsx", "A 19167-2026")</f>
        <v/>
      </c>
      <c r="X48">
        <f>HYPERLINK("https://klasma.github.io/Logging_2313/kartor/A 19167-2026 karta.png", "A 19167-2026")</f>
        <v/>
      </c>
      <c r="Y48">
        <f>HYPERLINK("https://klasma.github.io/Logging_2313/kartor_geotiff/A 19167-2026 georefererad karta.tif", "A 19167-2026")</f>
        <v/>
      </c>
      <c r="AA48">
        <f>HYPERLINK("https://klasma.github.io/Logging_2313/klagomål/A 19167-2026 FSC-klagomål.docx", "A 19167-2026")</f>
        <v/>
      </c>
      <c r="AB48">
        <f>HYPERLINK("https://klasma.github.io/Logging_2313/klagomålsmail/A 19167-2026 FSC-klagomål mail.docx", "A 19167-2026")</f>
        <v/>
      </c>
      <c r="AC48">
        <f>HYPERLINK("https://klasma.github.io/Logging_2313/tillsyn/A 19167-2026 tillsynsbegäran.docx", "A 19167-2026")</f>
        <v/>
      </c>
      <c r="AD48">
        <f>HYPERLINK("https://klasma.github.io/Logging_2313/tillsynsmail/A 19167-2026 tillsynsbegäran mail.docx", "A 19167-2026")</f>
        <v/>
      </c>
    </row>
    <row r="49" ht="15" customHeight="1">
      <c r="A49" t="inlineStr">
        <is>
          <t>A 40326-2026</t>
        </is>
      </c>
      <c r="B49" t="inlineStr">
        <is>
          <t>avverkningsanmälan</t>
        </is>
      </c>
      <c r="C49" t="inlineStr">
        <is>
          <t>Föryngringsavverkning</t>
        </is>
      </c>
      <c r="D49" s="1" t="n">
        <v>46294</v>
      </c>
      <c r="E49" s="1" t="n">
        <v>46318</v>
      </c>
      <c r="F49" t="inlineStr">
        <is>
          <t>JÄMTLANDS LÄN</t>
        </is>
      </c>
      <c r="G49" t="inlineStr">
        <is>
          <t>STRÖMSUND</t>
        </is>
      </c>
      <c r="I49" t="n">
        <v>13.3</v>
      </c>
      <c r="J49" t="n">
        <v>2</v>
      </c>
      <c r="K49" t="n">
        <v>3</v>
      </c>
      <c r="L49" t="n">
        <v>4</v>
      </c>
      <c r="M49" t="n">
        <v>3</v>
      </c>
      <c r="N49" t="n">
        <v>0</v>
      </c>
      <c r="O49" t="n">
        <v>0</v>
      </c>
      <c r="P49" t="n">
        <v>0</v>
      </c>
      <c r="Q49" t="n">
        <v>7</v>
      </c>
      <c r="R49" t="n">
        <v>3</v>
      </c>
      <c r="S49" t="n">
        <v>10</v>
      </c>
      <c r="T49" t="n">
        <v>50</v>
      </c>
      <c r="U49" t="n">
        <v>50</v>
      </c>
      <c r="V49" s="2" t="inlineStr">
        <is>
          <t>Garnlav
Liten aspgelélav
Sprickporing
Rosenticka
Talltita
Tretåig hackspett
Ullticka
Korallblylav
Skinnlav
Stor aspticka</t>
        </is>
      </c>
      <c r="W49">
        <f>HYPERLINK("https://klasma.github.io/Logging_2313/artfynd/A 40326-2026 artfynd.xlsx", "A 40326-2026")</f>
        <v/>
      </c>
      <c r="X49">
        <f>HYPERLINK("https://klasma.github.io/Logging_2313/kartor/A 40326-2026 karta.png", "A 40326-2026")</f>
        <v/>
      </c>
      <c r="Y49">
        <f>HYPERLINK("https://klasma.github.io/Logging_2313/kartor_geotiff/A 40326-2026 georefererad karta.tif", "A 40326-2026")</f>
        <v/>
      </c>
      <c r="AA49">
        <f>HYPERLINK("https://klasma.github.io/Logging_2313/klagomål/A 40326-2026 FSC-klagomål.docx", "A 40326-2026")</f>
        <v/>
      </c>
      <c r="AB49">
        <f>HYPERLINK("https://klasma.github.io/Logging_2313/klagomålsmail/A 40326-2026 FSC-klagomål mail.docx", "A 40326-2026")</f>
        <v/>
      </c>
      <c r="AC49">
        <f>HYPERLINK("https://klasma.github.io/Logging_2313/tillsyn/A 40326-2026 tillsynsbegäran.docx", "A 40326-2026")</f>
        <v/>
      </c>
      <c r="AD49">
        <f>HYPERLINK("https://klasma.github.io/Logging_2313/tillsynsmail/A 40326-2026 tillsynsbegäran mail.docx", "A 40326-2026")</f>
        <v/>
      </c>
      <c r="AE49">
        <f>HYPERLINK("https://klasma.github.io/Logging_2313/fåglar/A 40326-2026 prioriterade fågelarter.docx", "A 40326-2026")</f>
        <v/>
      </c>
    </row>
    <row r="50" ht="15" customHeight="1">
      <c r="A50" t="inlineStr">
        <is>
          <t>A 5627-2025</t>
        </is>
      </c>
      <c r="B50" t="inlineStr">
        <is>
          <t>avverkningsanmälan</t>
        </is>
      </c>
      <c r="C50" t="inlineStr">
        <is>
          <t>Föryngringsavverkning</t>
        </is>
      </c>
      <c r="D50" s="1" t="n">
        <v>45693</v>
      </c>
      <c r="E50" s="1" t="n">
        <v>46318</v>
      </c>
      <c r="F50" t="inlineStr">
        <is>
          <t>JÄMTLANDS LÄN</t>
        </is>
      </c>
      <c r="G50" t="inlineStr">
        <is>
          <t>STRÖMSUND</t>
        </is>
      </c>
      <c r="I50" t="n">
        <v>5.6</v>
      </c>
      <c r="J50" t="n">
        <v>2</v>
      </c>
      <c r="K50" t="n">
        <v>1</v>
      </c>
      <c r="L50" t="n">
        <v>7</v>
      </c>
      <c r="M50" t="n">
        <v>2</v>
      </c>
      <c r="N50" t="n">
        <v>0</v>
      </c>
      <c r="O50" t="n">
        <v>0</v>
      </c>
      <c r="P50" t="n">
        <v>0</v>
      </c>
      <c r="Q50" t="n">
        <v>9</v>
      </c>
      <c r="R50" t="n">
        <v>2</v>
      </c>
      <c r="S50" t="n">
        <v>10</v>
      </c>
      <c r="T50" t="n">
        <v>24</v>
      </c>
      <c r="U50" t="n">
        <v>24</v>
      </c>
      <c r="V50" s="2" t="inlineStr">
        <is>
          <t>Garnlav
Gränsticka
Harticka
Rosenticka
Rynkskinn
Talltita
Tretåig hackspett
Ullticka
Vitgrynig nållav
Skinnlav</t>
        </is>
      </c>
      <c r="W50">
        <f>HYPERLINK("https://klasma.github.io/Logging_2313/artfynd/A 5627-2025 artfynd.xlsx", "A 5627-2025")</f>
        <v/>
      </c>
      <c r="X50">
        <f>HYPERLINK("https://klasma.github.io/Logging_2313/kartor/A 5627-2025 karta.png", "A 5627-2025")</f>
        <v/>
      </c>
      <c r="Y50">
        <f>HYPERLINK("https://klasma.github.io/Logging_2313/kartor_geotiff/A 5627-2025 georefererad karta.tif", "A 5627-2025")</f>
        <v/>
      </c>
      <c r="AA50">
        <f>HYPERLINK("https://klasma.github.io/Logging_2313/klagomål/A 5627-2025 FSC-klagomål.docx", "A 5627-2025")</f>
        <v/>
      </c>
      <c r="AB50">
        <f>HYPERLINK("https://klasma.github.io/Logging_2313/klagomålsmail/A 5627-2025 FSC-klagomål mail.docx", "A 5627-2025")</f>
        <v/>
      </c>
      <c r="AC50">
        <f>HYPERLINK("https://klasma.github.io/Logging_2313/tillsyn/A 5627-2025 tillsynsbegäran.docx", "A 5627-2025")</f>
        <v/>
      </c>
      <c r="AD50">
        <f>HYPERLINK("https://klasma.github.io/Logging_2313/tillsynsmail/A 5627-2025 tillsynsbegäran mail.docx", "A 5627-2025")</f>
        <v/>
      </c>
      <c r="AE50">
        <f>HYPERLINK("https://klasma.github.io/Logging_2313/fåglar/A 5627-2025 prioriterade fågelarter.docx", "A 5627-2025")</f>
        <v/>
      </c>
    </row>
    <row r="51" ht="15" customHeight="1">
      <c r="A51" t="inlineStr">
        <is>
          <t>A 1470-2023</t>
        </is>
      </c>
      <c r="B51" t="inlineStr">
        <is>
          <t>avverkningsanmälan</t>
        </is>
      </c>
      <c r="C51" t="inlineStr">
        <is>
          <t>Föryngringsavverkning</t>
        </is>
      </c>
      <c r="D51" s="1" t="n">
        <v>44931</v>
      </c>
      <c r="E51" s="1" t="n">
        <v>46318</v>
      </c>
      <c r="F51" t="inlineStr">
        <is>
          <t>JÄMTLANDS LÄN</t>
        </is>
      </c>
      <c r="G51" t="inlineStr">
        <is>
          <t>STRÖMSUND</t>
        </is>
      </c>
      <c r="I51" t="n">
        <v>39.8</v>
      </c>
      <c r="J51" t="n">
        <v>3</v>
      </c>
      <c r="K51" t="n">
        <v>3</v>
      </c>
      <c r="L51" t="n">
        <v>4</v>
      </c>
      <c r="M51" t="n">
        <v>1</v>
      </c>
      <c r="N51" t="n">
        <v>0</v>
      </c>
      <c r="O51" t="n">
        <v>0</v>
      </c>
      <c r="P51" t="n">
        <v>0</v>
      </c>
      <c r="Q51" t="n">
        <v>5</v>
      </c>
      <c r="R51" t="n">
        <v>1</v>
      </c>
      <c r="S51" t="n">
        <v>9</v>
      </c>
      <c r="T51" t="n">
        <v>18</v>
      </c>
      <c r="U51" t="n">
        <v>18</v>
      </c>
      <c r="V51" s="2" t="inlineStr">
        <is>
          <t>Garnlav
Doftskinn
Harticka
Talltita
Tretåig hackspett
Kransrams
Stuplav
Ögonpyrola
Fläcknycklar</t>
        </is>
      </c>
      <c r="W51">
        <f>HYPERLINK("https://klasma.github.io/Logging_2313/artfynd/A 1470-2023 artfynd.xlsx", "A 1470-2023")</f>
        <v/>
      </c>
      <c r="X51">
        <f>HYPERLINK("https://klasma.github.io/Logging_2313/kartor/A 1470-2023 karta.png", "A 1470-2023")</f>
        <v/>
      </c>
      <c r="Y51">
        <f>HYPERLINK("https://klasma.github.io/Logging_2313/kartor_geotiff/A 1470-2023 georefererad karta.tif", "A 1470-2023")</f>
        <v/>
      </c>
      <c r="AA51">
        <f>HYPERLINK("https://klasma.github.io/Logging_2313/klagomål/A 1470-2023 FSC-klagomål.docx", "A 1470-2023")</f>
        <v/>
      </c>
      <c r="AB51">
        <f>HYPERLINK("https://klasma.github.io/Logging_2313/klagomålsmail/A 1470-2023 FSC-klagomål mail.docx", "A 1470-2023")</f>
        <v/>
      </c>
      <c r="AC51">
        <f>HYPERLINK("https://klasma.github.io/Logging_2313/tillsyn/A 1470-2023 tillsynsbegäran.docx", "A 1470-2023")</f>
        <v/>
      </c>
      <c r="AD51">
        <f>HYPERLINK("https://klasma.github.io/Logging_2313/tillsynsmail/A 1470-2023 tillsynsbegäran mail.docx", "A 1470-2023")</f>
        <v/>
      </c>
      <c r="AE51">
        <f>HYPERLINK("https://klasma.github.io/Logging_2313/fåglar/A 1470-2023 prioriterade fågelarter.docx", "A 1470-2023")</f>
        <v/>
      </c>
    </row>
    <row r="52" ht="15" customHeight="1">
      <c r="A52" t="inlineStr">
        <is>
          <t>A 40012-2025</t>
        </is>
      </c>
      <c r="B52" t="inlineStr">
        <is>
          <t>avverkningsanmälan</t>
        </is>
      </c>
      <c r="C52" t="inlineStr">
        <is>
          <t>Föryngringsavverkning</t>
        </is>
      </c>
      <c r="D52" s="1" t="n">
        <v>45894</v>
      </c>
      <c r="E52" s="1" t="n">
        <v>46318</v>
      </c>
      <c r="F52" t="inlineStr">
        <is>
          <t>JÄMTLANDS LÄN</t>
        </is>
      </c>
      <c r="G52" t="inlineStr">
        <is>
          <t>STRÖMSUND</t>
        </is>
      </c>
      <c r="H52" t="inlineStr">
        <is>
          <t>SCA</t>
        </is>
      </c>
      <c r="I52" t="n">
        <v>2</v>
      </c>
      <c r="J52" t="n">
        <v>4</v>
      </c>
      <c r="K52" t="n">
        <v>4</v>
      </c>
      <c r="L52" t="n">
        <v>2</v>
      </c>
      <c r="M52" t="n">
        <v>1</v>
      </c>
      <c r="N52" t="n">
        <v>0</v>
      </c>
      <c r="O52" t="n">
        <v>0</v>
      </c>
      <c r="P52" t="n">
        <v>0</v>
      </c>
      <c r="Q52" t="n">
        <v>3</v>
      </c>
      <c r="R52" t="n">
        <v>1</v>
      </c>
      <c r="S52" t="n">
        <v>9</v>
      </c>
      <c r="T52" t="n">
        <v>13</v>
      </c>
      <c r="U52" t="n">
        <v>0</v>
      </c>
      <c r="V52" s="2" t="inlineStr">
        <is>
          <t>Garnlav
Lunglav
Skrovellav
Guckusko
Kransrams
Stuplav
Tvåblad
Brudsporre
Fläcknycklar</t>
        </is>
      </c>
      <c r="W52">
        <f>HYPERLINK("https://klasma.github.io/Logging_2313/artfynd/A 40012-2025 artfynd.xlsx", "A 40012-2025")</f>
        <v/>
      </c>
      <c r="X52">
        <f>HYPERLINK("https://klasma.github.io/Logging_2313/kartor/A 40012-2025 karta.png", "A 40012-2025")</f>
        <v/>
      </c>
      <c r="Y52">
        <f>HYPERLINK("https://klasma.github.io/Logging_2313/kartor_geotiff/A 40012-2025 georefererad karta.tif", "A 40012-2025")</f>
        <v/>
      </c>
      <c r="AA52">
        <f>HYPERLINK("https://klasma.github.io/Logging_2313/klagomål/A 40012-2025 FSC-klagomål.docx", "A 40012-2025")</f>
        <v/>
      </c>
      <c r="AB52">
        <f>HYPERLINK("https://klasma.github.io/Logging_2313/klagomålsmail/A 40012-2025 FSC-klagomål mail.docx", "A 40012-2025")</f>
        <v/>
      </c>
      <c r="AC52">
        <f>HYPERLINK("https://klasma.github.io/Logging_2313/tillsyn/A 40012-2025 tillsynsbegäran.docx", "A 40012-2025")</f>
        <v/>
      </c>
      <c r="AD52">
        <f>HYPERLINK("https://klasma.github.io/Logging_2313/tillsynsmail/A 40012-2025 tillsynsbegäran mail.docx", "A 40012-2025")</f>
        <v/>
      </c>
    </row>
    <row r="53" ht="15" customHeight="1">
      <c r="A53" t="inlineStr">
        <is>
          <t>A 36252-2022</t>
        </is>
      </c>
      <c r="B53" t="inlineStr">
        <is>
          <t>avverkningsanmälan</t>
        </is>
      </c>
      <c r="C53" t="inlineStr">
        <is>
          <t>Föryngringsavverkning</t>
        </is>
      </c>
      <c r="D53" s="1" t="n">
        <v>44803</v>
      </c>
      <c r="E53" s="1" t="n">
        <v>46318</v>
      </c>
      <c r="F53" t="inlineStr">
        <is>
          <t>JÄMTLANDS LÄN</t>
        </is>
      </c>
      <c r="G53" t="inlineStr">
        <is>
          <t>STRÖMSUND</t>
        </is>
      </c>
      <c r="H53" t="inlineStr">
        <is>
          <t>Holmen skog AB</t>
        </is>
      </c>
      <c r="I53" t="n">
        <v>5.4</v>
      </c>
      <c r="J53" t="n">
        <v>3</v>
      </c>
      <c r="K53" t="n">
        <v>2</v>
      </c>
      <c r="L53" t="n">
        <v>5</v>
      </c>
      <c r="M53" t="n">
        <v>2</v>
      </c>
      <c r="N53" t="n">
        <v>0</v>
      </c>
      <c r="O53" t="n">
        <v>0</v>
      </c>
      <c r="P53" t="n">
        <v>0</v>
      </c>
      <c r="Q53" t="n">
        <v>7</v>
      </c>
      <c r="R53" t="n">
        <v>2</v>
      </c>
      <c r="S53" t="n">
        <v>9</v>
      </c>
      <c r="T53" t="n">
        <v>15</v>
      </c>
      <c r="U53" t="n">
        <v>15</v>
      </c>
      <c r="V53" s="2" t="inlineStr">
        <is>
          <t>Garnlav
Knärot
Gammelgransskål
Kolflarnlav
Talltita
Tretåig hackspett
Ullticka
Luddlav
Svavelriska</t>
        </is>
      </c>
      <c r="W53">
        <f>HYPERLINK("https://klasma.github.io/Logging_2313/artfynd/A 36252-2022 artfynd.xlsx", "A 36252-2022")</f>
        <v/>
      </c>
      <c r="X53">
        <f>HYPERLINK("https://klasma.github.io/Logging_2313/kartor/A 36252-2022 karta.png", "A 36252-2022")</f>
        <v/>
      </c>
      <c r="Y53">
        <f>HYPERLINK("https://klasma.github.io/Logging_2313/kartor_geotiff/A 36252-2022 georefererad karta.tif", "A 36252-2022")</f>
        <v/>
      </c>
      <c r="Z53">
        <f>HYPERLINK("https://klasma.github.io/Logging_2313/knärot/A 36252-2022 karta knärot.png", "A 36252-2022")</f>
        <v/>
      </c>
      <c r="AA53">
        <f>HYPERLINK("https://klasma.github.io/Logging_2313/klagomål/A 36252-2022 FSC-klagomål.docx", "A 36252-2022")</f>
        <v/>
      </c>
      <c r="AB53">
        <f>HYPERLINK("https://klasma.github.io/Logging_2313/klagomålsmail/A 36252-2022 FSC-klagomål mail.docx", "A 36252-2022")</f>
        <v/>
      </c>
      <c r="AC53">
        <f>HYPERLINK("https://klasma.github.io/Logging_2313/tillsyn/A 36252-2022 tillsynsbegäran.docx", "A 36252-2022")</f>
        <v/>
      </c>
      <c r="AD53">
        <f>HYPERLINK("https://klasma.github.io/Logging_2313/tillsynsmail/A 36252-2022 tillsynsbegäran mail.docx", "A 36252-2022")</f>
        <v/>
      </c>
      <c r="AE53">
        <f>HYPERLINK("https://klasma.github.io/Logging_2313/fåglar/A 36252-2022 prioriterade fågelarter.docx", "A 36252-2022")</f>
        <v/>
      </c>
    </row>
    <row r="54" ht="15" customHeight="1">
      <c r="A54" t="inlineStr">
        <is>
          <t>A 36107-2026</t>
        </is>
      </c>
      <c r="B54" t="inlineStr">
        <is>
          <t>avverkningsanmälan</t>
        </is>
      </c>
      <c r="C54" t="inlineStr">
        <is>
          <t>Föryngringsavverkning</t>
        </is>
      </c>
      <c r="D54" s="1" t="n">
        <v>46267</v>
      </c>
      <c r="E54" s="1" t="n">
        <v>46318</v>
      </c>
      <c r="F54" t="inlineStr">
        <is>
          <t>JÄMTLANDS LÄN</t>
        </is>
      </c>
      <c r="G54" t="inlineStr">
        <is>
          <t>STRÖMSUND</t>
        </is>
      </c>
      <c r="H54" t="inlineStr">
        <is>
          <t>Holmen skog AB</t>
        </is>
      </c>
      <c r="I54" t="n">
        <v>1.4</v>
      </c>
      <c r="J54" t="n">
        <v>2</v>
      </c>
      <c r="K54" t="n">
        <v>0</v>
      </c>
      <c r="L54" t="n">
        <v>6</v>
      </c>
      <c r="M54" t="n">
        <v>2</v>
      </c>
      <c r="N54" t="n">
        <v>0</v>
      </c>
      <c r="O54" t="n">
        <v>0</v>
      </c>
      <c r="P54" t="n">
        <v>0</v>
      </c>
      <c r="Q54" t="n">
        <v>8</v>
      </c>
      <c r="R54" t="n">
        <v>2</v>
      </c>
      <c r="S54" t="n">
        <v>9</v>
      </c>
      <c r="T54" t="n">
        <v>21</v>
      </c>
      <c r="U54" t="n">
        <v>21</v>
      </c>
      <c r="V54" s="2" t="inlineStr">
        <is>
          <t>Doftticka
Garnlav
Harticka
Lunglav
Rosenticka
Rynkskinn
Skrovellav
Ullticka
Spillkråka</t>
        </is>
      </c>
      <c r="W54">
        <f>HYPERLINK("https://klasma.github.io/Logging_2313/artfynd/A 36107-2026 artfynd.xlsx", "A 36107-2026")</f>
        <v/>
      </c>
      <c r="X54">
        <f>HYPERLINK("https://klasma.github.io/Logging_2313/kartor/A 36107-2026 karta.png", "A 36107-2026")</f>
        <v/>
      </c>
      <c r="Y54">
        <f>HYPERLINK("https://klasma.github.io/Logging_2313/kartor_geotiff/A 36107-2026 georefererad karta.tif", "A 36107-2026")</f>
        <v/>
      </c>
      <c r="AA54">
        <f>HYPERLINK("https://klasma.github.io/Logging_2313/klagomål/A 36107-2026 FSC-klagomål.docx", "A 36107-2026")</f>
        <v/>
      </c>
      <c r="AB54">
        <f>HYPERLINK("https://klasma.github.io/Logging_2313/klagomålsmail/A 36107-2026 FSC-klagomål mail.docx", "A 36107-2026")</f>
        <v/>
      </c>
      <c r="AC54">
        <f>HYPERLINK("https://klasma.github.io/Logging_2313/tillsyn/A 36107-2026 tillsynsbegäran.docx", "A 36107-2026")</f>
        <v/>
      </c>
      <c r="AD54">
        <f>HYPERLINK("https://klasma.github.io/Logging_2313/tillsynsmail/A 36107-2026 tillsynsbegäran mail.docx", "A 36107-2026")</f>
        <v/>
      </c>
      <c r="AE54">
        <f>HYPERLINK("https://klasma.github.io/Logging_2313/fåglar/A 36107-2026 prioriterade fågelarter.docx", "A 36107-2026")</f>
        <v/>
      </c>
    </row>
    <row r="55" ht="15" customHeight="1">
      <c r="A55" t="inlineStr">
        <is>
          <t>A 32339-2026</t>
        </is>
      </c>
      <c r="B55" t="inlineStr">
        <is>
          <t>avverkningsanmälan</t>
        </is>
      </c>
      <c r="C55" t="inlineStr">
        <is>
          <t>Föryngringsavverkning</t>
        </is>
      </c>
      <c r="D55" s="1" t="n">
        <v>46238</v>
      </c>
      <c r="E55" s="1" t="n">
        <v>46318</v>
      </c>
      <c r="F55" t="inlineStr">
        <is>
          <t>JÄMTLANDS LÄN</t>
        </is>
      </c>
      <c r="G55" t="inlineStr">
        <is>
          <t>STRÖMSUND</t>
        </is>
      </c>
      <c r="H55" t="inlineStr">
        <is>
          <t>SCA</t>
        </is>
      </c>
      <c r="I55" t="n">
        <v>16.1</v>
      </c>
      <c r="J55" t="n">
        <v>3</v>
      </c>
      <c r="K55" t="n">
        <v>0</v>
      </c>
      <c r="L55" t="n">
        <v>7</v>
      </c>
      <c r="M55" t="n">
        <v>2</v>
      </c>
      <c r="N55" t="n">
        <v>0</v>
      </c>
      <c r="O55" t="n">
        <v>0</v>
      </c>
      <c r="P55" t="n">
        <v>0</v>
      </c>
      <c r="Q55" t="n">
        <v>9</v>
      </c>
      <c r="R55" t="n">
        <v>2</v>
      </c>
      <c r="S55" t="n">
        <v>9</v>
      </c>
      <c r="T55" t="n">
        <v>34</v>
      </c>
      <c r="U55" t="n">
        <v>34</v>
      </c>
      <c r="V55" s="2" t="inlineStr">
        <is>
          <t>Garnlav
Knärot
Kolflarnlav
Lunglav
Skrovellav
Tallticka
Talltita
Tretåig hackspett
Ullticka</t>
        </is>
      </c>
      <c r="W55">
        <f>HYPERLINK("https://klasma.github.io/Logging_2313/artfynd/A 32339-2026 artfynd.xlsx", "A 32339-2026")</f>
        <v/>
      </c>
      <c r="X55">
        <f>HYPERLINK("https://klasma.github.io/Logging_2313/kartor/A 32339-2026 karta.png", "A 32339-2026")</f>
        <v/>
      </c>
      <c r="Y55">
        <f>HYPERLINK("https://klasma.github.io/Logging_2313/kartor_geotiff/A 32339-2026 georefererad karta.tif", "A 32339-2026")</f>
        <v/>
      </c>
      <c r="Z55">
        <f>HYPERLINK("https://klasma.github.io/Logging_2313/knärot/A 32339-2026 karta knärot.png", "A 32339-2026")</f>
        <v/>
      </c>
      <c r="AA55">
        <f>HYPERLINK("https://klasma.github.io/Logging_2313/klagomål/A 32339-2026 FSC-klagomål.docx", "A 32339-2026")</f>
        <v/>
      </c>
      <c r="AB55">
        <f>HYPERLINK("https://klasma.github.io/Logging_2313/klagomålsmail/A 32339-2026 FSC-klagomål mail.docx", "A 32339-2026")</f>
        <v/>
      </c>
      <c r="AC55">
        <f>HYPERLINK("https://klasma.github.io/Logging_2313/tillsyn/A 32339-2026 tillsynsbegäran.docx", "A 32339-2026")</f>
        <v/>
      </c>
      <c r="AD55">
        <f>HYPERLINK("https://klasma.github.io/Logging_2313/tillsynsmail/A 32339-2026 tillsynsbegäran mail.docx", "A 32339-2026")</f>
        <v/>
      </c>
      <c r="AE55">
        <f>HYPERLINK("https://klasma.github.io/Logging_2313/fåglar/A 32339-2026 prioriterade fågelarter.docx", "A 32339-2026")</f>
        <v/>
      </c>
    </row>
    <row r="56" ht="15" customHeight="1">
      <c r="A56" t="inlineStr">
        <is>
          <t>A 17513-2024</t>
        </is>
      </c>
      <c r="B56" t="inlineStr">
        <is>
          <t>avverkningsanmälan</t>
        </is>
      </c>
      <c r="C56" t="inlineStr">
        <is>
          <t>Avverkning för att bevara och utveckla /försöksver</t>
        </is>
      </c>
      <c r="D56" s="1" t="n">
        <v>45415</v>
      </c>
      <c r="E56" s="1" t="n">
        <v>46318</v>
      </c>
      <c r="F56" t="inlineStr">
        <is>
          <t>JÄMTLANDS LÄN</t>
        </is>
      </c>
      <c r="G56" t="inlineStr">
        <is>
          <t>STRÖMSUND</t>
        </is>
      </c>
      <c r="H56" t="inlineStr">
        <is>
          <t>Holmen skog AB</t>
        </is>
      </c>
      <c r="I56" t="n">
        <v>3.4</v>
      </c>
      <c r="J56" t="n">
        <v>2</v>
      </c>
      <c r="K56" t="n">
        <v>2</v>
      </c>
      <c r="L56" t="n">
        <v>6</v>
      </c>
      <c r="M56" t="n">
        <v>1</v>
      </c>
      <c r="N56" t="n">
        <v>0</v>
      </c>
      <c r="O56" t="n">
        <v>0</v>
      </c>
      <c r="P56" t="n">
        <v>0</v>
      </c>
      <c r="Q56" t="n">
        <v>7</v>
      </c>
      <c r="R56" t="n">
        <v>1</v>
      </c>
      <c r="S56" t="n">
        <v>9</v>
      </c>
      <c r="T56" t="n">
        <v>19</v>
      </c>
      <c r="U56" t="n">
        <v>14</v>
      </c>
      <c r="V56" s="2" t="inlineStr">
        <is>
          <t>Knärot
Dropptaggsvamp
Kolflarnlav
Orange taggsvamp
Skrovellav
Tretåig hackspett
Äggvaxskivling
Bårdlav
Stuplav</t>
        </is>
      </c>
      <c r="W56">
        <f>HYPERLINK("https://klasma.github.io/Logging_2313/artfynd/A 17513-2024 artfynd.xlsx", "A 17513-2024")</f>
        <v/>
      </c>
      <c r="X56">
        <f>HYPERLINK("https://klasma.github.io/Logging_2313/kartor/A 17513-2024 karta.png", "A 17513-2024")</f>
        <v/>
      </c>
      <c r="Y56">
        <f>HYPERLINK("https://klasma.github.io/Logging_2313/kartor_geotiff/A 17513-2024 georefererad karta.tif", "A 17513-2024")</f>
        <v/>
      </c>
      <c r="Z56">
        <f>HYPERLINK("https://klasma.github.io/Logging_2313/knärot/A 17513-2024 karta knärot.png", "A 17513-2024")</f>
        <v/>
      </c>
      <c r="AA56">
        <f>HYPERLINK("https://klasma.github.io/Logging_2313/klagomål/A 17513-2024 FSC-klagomål.docx", "A 17513-2024")</f>
        <v/>
      </c>
      <c r="AB56">
        <f>HYPERLINK("https://klasma.github.io/Logging_2313/klagomålsmail/A 17513-2024 FSC-klagomål mail.docx", "A 17513-2024")</f>
        <v/>
      </c>
      <c r="AC56">
        <f>HYPERLINK("https://klasma.github.io/Logging_2313/tillsyn/A 17513-2024 tillsynsbegäran.docx", "A 17513-2024")</f>
        <v/>
      </c>
      <c r="AD56">
        <f>HYPERLINK("https://klasma.github.io/Logging_2313/tillsynsmail/A 17513-2024 tillsynsbegäran mail.docx", "A 17513-2024")</f>
        <v/>
      </c>
      <c r="AE56">
        <f>HYPERLINK("https://klasma.github.io/Logging_2313/fåglar/A 17513-2024 prioriterade fågelarter.docx", "A 17513-2024")</f>
        <v/>
      </c>
    </row>
    <row r="57" ht="15" customHeight="1">
      <c r="A57" t="inlineStr">
        <is>
          <t>S 3482-2023</t>
        </is>
      </c>
      <c r="B57" t="inlineStr">
        <is>
          <t>samrådsanmälan</t>
        </is>
      </c>
      <c r="C57" t="inlineStr">
        <is>
          <t>Annan skogsbruksåtgärd</t>
        </is>
      </c>
      <c r="D57" s="1" t="n">
        <v>45205</v>
      </c>
      <c r="E57" s="1" t="n">
        <v>46318</v>
      </c>
      <c r="F57" t="inlineStr">
        <is>
          <t>JÄMTLANDS LÄN</t>
        </is>
      </c>
      <c r="G57" t="inlineStr">
        <is>
          <t>STRÖMSUND</t>
        </is>
      </c>
      <c r="I57" t="n">
        <v>24.4</v>
      </c>
      <c r="J57" t="n">
        <v>1</v>
      </c>
      <c r="K57" t="n">
        <v>2</v>
      </c>
      <c r="L57" t="n">
        <v>6</v>
      </c>
      <c r="M57" t="n">
        <v>1</v>
      </c>
      <c r="N57" t="n">
        <v>0</v>
      </c>
      <c r="O57" t="n">
        <v>0</v>
      </c>
      <c r="P57" t="n">
        <v>0</v>
      </c>
      <c r="Q57" t="n">
        <v>7</v>
      </c>
      <c r="R57" t="n">
        <v>1</v>
      </c>
      <c r="S57" t="n">
        <v>9</v>
      </c>
      <c r="T57" t="n">
        <v>27</v>
      </c>
      <c r="U57" t="n">
        <v>15</v>
      </c>
      <c r="V57" s="2" t="inlineStr">
        <is>
          <t>Garnlav
Gammelgransskål
Rosenticka
Tretåig hackspett
Ullticka
Vedflikmossa
Vitgrynig nållav
Barkkornlav
Rostfläck</t>
        </is>
      </c>
      <c r="W57">
        <f>HYPERLINK("https://klasma.github.io/Logging_2313/artfynd/S 3482-2023 artfynd.xlsx", "S 3482-2023")</f>
        <v/>
      </c>
      <c r="X57">
        <f>HYPERLINK("https://klasma.github.io/Logging_2313/kartor/S 3482-2023 karta.png", "S 3482-2023")</f>
        <v/>
      </c>
      <c r="Y57">
        <f>HYPERLINK("https://klasma.github.io/Logging_2313/kartor_geotiff/S 3482-2023 georefererad karta.tif", "S 3482-2023")</f>
        <v/>
      </c>
      <c r="AA57">
        <f>HYPERLINK("https://klasma.github.io/Logging_2313/klagomål/S 3482-2023 FSC-klagomål.docx", "S 3482-2023")</f>
        <v/>
      </c>
      <c r="AB57">
        <f>HYPERLINK("https://klasma.github.io/Logging_2313/klagomålsmail/S 3482-2023 FSC-klagomål mail.docx", "S 3482-2023")</f>
        <v/>
      </c>
      <c r="AC57">
        <f>HYPERLINK("https://klasma.github.io/Logging_2313/tillsyn/S 3482-2023 tillsynsbegäran.docx", "S 3482-2023")</f>
        <v/>
      </c>
      <c r="AD57">
        <f>HYPERLINK("https://klasma.github.io/Logging_2313/tillsynsmail/S 3482-2023 tillsynsbegäran mail.docx", "S 3482-2023")</f>
        <v/>
      </c>
      <c r="AE57">
        <f>HYPERLINK("https://klasma.github.io/Logging_2313/fåglar/S 3482-2023 prioriterade fågelarter.docx", "S 3482-2023")</f>
        <v/>
      </c>
    </row>
    <row r="58" ht="15" customHeight="1">
      <c r="A58" t="inlineStr">
        <is>
          <t>A 11485-2022</t>
        </is>
      </c>
      <c r="B58" t="inlineStr">
        <is>
          <t>avverkningsanmälan</t>
        </is>
      </c>
      <c r="C58" t="inlineStr">
        <is>
          <t>Avverkning för att bevara och utveckla /försöksver</t>
        </is>
      </c>
      <c r="D58" s="1" t="n">
        <v>44630</v>
      </c>
      <c r="E58" s="1" t="n">
        <v>46318</v>
      </c>
      <c r="F58" t="inlineStr">
        <is>
          <t>JÄMTLANDS LÄN</t>
        </is>
      </c>
      <c r="G58" t="inlineStr">
        <is>
          <t>STRÖMSUND</t>
        </is>
      </c>
      <c r="H58" t="inlineStr">
        <is>
          <t>SCA</t>
        </is>
      </c>
      <c r="I58" t="n">
        <v>9.4</v>
      </c>
      <c r="J58" t="n">
        <v>0</v>
      </c>
      <c r="K58" t="n">
        <v>5</v>
      </c>
      <c r="L58" t="n">
        <v>2</v>
      </c>
      <c r="M58" t="n">
        <v>1</v>
      </c>
      <c r="N58" t="n">
        <v>0</v>
      </c>
      <c r="O58" t="n">
        <v>0</v>
      </c>
      <c r="P58" t="n">
        <v>0</v>
      </c>
      <c r="Q58" t="n">
        <v>3</v>
      </c>
      <c r="R58" t="n">
        <v>1</v>
      </c>
      <c r="S58" t="n">
        <v>8</v>
      </c>
      <c r="T58" t="n">
        <v>12</v>
      </c>
      <c r="U58" t="n">
        <v>0</v>
      </c>
      <c r="V58" s="2" t="inlineStr">
        <is>
          <t>Garnlav
Lunglav
Ullticka
Bårdlav
Källmossa
Källmossor
Stuplav
Vedticka</t>
        </is>
      </c>
      <c r="W58">
        <f>HYPERLINK("https://klasma.github.io/Logging_2313/artfynd/A 11485-2022 artfynd.xlsx", "A 11485-2022")</f>
        <v/>
      </c>
      <c r="X58">
        <f>HYPERLINK("https://klasma.github.io/Logging_2313/kartor/A 11485-2022 karta.png", "A 11485-2022")</f>
        <v/>
      </c>
      <c r="Y58">
        <f>HYPERLINK("https://klasma.github.io/Logging_2313/kartor_geotiff/A 11485-2022 georefererad karta.tif", "A 11485-2022")</f>
        <v/>
      </c>
      <c r="AA58">
        <f>HYPERLINK("https://klasma.github.io/Logging_2313/klagomål/A 11485-2022 FSC-klagomål.docx", "A 11485-2022")</f>
        <v/>
      </c>
      <c r="AB58">
        <f>HYPERLINK("https://klasma.github.io/Logging_2313/klagomålsmail/A 11485-2022 FSC-klagomål mail.docx", "A 11485-2022")</f>
        <v/>
      </c>
      <c r="AC58">
        <f>HYPERLINK("https://klasma.github.io/Logging_2313/tillsyn/A 11485-2022 tillsynsbegäran.docx", "A 11485-2022")</f>
        <v/>
      </c>
      <c r="AD58">
        <f>HYPERLINK("https://klasma.github.io/Logging_2313/tillsynsmail/A 11485-2022 tillsynsbegäran mail.docx", "A 11485-2022")</f>
        <v/>
      </c>
    </row>
    <row r="59" ht="15" customHeight="1">
      <c r="A59" t="inlineStr">
        <is>
          <t>A 29539-2025</t>
        </is>
      </c>
      <c r="B59" t="inlineStr">
        <is>
          <t>avverkningsanmälan</t>
        </is>
      </c>
      <c r="C59" t="inlineStr">
        <is>
          <t>Föryngringsavverkning</t>
        </is>
      </c>
      <c r="D59" s="1" t="n">
        <v>45825</v>
      </c>
      <c r="E59" s="1" t="n">
        <v>46318</v>
      </c>
      <c r="F59" t="inlineStr">
        <is>
          <t>JÄMTLANDS LÄN</t>
        </is>
      </c>
      <c r="G59" t="inlineStr">
        <is>
          <t>STRÖMSUND</t>
        </is>
      </c>
      <c r="H59" t="inlineStr">
        <is>
          <t>SCA</t>
        </is>
      </c>
      <c r="I59" t="n">
        <v>17.3</v>
      </c>
      <c r="J59" t="n">
        <v>2</v>
      </c>
      <c r="K59" t="n">
        <v>0</v>
      </c>
      <c r="L59" t="n">
        <v>6</v>
      </c>
      <c r="M59" t="n">
        <v>1</v>
      </c>
      <c r="N59" t="n">
        <v>0</v>
      </c>
      <c r="O59" t="n">
        <v>0</v>
      </c>
      <c r="P59" t="n">
        <v>0</v>
      </c>
      <c r="Q59" t="n">
        <v>7</v>
      </c>
      <c r="R59" t="n">
        <v>1</v>
      </c>
      <c r="S59" t="n">
        <v>8</v>
      </c>
      <c r="T59" t="n">
        <v>28</v>
      </c>
      <c r="U59" t="n">
        <v>28</v>
      </c>
      <c r="V59" s="2" t="inlineStr">
        <is>
          <t>Garnlav
Blanksvart spiklav
Tretåig hackspett
Ullticka
Vedflamlav
Vedskivlav
Vitgrynig nållav
Spillkråka</t>
        </is>
      </c>
      <c r="W59">
        <f>HYPERLINK("https://klasma.github.io/Logging_2313/artfynd/A 29539-2025 artfynd.xlsx", "A 29539-2025")</f>
        <v/>
      </c>
      <c r="X59">
        <f>HYPERLINK("https://klasma.github.io/Logging_2313/kartor/A 29539-2025 karta.png", "A 29539-2025")</f>
        <v/>
      </c>
      <c r="Y59">
        <f>HYPERLINK("https://klasma.github.io/Logging_2313/kartor_geotiff/A 29539-2025 georefererad karta.tif", "A 29539-2025")</f>
        <v/>
      </c>
      <c r="AA59">
        <f>HYPERLINK("https://klasma.github.io/Logging_2313/klagomål/A 29539-2025 FSC-klagomål.docx", "A 29539-2025")</f>
        <v/>
      </c>
      <c r="AB59">
        <f>HYPERLINK("https://klasma.github.io/Logging_2313/klagomålsmail/A 29539-2025 FSC-klagomål mail.docx", "A 29539-2025")</f>
        <v/>
      </c>
      <c r="AC59">
        <f>HYPERLINK("https://klasma.github.io/Logging_2313/tillsyn/A 29539-2025 tillsynsbegäran.docx", "A 29539-2025")</f>
        <v/>
      </c>
      <c r="AD59">
        <f>HYPERLINK("https://klasma.github.io/Logging_2313/tillsynsmail/A 29539-2025 tillsynsbegäran mail.docx", "A 29539-2025")</f>
        <v/>
      </c>
      <c r="AE59">
        <f>HYPERLINK("https://klasma.github.io/Logging_2313/fåglar/A 29539-2025 prioriterade fågelarter.docx", "A 29539-2025")</f>
        <v/>
      </c>
    </row>
    <row r="60" ht="15" customHeight="1">
      <c r="A60" t="inlineStr">
        <is>
          <t>A 63509-2021</t>
        </is>
      </c>
      <c r="B60" t="inlineStr">
        <is>
          <t>avverkningsanmälan</t>
        </is>
      </c>
      <c r="C60" t="inlineStr">
        <is>
          <t>Föryngringsavverkning</t>
        </is>
      </c>
      <c r="D60" s="1" t="n">
        <v>44504</v>
      </c>
      <c r="E60" s="1" t="n">
        <v>46318</v>
      </c>
      <c r="F60" t="inlineStr">
        <is>
          <t>JÄMTLANDS LÄN</t>
        </is>
      </c>
      <c r="G60" t="inlineStr">
        <is>
          <t>STRÖMSUND</t>
        </is>
      </c>
      <c r="H60" t="inlineStr">
        <is>
          <t>SCA</t>
        </is>
      </c>
      <c r="I60" t="n">
        <v>163.4</v>
      </c>
      <c r="J60" t="n">
        <v>0</v>
      </c>
      <c r="K60" t="n">
        <v>2</v>
      </c>
      <c r="L60" t="n">
        <v>2</v>
      </c>
      <c r="M60" t="n">
        <v>4</v>
      </c>
      <c r="N60" t="n">
        <v>0</v>
      </c>
      <c r="O60" t="n">
        <v>0</v>
      </c>
      <c r="P60" t="n">
        <v>0</v>
      </c>
      <c r="Q60" t="n">
        <v>6</v>
      </c>
      <c r="R60" t="n">
        <v>4</v>
      </c>
      <c r="S60" t="n">
        <v>8</v>
      </c>
      <c r="T60" t="n">
        <v>24</v>
      </c>
      <c r="U60" t="n">
        <v>1</v>
      </c>
      <c r="V60" s="2" t="inlineStr">
        <is>
          <t>Gränsticka
Liten sotlav
Norsk näverlav
Smalskaftslav
Vedtrappmossa
Vitgrynig nållav
Trådticka
Vanlig rörsvepemossa</t>
        </is>
      </c>
      <c r="W60">
        <f>HYPERLINK("https://klasma.github.io/Logging_2313/artfynd/A 63509-2021 artfynd.xlsx", "A 63509-2021")</f>
        <v/>
      </c>
      <c r="X60">
        <f>HYPERLINK("https://klasma.github.io/Logging_2313/kartor/A 63509-2021 karta.png", "A 63509-2021")</f>
        <v/>
      </c>
      <c r="Y60">
        <f>HYPERLINK("https://klasma.github.io/Logging_2313/kartor_geotiff/A 63509-2021 georefererad karta.tif", "A 63509-2021")</f>
        <v/>
      </c>
      <c r="AA60">
        <f>HYPERLINK("https://klasma.github.io/Logging_2313/klagomål/A 63509-2021 FSC-klagomål.docx", "A 63509-2021")</f>
        <v/>
      </c>
      <c r="AB60">
        <f>HYPERLINK("https://klasma.github.io/Logging_2313/klagomålsmail/A 63509-2021 FSC-klagomål mail.docx", "A 63509-2021")</f>
        <v/>
      </c>
      <c r="AC60">
        <f>HYPERLINK("https://klasma.github.io/Logging_2313/tillsyn/A 63509-2021 tillsynsbegäran.docx", "A 63509-2021")</f>
        <v/>
      </c>
      <c r="AD60">
        <f>HYPERLINK("https://klasma.github.io/Logging_2313/tillsynsmail/A 63509-2021 tillsynsbegäran mail.docx", "A 63509-2021")</f>
        <v/>
      </c>
    </row>
    <row r="61" ht="15" customHeight="1">
      <c r="A61" t="inlineStr">
        <is>
          <t>A 21091-2022</t>
        </is>
      </c>
      <c r="B61" t="inlineStr">
        <is>
          <t>avverkningsanmälan</t>
        </is>
      </c>
      <c r="C61" t="inlineStr">
        <is>
          <t>Föryngringsavverkning</t>
        </is>
      </c>
      <c r="D61" s="1" t="n">
        <v>44699</v>
      </c>
      <c r="E61" s="1" t="n">
        <v>46318</v>
      </c>
      <c r="F61" t="inlineStr">
        <is>
          <t>JÄMTLANDS LÄN</t>
        </is>
      </c>
      <c r="G61" t="inlineStr">
        <is>
          <t>STRÖMSUND</t>
        </is>
      </c>
      <c r="H61" t="inlineStr">
        <is>
          <t>SCA</t>
        </is>
      </c>
      <c r="I61" t="n">
        <v>26.9</v>
      </c>
      <c r="J61" t="n">
        <v>2</v>
      </c>
      <c r="K61" t="n">
        <v>4</v>
      </c>
      <c r="L61" t="n">
        <v>1</v>
      </c>
      <c r="M61" t="n">
        <v>0</v>
      </c>
      <c r="N61" t="n">
        <v>1</v>
      </c>
      <c r="O61" t="n">
        <v>0</v>
      </c>
      <c r="P61" t="n">
        <v>0</v>
      </c>
      <c r="Q61" t="n">
        <v>2</v>
      </c>
      <c r="R61" t="n">
        <v>1</v>
      </c>
      <c r="S61" t="n">
        <v>8</v>
      </c>
      <c r="T61" t="n">
        <v>11</v>
      </c>
      <c r="U61" t="n">
        <v>1</v>
      </c>
      <c r="V61" s="2" t="inlineStr">
        <is>
          <t>Svämskapania
Brunpudrad nållav
Gulnål
Kransrams
Strutbräken
Sätertrumpetmossa
Mattlummer
Skogsrör</t>
        </is>
      </c>
      <c r="W61">
        <f>HYPERLINK("https://klasma.github.io/Logging_2313/artfynd/A 21091-2022 artfynd.xlsx", "A 21091-2022")</f>
        <v/>
      </c>
      <c r="X61">
        <f>HYPERLINK("https://klasma.github.io/Logging_2313/kartor/A 21091-2022 karta.png", "A 21091-2022")</f>
        <v/>
      </c>
      <c r="Y61">
        <f>HYPERLINK("https://klasma.github.io/Logging_2313/kartor_geotiff/A 21091-2022 georefererad karta.tif", "A 21091-2022")</f>
        <v/>
      </c>
      <c r="AA61">
        <f>HYPERLINK("https://klasma.github.io/Logging_2313/klagomål/A 21091-2022 FSC-klagomål.docx", "A 21091-2022")</f>
        <v/>
      </c>
      <c r="AB61">
        <f>HYPERLINK("https://klasma.github.io/Logging_2313/klagomålsmail/A 21091-2022 FSC-klagomål mail.docx", "A 21091-2022")</f>
        <v/>
      </c>
      <c r="AC61">
        <f>HYPERLINK("https://klasma.github.io/Logging_2313/tillsyn/A 21091-2022 tillsynsbegäran.docx", "A 21091-2022")</f>
        <v/>
      </c>
      <c r="AD61">
        <f>HYPERLINK("https://klasma.github.io/Logging_2313/tillsynsmail/A 21091-2022 tillsynsbegäran mail.docx", "A 21091-2022")</f>
        <v/>
      </c>
    </row>
    <row r="62" ht="15" customHeight="1">
      <c r="A62" t="inlineStr">
        <is>
          <t>A 55922-2023</t>
        </is>
      </c>
      <c r="B62" t="inlineStr">
        <is>
          <t>avverkningsanmälan</t>
        </is>
      </c>
      <c r="C62" t="inlineStr">
        <is>
          <t>Föryngringsavverkning</t>
        </is>
      </c>
      <c r="D62" s="1" t="n">
        <v>45239</v>
      </c>
      <c r="E62" s="1" t="n">
        <v>46318</v>
      </c>
      <c r="F62" t="inlineStr">
        <is>
          <t>JÄMTLANDS LÄN</t>
        </is>
      </c>
      <c r="G62" t="inlineStr">
        <is>
          <t>STRÖMSUND</t>
        </is>
      </c>
      <c r="H62" t="inlineStr">
        <is>
          <t>SCA</t>
        </is>
      </c>
      <c r="I62" t="n">
        <v>5.7</v>
      </c>
      <c r="J62" t="n">
        <v>4</v>
      </c>
      <c r="K62" t="n">
        <v>3</v>
      </c>
      <c r="L62" t="n">
        <v>4</v>
      </c>
      <c r="M62" t="n">
        <v>1</v>
      </c>
      <c r="N62" t="n">
        <v>0</v>
      </c>
      <c r="O62" t="n">
        <v>0</v>
      </c>
      <c r="P62" t="n">
        <v>0</v>
      </c>
      <c r="Q62" t="n">
        <v>5</v>
      </c>
      <c r="R62" t="n">
        <v>1</v>
      </c>
      <c r="S62" t="n">
        <v>8</v>
      </c>
      <c r="T62" t="n">
        <v>31</v>
      </c>
      <c r="U62" t="n">
        <v>31</v>
      </c>
      <c r="V62" s="2" t="inlineStr">
        <is>
          <t>Sprickporing
Lunglav
Talltita
Tretåig hackspett
Vitgrynig nållav
Guckusko
Gulnål
Korallrot</t>
        </is>
      </c>
      <c r="W62">
        <f>HYPERLINK("https://klasma.github.io/Logging_2313/artfynd/A 55922-2023 artfynd.xlsx", "A 55922-2023")</f>
        <v/>
      </c>
      <c r="X62">
        <f>HYPERLINK("https://klasma.github.io/Logging_2313/kartor/A 55922-2023 karta.png", "A 55922-2023")</f>
        <v/>
      </c>
      <c r="Y62">
        <f>HYPERLINK("https://klasma.github.io/Logging_2313/kartor_geotiff/A 55922-2023 georefererad karta.tif", "A 55922-2023")</f>
        <v/>
      </c>
      <c r="AA62">
        <f>HYPERLINK("https://klasma.github.io/Logging_2313/klagomål/A 55922-2023 FSC-klagomål.docx", "A 55922-2023")</f>
        <v/>
      </c>
      <c r="AB62">
        <f>HYPERLINK("https://klasma.github.io/Logging_2313/klagomålsmail/A 55922-2023 FSC-klagomål mail.docx", "A 55922-2023")</f>
        <v/>
      </c>
      <c r="AC62">
        <f>HYPERLINK("https://klasma.github.io/Logging_2313/tillsyn/A 55922-2023 tillsynsbegäran.docx", "A 55922-2023")</f>
        <v/>
      </c>
      <c r="AD62">
        <f>HYPERLINK("https://klasma.github.io/Logging_2313/tillsynsmail/A 55922-2023 tillsynsbegäran mail.docx", "A 55922-2023")</f>
        <v/>
      </c>
      <c r="AE62">
        <f>HYPERLINK("https://klasma.github.io/Logging_2313/fåglar/A 55922-2023 prioriterade fågelarter.docx", "A 55922-2023")</f>
        <v/>
      </c>
    </row>
    <row r="63" ht="15" customHeight="1">
      <c r="A63" t="inlineStr">
        <is>
          <t>A 18948-2023</t>
        </is>
      </c>
      <c r="B63" t="inlineStr">
        <is>
          <t>avverkningsanmälan</t>
        </is>
      </c>
      <c r="C63" t="inlineStr">
        <is>
          <t>Föryngringsavverkning</t>
        </is>
      </c>
      <c r="D63" s="1" t="n">
        <v>45043</v>
      </c>
      <c r="E63" s="1" t="n">
        <v>46318</v>
      </c>
      <c r="F63" t="inlineStr">
        <is>
          <t>JÄMTLANDS LÄN</t>
        </is>
      </c>
      <c r="G63" t="inlineStr">
        <is>
          <t>STRÖMSUND</t>
        </is>
      </c>
      <c r="I63" t="n">
        <v>24.9</v>
      </c>
      <c r="J63" t="n">
        <v>2</v>
      </c>
      <c r="K63" t="n">
        <v>0</v>
      </c>
      <c r="L63" t="n">
        <v>6</v>
      </c>
      <c r="M63" t="n">
        <v>1</v>
      </c>
      <c r="N63" t="n">
        <v>0</v>
      </c>
      <c r="O63" t="n">
        <v>0</v>
      </c>
      <c r="P63" t="n">
        <v>0</v>
      </c>
      <c r="Q63" t="n">
        <v>7</v>
      </c>
      <c r="R63" t="n">
        <v>1</v>
      </c>
      <c r="S63" t="n">
        <v>8</v>
      </c>
      <c r="T63" t="n">
        <v>29</v>
      </c>
      <c r="U63" t="n">
        <v>29</v>
      </c>
      <c r="V63" s="2" t="inlineStr">
        <is>
          <t>Gräddticka
Fjällig taggsvamp s.str.
Grantaggsvamp
Harticka
Skarp dropptaggsvamp
Svartvit taggsvamp
Tretåig hackspett
Tjäder</t>
        </is>
      </c>
      <c r="W63">
        <f>HYPERLINK("https://klasma.github.io/Logging_2313/artfynd/A 18948-2023 artfynd.xlsx", "A 18948-2023")</f>
        <v/>
      </c>
      <c r="X63">
        <f>HYPERLINK("https://klasma.github.io/Logging_2313/kartor/A 18948-2023 karta.png", "A 18948-2023")</f>
        <v/>
      </c>
      <c r="Y63">
        <f>HYPERLINK("https://klasma.github.io/Logging_2313/kartor_geotiff/A 18948-2023 georefererad karta.tif", "A 18948-2023")</f>
        <v/>
      </c>
      <c r="AA63">
        <f>HYPERLINK("https://klasma.github.io/Logging_2313/klagomål/A 18948-2023 FSC-klagomål.docx", "A 18948-2023")</f>
        <v/>
      </c>
      <c r="AB63">
        <f>HYPERLINK("https://klasma.github.io/Logging_2313/klagomålsmail/A 18948-2023 FSC-klagomål mail.docx", "A 18948-2023")</f>
        <v/>
      </c>
      <c r="AC63">
        <f>HYPERLINK("https://klasma.github.io/Logging_2313/tillsyn/A 18948-2023 tillsynsbegäran.docx", "A 18948-2023")</f>
        <v/>
      </c>
      <c r="AD63">
        <f>HYPERLINK("https://klasma.github.io/Logging_2313/tillsynsmail/A 18948-2023 tillsynsbegäran mail.docx", "A 18948-2023")</f>
        <v/>
      </c>
      <c r="AE63">
        <f>HYPERLINK("https://klasma.github.io/Logging_2313/fåglar/A 18948-2023 prioriterade fågelarter.docx", "A 18948-2023")</f>
        <v/>
      </c>
    </row>
    <row r="64" ht="15" customHeight="1">
      <c r="A64" t="inlineStr">
        <is>
          <t>A 59072-2025</t>
        </is>
      </c>
      <c r="B64" t="inlineStr">
        <is>
          <t>avverkningsanmälan</t>
        </is>
      </c>
      <c r="C64" t="inlineStr">
        <is>
          <t>Föryngringsavverkning</t>
        </is>
      </c>
      <c r="D64" s="1" t="n">
        <v>45982</v>
      </c>
      <c r="E64" s="1" t="n">
        <v>46318</v>
      </c>
      <c r="F64" t="inlineStr">
        <is>
          <t>JÄMTLANDS LÄN</t>
        </is>
      </c>
      <c r="G64" t="inlineStr">
        <is>
          <t>STRÖMSUND</t>
        </is>
      </c>
      <c r="I64" t="n">
        <v>14.8</v>
      </c>
      <c r="J64" t="n">
        <v>3</v>
      </c>
      <c r="K64" t="n">
        <v>2</v>
      </c>
      <c r="L64" t="n">
        <v>2</v>
      </c>
      <c r="M64" t="n">
        <v>2</v>
      </c>
      <c r="N64" t="n">
        <v>0</v>
      </c>
      <c r="O64" t="n">
        <v>0</v>
      </c>
      <c r="P64" t="n">
        <v>0</v>
      </c>
      <c r="Q64" t="n">
        <v>4</v>
      </c>
      <c r="R64" t="n">
        <v>2</v>
      </c>
      <c r="S64" t="n">
        <v>8</v>
      </c>
      <c r="T64" t="n">
        <v>42</v>
      </c>
      <c r="U64" t="n">
        <v>42</v>
      </c>
      <c r="V64" s="2" t="inlineStr">
        <is>
          <t>Garnlav
Liten aspgelélav
Talltita
Tretåig hackspett
Norrlandslav
Skinnlav
Brudborste
Spillkråka</t>
        </is>
      </c>
      <c r="W64">
        <f>HYPERLINK("https://klasma.github.io/Logging_2313/artfynd/A 59072-2025 artfynd.xlsx", "A 59072-2025")</f>
        <v/>
      </c>
      <c r="X64">
        <f>HYPERLINK("https://klasma.github.io/Logging_2313/kartor/A 59072-2025 karta.png", "A 59072-2025")</f>
        <v/>
      </c>
      <c r="Y64">
        <f>HYPERLINK("https://klasma.github.io/Logging_2313/kartor_geotiff/A 59072-2025 georefererad karta.tif", "A 59072-2025")</f>
        <v/>
      </c>
      <c r="AA64">
        <f>HYPERLINK("https://klasma.github.io/Logging_2313/klagomål/A 59072-2025 FSC-klagomål.docx", "A 59072-2025")</f>
        <v/>
      </c>
      <c r="AB64">
        <f>HYPERLINK("https://klasma.github.io/Logging_2313/klagomålsmail/A 59072-2025 FSC-klagomål mail.docx", "A 59072-2025")</f>
        <v/>
      </c>
      <c r="AC64">
        <f>HYPERLINK("https://klasma.github.io/Logging_2313/tillsyn/A 59072-2025 tillsynsbegäran.docx", "A 59072-2025")</f>
        <v/>
      </c>
      <c r="AD64">
        <f>HYPERLINK("https://klasma.github.io/Logging_2313/tillsynsmail/A 59072-2025 tillsynsbegäran mail.docx", "A 59072-2025")</f>
        <v/>
      </c>
      <c r="AE64">
        <f>HYPERLINK("https://klasma.github.io/Logging_2313/fåglar/A 59072-2025 prioriterade fågelarter.docx", "A 59072-2025")</f>
        <v/>
      </c>
    </row>
    <row r="65" ht="15" customHeight="1">
      <c r="A65" t="inlineStr">
        <is>
          <t>A 62117-2025</t>
        </is>
      </c>
      <c r="B65" t="inlineStr">
        <is>
          <t>avverkningsanmälan</t>
        </is>
      </c>
      <c r="C65" t="inlineStr">
        <is>
          <t>Föryngringsavverkning</t>
        </is>
      </c>
      <c r="D65" s="1" t="n">
        <v>46006</v>
      </c>
      <c r="E65" s="1" t="n">
        <v>46318</v>
      </c>
      <c r="F65" t="inlineStr">
        <is>
          <t>JÄMTLANDS LÄN</t>
        </is>
      </c>
      <c r="G65" t="inlineStr">
        <is>
          <t>STRÖMSUND</t>
        </is>
      </c>
      <c r="I65" t="n">
        <v>5.4</v>
      </c>
      <c r="J65" t="n">
        <v>3</v>
      </c>
      <c r="K65" t="n">
        <v>0</v>
      </c>
      <c r="L65" t="n">
        <v>6</v>
      </c>
      <c r="M65" t="n">
        <v>1</v>
      </c>
      <c r="N65" t="n">
        <v>0</v>
      </c>
      <c r="O65" t="n">
        <v>0</v>
      </c>
      <c r="P65" t="n">
        <v>0</v>
      </c>
      <c r="Q65" t="n">
        <v>7</v>
      </c>
      <c r="R65" t="n">
        <v>1</v>
      </c>
      <c r="S65" t="n">
        <v>8</v>
      </c>
      <c r="T65" t="n">
        <v>21</v>
      </c>
      <c r="U65" t="n">
        <v>21</v>
      </c>
      <c r="V65" s="2" t="inlineStr">
        <is>
          <t>Garnlav
Harticka
Lunglav
Skrovellav
Talltita
Tretåig hackspett
Vitgrynig nållav
Spillkråka</t>
        </is>
      </c>
      <c r="W65">
        <f>HYPERLINK("https://klasma.github.io/Logging_2313/artfynd/A 62117-2025 artfynd.xlsx", "A 62117-2025")</f>
        <v/>
      </c>
      <c r="X65">
        <f>HYPERLINK("https://klasma.github.io/Logging_2313/kartor/A 62117-2025 karta.png", "A 62117-2025")</f>
        <v/>
      </c>
      <c r="Y65">
        <f>HYPERLINK("https://klasma.github.io/Logging_2313/kartor_geotiff/A 62117-2025 georefererad karta.tif", "A 62117-2025")</f>
        <v/>
      </c>
      <c r="AA65">
        <f>HYPERLINK("https://klasma.github.io/Logging_2313/klagomål/A 62117-2025 FSC-klagomål.docx", "A 62117-2025")</f>
        <v/>
      </c>
      <c r="AB65">
        <f>HYPERLINK("https://klasma.github.io/Logging_2313/klagomålsmail/A 62117-2025 FSC-klagomål mail.docx", "A 62117-2025")</f>
        <v/>
      </c>
      <c r="AC65">
        <f>HYPERLINK("https://klasma.github.io/Logging_2313/tillsyn/A 62117-2025 tillsynsbegäran.docx", "A 62117-2025")</f>
        <v/>
      </c>
      <c r="AD65">
        <f>HYPERLINK("https://klasma.github.io/Logging_2313/tillsynsmail/A 62117-2025 tillsynsbegäran mail.docx", "A 62117-2025")</f>
        <v/>
      </c>
      <c r="AE65">
        <f>HYPERLINK("https://klasma.github.io/Logging_2313/fåglar/A 62117-2025 prioriterade fågelarter.docx", "A 62117-2025")</f>
        <v/>
      </c>
    </row>
    <row r="66" ht="15" customHeight="1">
      <c r="A66" t="inlineStr">
        <is>
          <t>A 14293-2022</t>
        </is>
      </c>
      <c r="B66" t="inlineStr">
        <is>
          <t>avverkningsanmälan</t>
        </is>
      </c>
      <c r="C66" t="inlineStr">
        <is>
          <t>Föryngringsavverkning</t>
        </is>
      </c>
      <c r="D66" s="1" t="n">
        <v>44651</v>
      </c>
      <c r="E66" s="1" t="n">
        <v>46318</v>
      </c>
      <c r="F66" t="inlineStr">
        <is>
          <t>JÄMTLANDS LÄN</t>
        </is>
      </c>
      <c r="G66" t="inlineStr">
        <is>
          <t>STRÖMSUND</t>
        </is>
      </c>
      <c r="H66" t="inlineStr">
        <is>
          <t>SCA</t>
        </is>
      </c>
      <c r="I66" t="n">
        <v>0.4</v>
      </c>
      <c r="J66" t="n">
        <v>1</v>
      </c>
      <c r="K66" t="n">
        <v>2</v>
      </c>
      <c r="L66" t="n">
        <v>4</v>
      </c>
      <c r="M66" t="n">
        <v>1</v>
      </c>
      <c r="N66" t="n">
        <v>0</v>
      </c>
      <c r="O66" t="n">
        <v>0</v>
      </c>
      <c r="P66" t="n">
        <v>0</v>
      </c>
      <c r="Q66" t="n">
        <v>5</v>
      </c>
      <c r="R66" t="n">
        <v>1</v>
      </c>
      <c r="S66" t="n">
        <v>7</v>
      </c>
      <c r="T66" t="n">
        <v>7</v>
      </c>
      <c r="U66" t="n">
        <v>7</v>
      </c>
      <c r="V66" s="2" t="inlineStr">
        <is>
          <t>Garnlav
Lunglav
Skrovellav
Vedtrappmossa
Vitgrynig nållav
Bårdlav
Spindelblomster</t>
        </is>
      </c>
      <c r="W66">
        <f>HYPERLINK("https://klasma.github.io/Logging_2313/artfynd/A 14293-2022 artfynd.xlsx", "A 14293-2022")</f>
        <v/>
      </c>
      <c r="X66">
        <f>HYPERLINK("https://klasma.github.io/Logging_2313/kartor/A 14293-2022 karta.png", "A 14293-2022")</f>
        <v/>
      </c>
      <c r="Y66">
        <f>HYPERLINK("https://klasma.github.io/Logging_2313/kartor_geotiff/A 14293-2022 georefererad karta.tif", "A 14293-2022")</f>
        <v/>
      </c>
      <c r="AA66">
        <f>HYPERLINK("https://klasma.github.io/Logging_2313/klagomål/A 14293-2022 FSC-klagomål.docx", "A 14293-2022")</f>
        <v/>
      </c>
      <c r="AB66">
        <f>HYPERLINK("https://klasma.github.io/Logging_2313/klagomålsmail/A 14293-2022 FSC-klagomål mail.docx", "A 14293-2022")</f>
        <v/>
      </c>
      <c r="AC66">
        <f>HYPERLINK("https://klasma.github.io/Logging_2313/tillsyn/A 14293-2022 tillsynsbegäran.docx", "A 14293-2022")</f>
        <v/>
      </c>
      <c r="AD66">
        <f>HYPERLINK("https://klasma.github.io/Logging_2313/tillsynsmail/A 14293-2022 tillsynsbegäran mail.docx", "A 14293-2022")</f>
        <v/>
      </c>
    </row>
    <row r="67" ht="15" customHeight="1">
      <c r="A67" t="inlineStr">
        <is>
          <t>A 32792-2025</t>
        </is>
      </c>
      <c r="B67" t="inlineStr">
        <is>
          <t>avverkningsanmälan</t>
        </is>
      </c>
      <c r="C67" t="inlineStr">
        <is>
          <t>Avverkning för att bevara och utveckla /försöksver</t>
        </is>
      </c>
      <c r="D67" s="1" t="n">
        <v>45839</v>
      </c>
      <c r="E67" s="1" t="n">
        <v>46318</v>
      </c>
      <c r="F67" t="inlineStr">
        <is>
          <t>JÄMTLANDS LÄN</t>
        </is>
      </c>
      <c r="G67" t="inlineStr">
        <is>
          <t>STRÖMSUND</t>
        </is>
      </c>
      <c r="H67" t="inlineStr">
        <is>
          <t>SCA</t>
        </is>
      </c>
      <c r="I67" t="n">
        <v>3.8</v>
      </c>
      <c r="J67" t="n">
        <v>0</v>
      </c>
      <c r="K67" t="n">
        <v>0</v>
      </c>
      <c r="L67" t="n">
        <v>5</v>
      </c>
      <c r="M67" t="n">
        <v>2</v>
      </c>
      <c r="N67" t="n">
        <v>0</v>
      </c>
      <c r="O67" t="n">
        <v>0</v>
      </c>
      <c r="P67" t="n">
        <v>0</v>
      </c>
      <c r="Q67" t="n">
        <v>7</v>
      </c>
      <c r="R67" t="n">
        <v>2</v>
      </c>
      <c r="S67" t="n">
        <v>7</v>
      </c>
      <c r="T67" t="n">
        <v>13</v>
      </c>
      <c r="U67" t="n">
        <v>0</v>
      </c>
      <c r="V67" s="2" t="inlineStr">
        <is>
          <t>Blackticka
Garnlav
Gammelgransskål
Harticka
Lunglav
Ullticka
Vitgrynig nållav</t>
        </is>
      </c>
      <c r="W67">
        <f>HYPERLINK("https://klasma.github.io/Logging_2313/artfynd/A 32792-2025 artfynd.xlsx", "A 32792-2025")</f>
        <v/>
      </c>
      <c r="X67">
        <f>HYPERLINK("https://klasma.github.io/Logging_2313/kartor/A 32792-2025 karta.png", "A 32792-2025")</f>
        <v/>
      </c>
      <c r="Y67">
        <f>HYPERLINK("https://klasma.github.io/Logging_2313/kartor_geotiff/A 32792-2025 georefererad karta.tif", "A 32792-2025")</f>
        <v/>
      </c>
      <c r="AA67">
        <f>HYPERLINK("https://klasma.github.io/Logging_2313/klagomål/A 32792-2025 FSC-klagomål.docx", "A 32792-2025")</f>
        <v/>
      </c>
      <c r="AB67">
        <f>HYPERLINK("https://klasma.github.io/Logging_2313/klagomålsmail/A 32792-2025 FSC-klagomål mail.docx", "A 32792-2025")</f>
        <v/>
      </c>
      <c r="AC67">
        <f>HYPERLINK("https://klasma.github.io/Logging_2313/tillsyn/A 32792-2025 tillsynsbegäran.docx", "A 32792-2025")</f>
        <v/>
      </c>
      <c r="AD67">
        <f>HYPERLINK("https://klasma.github.io/Logging_2313/tillsynsmail/A 32792-2025 tillsynsbegäran mail.docx", "A 32792-2025")</f>
        <v/>
      </c>
    </row>
    <row r="68" ht="15" customHeight="1">
      <c r="A68" t="inlineStr">
        <is>
          <t>A 40902-2025</t>
        </is>
      </c>
      <c r="B68" t="inlineStr">
        <is>
          <t>avverkningsanmälan</t>
        </is>
      </c>
      <c r="C68" t="inlineStr">
        <is>
          <t>Föryngringsavverkning</t>
        </is>
      </c>
      <c r="D68" s="1" t="n">
        <v>45897</v>
      </c>
      <c r="E68" s="1" t="n">
        <v>46318</v>
      </c>
      <c r="F68" t="inlineStr">
        <is>
          <t>JÄMTLANDS LÄN</t>
        </is>
      </c>
      <c r="G68" t="inlineStr">
        <is>
          <t>STRÖMSUND</t>
        </is>
      </c>
      <c r="H68" t="inlineStr">
        <is>
          <t>SCA</t>
        </is>
      </c>
      <c r="I68" t="n">
        <v>2.4</v>
      </c>
      <c r="J68" t="n">
        <v>1</v>
      </c>
      <c r="K68" t="n">
        <v>3</v>
      </c>
      <c r="L68" t="n">
        <v>3</v>
      </c>
      <c r="M68" t="n">
        <v>1</v>
      </c>
      <c r="N68" t="n">
        <v>0</v>
      </c>
      <c r="O68" t="n">
        <v>0</v>
      </c>
      <c r="P68" t="n">
        <v>0</v>
      </c>
      <c r="Q68" t="n">
        <v>4</v>
      </c>
      <c r="R68" t="n">
        <v>1</v>
      </c>
      <c r="S68" t="n">
        <v>7</v>
      </c>
      <c r="T68" t="n">
        <v>9</v>
      </c>
      <c r="U68" t="n">
        <v>0</v>
      </c>
      <c r="V68" s="2" t="inlineStr">
        <is>
          <t>Doftticka
Kolflarnlav
Lunglav
Skrovellav
Källmossa
Stuplav
Ögonpyrola</t>
        </is>
      </c>
      <c r="W68">
        <f>HYPERLINK("https://klasma.github.io/Logging_2313/artfynd/A 40902-2025 artfynd.xlsx", "A 40902-2025")</f>
        <v/>
      </c>
      <c r="X68">
        <f>HYPERLINK("https://klasma.github.io/Logging_2313/kartor/A 40902-2025 karta.png", "A 40902-2025")</f>
        <v/>
      </c>
      <c r="Y68">
        <f>HYPERLINK("https://klasma.github.io/Logging_2313/kartor_geotiff/A 40902-2025 georefererad karta.tif", "A 40902-2025")</f>
        <v/>
      </c>
      <c r="AA68">
        <f>HYPERLINK("https://klasma.github.io/Logging_2313/klagomål/A 40902-2025 FSC-klagomål.docx", "A 40902-2025")</f>
        <v/>
      </c>
      <c r="AB68">
        <f>HYPERLINK("https://klasma.github.io/Logging_2313/klagomålsmail/A 40902-2025 FSC-klagomål mail.docx", "A 40902-2025")</f>
        <v/>
      </c>
      <c r="AC68">
        <f>HYPERLINK("https://klasma.github.io/Logging_2313/tillsyn/A 40902-2025 tillsynsbegäran.docx", "A 40902-2025")</f>
        <v/>
      </c>
      <c r="AD68">
        <f>HYPERLINK("https://klasma.github.io/Logging_2313/tillsynsmail/A 40902-2025 tillsynsbegäran mail.docx", "A 40902-2025")</f>
        <v/>
      </c>
    </row>
    <row r="69" ht="15" customHeight="1">
      <c r="A69" t="inlineStr">
        <is>
          <t>A 29495-2024</t>
        </is>
      </c>
      <c r="B69" t="inlineStr">
        <is>
          <t>avverkningsanmälan</t>
        </is>
      </c>
      <c r="C69" t="inlineStr">
        <is>
          <t>Avverkning för att bevara och utveckla /försöksver</t>
        </is>
      </c>
      <c r="D69" s="1" t="n">
        <v>45484</v>
      </c>
      <c r="E69" s="1" t="n">
        <v>46318</v>
      </c>
      <c r="F69" t="inlineStr">
        <is>
          <t>JÄMTLANDS LÄN</t>
        </is>
      </c>
      <c r="G69" t="inlineStr">
        <is>
          <t>STRÖMSUND</t>
        </is>
      </c>
      <c r="H69" t="inlineStr">
        <is>
          <t>Holmen skog AB</t>
        </is>
      </c>
      <c r="I69" t="n">
        <v>5.7</v>
      </c>
      <c r="J69" t="n">
        <v>0</v>
      </c>
      <c r="K69" t="n">
        <v>0</v>
      </c>
      <c r="L69" t="n">
        <v>6</v>
      </c>
      <c r="M69" t="n">
        <v>1</v>
      </c>
      <c r="N69" t="n">
        <v>0</v>
      </c>
      <c r="O69" t="n">
        <v>0</v>
      </c>
      <c r="P69" t="n">
        <v>0</v>
      </c>
      <c r="Q69" t="n">
        <v>7</v>
      </c>
      <c r="R69" t="n">
        <v>1</v>
      </c>
      <c r="S69" t="n">
        <v>7</v>
      </c>
      <c r="T69" t="n">
        <v>8</v>
      </c>
      <c r="U69" t="n">
        <v>8</v>
      </c>
      <c r="V69" s="2" t="inlineStr">
        <is>
          <t>Garnlav
Gammelgransskål
Harticka
Kavernularia
Skrovellav
Ullticka
Vitgrynig nållav</t>
        </is>
      </c>
      <c r="W69">
        <f>HYPERLINK("https://klasma.github.io/Logging_2313/artfynd/A 29495-2024 artfynd.xlsx", "A 29495-2024")</f>
        <v/>
      </c>
      <c r="X69">
        <f>HYPERLINK("https://klasma.github.io/Logging_2313/kartor/A 29495-2024 karta.png", "A 29495-2024")</f>
        <v/>
      </c>
      <c r="Y69">
        <f>HYPERLINK("https://klasma.github.io/Logging_2313/kartor_geotiff/A 29495-2024 georefererad karta.tif", "A 29495-2024")</f>
        <v/>
      </c>
      <c r="AA69">
        <f>HYPERLINK("https://klasma.github.io/Logging_2313/klagomål/A 29495-2024 FSC-klagomål.docx", "A 29495-2024")</f>
        <v/>
      </c>
      <c r="AB69">
        <f>HYPERLINK("https://klasma.github.io/Logging_2313/klagomålsmail/A 29495-2024 FSC-klagomål mail.docx", "A 29495-2024")</f>
        <v/>
      </c>
      <c r="AC69">
        <f>HYPERLINK("https://klasma.github.io/Logging_2313/tillsyn/A 29495-2024 tillsynsbegäran.docx", "A 29495-2024")</f>
        <v/>
      </c>
      <c r="AD69">
        <f>HYPERLINK("https://klasma.github.io/Logging_2313/tillsynsmail/A 29495-2024 tillsynsbegäran mail.docx", "A 29495-2024")</f>
        <v/>
      </c>
    </row>
    <row r="70" ht="15" customHeight="1">
      <c r="A70" t="inlineStr">
        <is>
          <t>A 40013-2025</t>
        </is>
      </c>
      <c r="B70" t="inlineStr">
        <is>
          <t>avverkningsanmälan</t>
        </is>
      </c>
      <c r="C70" t="inlineStr">
        <is>
          <t>Avverkning för att bevara och utveckla /försöksver</t>
        </is>
      </c>
      <c r="D70" s="1" t="n">
        <v>45894</v>
      </c>
      <c r="E70" s="1" t="n">
        <v>46318</v>
      </c>
      <c r="F70" t="inlineStr">
        <is>
          <t>JÄMTLANDS LÄN</t>
        </is>
      </c>
      <c r="G70" t="inlineStr">
        <is>
          <t>STRÖMSUND</t>
        </is>
      </c>
      <c r="H70" t="inlineStr">
        <is>
          <t>SCA</t>
        </is>
      </c>
      <c r="I70" t="n">
        <v>2.7</v>
      </c>
      <c r="J70" t="n">
        <v>1</v>
      </c>
      <c r="K70" t="n">
        <v>1</v>
      </c>
      <c r="L70" t="n">
        <v>5</v>
      </c>
      <c r="M70" t="n">
        <v>1</v>
      </c>
      <c r="N70" t="n">
        <v>0</v>
      </c>
      <c r="O70" t="n">
        <v>0</v>
      </c>
      <c r="P70" t="n">
        <v>0</v>
      </c>
      <c r="Q70" t="n">
        <v>6</v>
      </c>
      <c r="R70" t="n">
        <v>1</v>
      </c>
      <c r="S70" t="n">
        <v>7</v>
      </c>
      <c r="T70" t="n">
        <v>9</v>
      </c>
      <c r="U70" t="n">
        <v>6</v>
      </c>
      <c r="V70" s="2" t="inlineStr">
        <is>
          <t>Garnlav
Doftskinn
Harticka
Lunglav
Tretåig hackspett
Vitgrynig nållav
Luddlav</t>
        </is>
      </c>
      <c r="W70">
        <f>HYPERLINK("https://klasma.github.io/Logging_2313/artfynd/A 40013-2025 artfynd.xlsx", "A 40013-2025")</f>
        <v/>
      </c>
      <c r="X70">
        <f>HYPERLINK("https://klasma.github.io/Logging_2313/kartor/A 40013-2025 karta.png", "A 40013-2025")</f>
        <v/>
      </c>
      <c r="Y70">
        <f>HYPERLINK("https://klasma.github.io/Logging_2313/kartor_geotiff/A 40013-2025 georefererad karta.tif", "A 40013-2025")</f>
        <v/>
      </c>
      <c r="AA70">
        <f>HYPERLINK("https://klasma.github.io/Logging_2313/klagomål/A 40013-2025 FSC-klagomål.docx", "A 40013-2025")</f>
        <v/>
      </c>
      <c r="AB70">
        <f>HYPERLINK("https://klasma.github.io/Logging_2313/klagomålsmail/A 40013-2025 FSC-klagomål mail.docx", "A 40013-2025")</f>
        <v/>
      </c>
      <c r="AC70">
        <f>HYPERLINK("https://klasma.github.io/Logging_2313/tillsyn/A 40013-2025 tillsynsbegäran.docx", "A 40013-2025")</f>
        <v/>
      </c>
      <c r="AD70">
        <f>HYPERLINK("https://klasma.github.io/Logging_2313/tillsynsmail/A 40013-2025 tillsynsbegäran mail.docx", "A 40013-2025")</f>
        <v/>
      </c>
      <c r="AE70">
        <f>HYPERLINK("https://klasma.github.io/Logging_2313/fåglar/A 40013-2025 prioriterade fågelarter.docx", "A 40013-2025")</f>
        <v/>
      </c>
    </row>
    <row r="71" ht="15" customHeight="1">
      <c r="A71" t="inlineStr">
        <is>
          <t>A 57459-2025</t>
        </is>
      </c>
      <c r="B71" t="inlineStr">
        <is>
          <t>avverkningsanmälan</t>
        </is>
      </c>
      <c r="C71" t="inlineStr">
        <is>
          <t>Föryngringsavverkning</t>
        </is>
      </c>
      <c r="D71" s="1" t="n">
        <v>45980</v>
      </c>
      <c r="E71" s="1" t="n">
        <v>46318</v>
      </c>
      <c r="F71" t="inlineStr">
        <is>
          <t>JÄMTLANDS LÄN</t>
        </is>
      </c>
      <c r="G71" t="inlineStr">
        <is>
          <t>STRÖMSUND</t>
        </is>
      </c>
      <c r="H71" t="inlineStr">
        <is>
          <t>SCA</t>
        </is>
      </c>
      <c r="I71" t="n">
        <v>7.8</v>
      </c>
      <c r="J71" t="n">
        <v>0</v>
      </c>
      <c r="K71" t="n">
        <v>3</v>
      </c>
      <c r="L71" t="n">
        <v>2</v>
      </c>
      <c r="M71" t="n">
        <v>2</v>
      </c>
      <c r="N71" t="n">
        <v>0</v>
      </c>
      <c r="O71" t="n">
        <v>0</v>
      </c>
      <c r="P71" t="n">
        <v>0</v>
      </c>
      <c r="Q71" t="n">
        <v>4</v>
      </c>
      <c r="R71" t="n">
        <v>2</v>
      </c>
      <c r="S71" t="n">
        <v>7</v>
      </c>
      <c r="T71" t="n">
        <v>10</v>
      </c>
      <c r="U71" t="n">
        <v>0</v>
      </c>
      <c r="V71" s="2" t="inlineStr">
        <is>
          <t>Blackticka
Garnlav
Lunglav
Skrovellav
Bårdlav
Skinnlav
Stuplav</t>
        </is>
      </c>
      <c r="W71">
        <f>HYPERLINK("https://klasma.github.io/Logging_2313/artfynd/A 57459-2025 artfynd.xlsx", "A 57459-2025")</f>
        <v/>
      </c>
      <c r="X71">
        <f>HYPERLINK("https://klasma.github.io/Logging_2313/kartor/A 57459-2025 karta.png", "A 57459-2025")</f>
        <v/>
      </c>
      <c r="Y71">
        <f>HYPERLINK("https://klasma.github.io/Logging_2313/kartor_geotiff/A 57459-2025 georefererad karta.tif", "A 57459-2025")</f>
        <v/>
      </c>
      <c r="AA71">
        <f>HYPERLINK("https://klasma.github.io/Logging_2313/klagomål/A 57459-2025 FSC-klagomål.docx", "A 57459-2025")</f>
        <v/>
      </c>
      <c r="AB71">
        <f>HYPERLINK("https://klasma.github.io/Logging_2313/klagomålsmail/A 57459-2025 FSC-klagomål mail.docx", "A 57459-2025")</f>
        <v/>
      </c>
      <c r="AC71">
        <f>HYPERLINK("https://klasma.github.io/Logging_2313/tillsyn/A 57459-2025 tillsynsbegäran.docx", "A 57459-2025")</f>
        <v/>
      </c>
      <c r="AD71">
        <f>HYPERLINK("https://klasma.github.io/Logging_2313/tillsynsmail/A 57459-2025 tillsynsbegäran mail.docx", "A 57459-2025")</f>
        <v/>
      </c>
    </row>
    <row r="72" ht="15" customHeight="1">
      <c r="A72" t="inlineStr">
        <is>
          <t>A 55921-2023</t>
        </is>
      </c>
      <c r="B72" t="inlineStr">
        <is>
          <t>avverkningsanmälan</t>
        </is>
      </c>
      <c r="C72" t="inlineStr">
        <is>
          <t>Föryngringsavverkning</t>
        </is>
      </c>
      <c r="D72" s="1" t="n">
        <v>45239</v>
      </c>
      <c r="E72" s="1" t="n">
        <v>46318</v>
      </c>
      <c r="F72" t="inlineStr">
        <is>
          <t>JÄMTLANDS LÄN</t>
        </is>
      </c>
      <c r="G72" t="inlineStr">
        <is>
          <t>STRÖMSUND</t>
        </is>
      </c>
      <c r="H72" t="inlineStr">
        <is>
          <t>SCA</t>
        </is>
      </c>
      <c r="I72" t="n">
        <v>6.3</v>
      </c>
      <c r="J72" t="n">
        <v>3</v>
      </c>
      <c r="K72" t="n">
        <v>2</v>
      </c>
      <c r="L72" t="n">
        <v>4</v>
      </c>
      <c r="M72" t="n">
        <v>1</v>
      </c>
      <c r="N72" t="n">
        <v>0</v>
      </c>
      <c r="O72" t="n">
        <v>0</v>
      </c>
      <c r="P72" t="n">
        <v>0</v>
      </c>
      <c r="Q72" t="n">
        <v>5</v>
      </c>
      <c r="R72" t="n">
        <v>1</v>
      </c>
      <c r="S72" t="n">
        <v>7</v>
      </c>
      <c r="T72" t="n">
        <v>52</v>
      </c>
      <c r="U72" t="n">
        <v>52</v>
      </c>
      <c r="V72" s="2" t="inlineStr">
        <is>
          <t>Garnlav
Gammelgransskål
Tretåig hackspett
Ullticka
Vitgrynig nållav
Guckusko
Tvåblad</t>
        </is>
      </c>
      <c r="W72">
        <f>HYPERLINK("https://klasma.github.io/Logging_2313/artfynd/A 55921-2023 artfynd.xlsx", "A 55921-2023")</f>
        <v/>
      </c>
      <c r="X72">
        <f>HYPERLINK("https://klasma.github.io/Logging_2313/kartor/A 55921-2023 karta.png", "A 55921-2023")</f>
        <v/>
      </c>
      <c r="Y72">
        <f>HYPERLINK("https://klasma.github.io/Logging_2313/kartor_geotiff/A 55921-2023 georefererad karta.tif", "A 55921-2023")</f>
        <v/>
      </c>
      <c r="AA72">
        <f>HYPERLINK("https://klasma.github.io/Logging_2313/klagomål/A 55921-2023 FSC-klagomål.docx", "A 55921-2023")</f>
        <v/>
      </c>
      <c r="AB72">
        <f>HYPERLINK("https://klasma.github.io/Logging_2313/klagomålsmail/A 55921-2023 FSC-klagomål mail.docx", "A 55921-2023")</f>
        <v/>
      </c>
      <c r="AC72">
        <f>HYPERLINK("https://klasma.github.io/Logging_2313/tillsyn/A 55921-2023 tillsynsbegäran.docx", "A 55921-2023")</f>
        <v/>
      </c>
      <c r="AD72">
        <f>HYPERLINK("https://klasma.github.io/Logging_2313/tillsynsmail/A 55921-2023 tillsynsbegäran mail.docx", "A 55921-2023")</f>
        <v/>
      </c>
      <c r="AE72">
        <f>HYPERLINK("https://klasma.github.io/Logging_2313/fåglar/A 55921-2023 prioriterade fågelarter.docx", "A 55921-2023")</f>
        <v/>
      </c>
    </row>
    <row r="73" ht="15" customHeight="1">
      <c r="A73" t="inlineStr">
        <is>
          <t>A 4579-2024</t>
        </is>
      </c>
      <c r="B73" t="inlineStr">
        <is>
          <t>avverkningsanmälan</t>
        </is>
      </c>
      <c r="C73" t="inlineStr">
        <is>
          <t>Föryngringsavverkning</t>
        </is>
      </c>
      <c r="D73" s="1" t="n">
        <v>45327</v>
      </c>
      <c r="E73" s="1" t="n">
        <v>46318</v>
      </c>
      <c r="F73" t="inlineStr">
        <is>
          <t>JÄMTLANDS LÄN</t>
        </is>
      </c>
      <c r="G73" t="inlineStr">
        <is>
          <t>STRÖMSUND</t>
        </is>
      </c>
      <c r="I73" t="n">
        <v>3.4</v>
      </c>
      <c r="J73" t="n">
        <v>6</v>
      </c>
      <c r="K73" t="n">
        <v>2</v>
      </c>
      <c r="L73" t="n">
        <v>1</v>
      </c>
      <c r="M73" t="n">
        <v>1</v>
      </c>
      <c r="N73" t="n">
        <v>0</v>
      </c>
      <c r="O73" t="n">
        <v>0</v>
      </c>
      <c r="P73" t="n">
        <v>0</v>
      </c>
      <c r="Q73" t="n">
        <v>2</v>
      </c>
      <c r="R73" t="n">
        <v>1</v>
      </c>
      <c r="S73" t="n">
        <v>7</v>
      </c>
      <c r="T73" t="n">
        <v>102</v>
      </c>
      <c r="U73" t="n">
        <v>101</v>
      </c>
      <c r="V73" s="2" t="inlineStr">
        <is>
          <t>Violett guldvinge
Månlåsbräken
Guckusko
Tvåblad
Järpe
Brudsporre
Fläcknycklar</t>
        </is>
      </c>
      <c r="W73">
        <f>HYPERLINK("https://klasma.github.io/Logging_2313/artfynd/A 4579-2024 artfynd.xlsx", "A 4579-2024")</f>
        <v/>
      </c>
      <c r="X73">
        <f>HYPERLINK("https://klasma.github.io/Logging_2313/kartor/A 4579-2024 karta.png", "A 4579-2024")</f>
        <v/>
      </c>
      <c r="Y73">
        <f>HYPERLINK("https://klasma.github.io/Logging_2313/kartor_geotiff/A 4579-2024 georefererad karta.tif", "A 4579-2024")</f>
        <v/>
      </c>
      <c r="AA73">
        <f>HYPERLINK("https://klasma.github.io/Logging_2313/klagomål/A 4579-2024 FSC-klagomål.docx", "A 4579-2024")</f>
        <v/>
      </c>
      <c r="AB73">
        <f>HYPERLINK("https://klasma.github.io/Logging_2313/klagomålsmail/A 4579-2024 FSC-klagomål mail.docx", "A 4579-2024")</f>
        <v/>
      </c>
      <c r="AC73">
        <f>HYPERLINK("https://klasma.github.io/Logging_2313/tillsyn/A 4579-2024 tillsynsbegäran.docx", "A 4579-2024")</f>
        <v/>
      </c>
      <c r="AD73">
        <f>HYPERLINK("https://klasma.github.io/Logging_2313/tillsynsmail/A 4579-2024 tillsynsbegäran mail.docx", "A 4579-2024")</f>
        <v/>
      </c>
      <c r="AE73">
        <f>HYPERLINK("https://klasma.github.io/Logging_2313/fåglar/A 4579-2024 prioriterade fågelarter.docx", "A 4579-2024")</f>
        <v/>
      </c>
    </row>
    <row r="74" ht="15" customHeight="1">
      <c r="A74" t="inlineStr">
        <is>
          <t>A 12045-2026</t>
        </is>
      </c>
      <c r="B74" t="inlineStr">
        <is>
          <t>avverkningsanmälan</t>
        </is>
      </c>
      <c r="C74" t="inlineStr">
        <is>
          <t>Föryngringsavverkning</t>
        </is>
      </c>
      <c r="D74" s="1" t="n">
        <v>46086</v>
      </c>
      <c r="E74" s="1" t="n">
        <v>46318</v>
      </c>
      <c r="F74" t="inlineStr">
        <is>
          <t>JÄMTLANDS LÄN</t>
        </is>
      </c>
      <c r="G74" t="inlineStr">
        <is>
          <t>STRÖMSUND</t>
        </is>
      </c>
      <c r="H74" t="inlineStr">
        <is>
          <t>SCA</t>
        </is>
      </c>
      <c r="I74" t="n">
        <v>7.1</v>
      </c>
      <c r="J74" t="n">
        <v>1</v>
      </c>
      <c r="K74" t="n">
        <v>3</v>
      </c>
      <c r="L74" t="n">
        <v>3</v>
      </c>
      <c r="M74" t="n">
        <v>1</v>
      </c>
      <c r="N74" t="n">
        <v>0</v>
      </c>
      <c r="O74" t="n">
        <v>0</v>
      </c>
      <c r="P74" t="n">
        <v>0</v>
      </c>
      <c r="Q74" t="n">
        <v>4</v>
      </c>
      <c r="R74" t="n">
        <v>1</v>
      </c>
      <c r="S74" t="n">
        <v>7</v>
      </c>
      <c r="T74" t="n">
        <v>17</v>
      </c>
      <c r="U74" t="n">
        <v>17</v>
      </c>
      <c r="V74" s="2" t="inlineStr">
        <is>
          <t>Garnlav
Lunglav
Tretåig hackspett
Vitgrynig nållav
Bårdlav
Luddlav
Stuplav</t>
        </is>
      </c>
      <c r="W74">
        <f>HYPERLINK("https://klasma.github.io/Logging_2313/artfynd/A 12045-2026 artfynd.xlsx", "A 12045-2026")</f>
        <v/>
      </c>
      <c r="X74">
        <f>HYPERLINK("https://klasma.github.io/Logging_2313/kartor/A 12045-2026 karta.png", "A 12045-2026")</f>
        <v/>
      </c>
      <c r="Y74">
        <f>HYPERLINK("https://klasma.github.io/Logging_2313/kartor_geotiff/A 12045-2026 georefererad karta.tif", "A 12045-2026")</f>
        <v/>
      </c>
      <c r="AA74">
        <f>HYPERLINK("https://klasma.github.io/Logging_2313/klagomål/A 12045-2026 FSC-klagomål.docx", "A 12045-2026")</f>
        <v/>
      </c>
      <c r="AB74">
        <f>HYPERLINK("https://klasma.github.io/Logging_2313/klagomålsmail/A 12045-2026 FSC-klagomål mail.docx", "A 12045-2026")</f>
        <v/>
      </c>
      <c r="AC74">
        <f>HYPERLINK("https://klasma.github.io/Logging_2313/tillsyn/A 12045-2026 tillsynsbegäran.docx", "A 12045-2026")</f>
        <v/>
      </c>
      <c r="AD74">
        <f>HYPERLINK("https://klasma.github.io/Logging_2313/tillsynsmail/A 12045-2026 tillsynsbegäran mail.docx", "A 12045-2026")</f>
        <v/>
      </c>
      <c r="AE74">
        <f>HYPERLINK("https://klasma.github.io/Logging_2313/fåglar/A 12045-2026 prioriterade fågelarter.docx", "A 12045-2026")</f>
        <v/>
      </c>
    </row>
    <row r="75" ht="15" customHeight="1">
      <c r="A75" t="inlineStr">
        <is>
          <t>A 52563-2024</t>
        </is>
      </c>
      <c r="B75" t="inlineStr">
        <is>
          <t>avverkningsanmälan</t>
        </is>
      </c>
      <c r="C75" t="inlineStr">
        <is>
          <t>Föryngringsavverkning</t>
        </is>
      </c>
      <c r="D75" s="1" t="n">
        <v>45609</v>
      </c>
      <c r="E75" s="1" t="n">
        <v>46318</v>
      </c>
      <c r="F75" t="inlineStr">
        <is>
          <t>JÄMTLANDS LÄN</t>
        </is>
      </c>
      <c r="G75" t="inlineStr">
        <is>
          <t>STRÖMSUND</t>
        </is>
      </c>
      <c r="H75" t="inlineStr">
        <is>
          <t>SCA</t>
        </is>
      </c>
      <c r="I75" t="n">
        <v>11.9</v>
      </c>
      <c r="J75" t="n">
        <v>1</v>
      </c>
      <c r="K75" t="n">
        <v>2</v>
      </c>
      <c r="L75" t="n">
        <v>4</v>
      </c>
      <c r="M75" t="n">
        <v>1</v>
      </c>
      <c r="N75" t="n">
        <v>0</v>
      </c>
      <c r="O75" t="n">
        <v>0</v>
      </c>
      <c r="P75" t="n">
        <v>0</v>
      </c>
      <c r="Q75" t="n">
        <v>5</v>
      </c>
      <c r="R75" t="n">
        <v>1</v>
      </c>
      <c r="S75" t="n">
        <v>7</v>
      </c>
      <c r="T75" t="n">
        <v>7</v>
      </c>
      <c r="U75" t="n">
        <v>0</v>
      </c>
      <c r="V75" s="2" t="inlineStr">
        <is>
          <t>Garnlav
Lunglav
Skrovellav
Tretåig hackspett
Ullticka
Luddlav
Stuplav</t>
        </is>
      </c>
      <c r="W75">
        <f>HYPERLINK("https://klasma.github.io/Logging_2313/artfynd/A 52563-2024 artfynd.xlsx", "A 52563-2024")</f>
        <v/>
      </c>
      <c r="X75">
        <f>HYPERLINK("https://klasma.github.io/Logging_2313/kartor/A 52563-2024 karta.png", "A 52563-2024")</f>
        <v/>
      </c>
      <c r="Y75">
        <f>HYPERLINK("https://klasma.github.io/Logging_2313/kartor_geotiff/A 52563-2024 georefererad karta.tif", "A 52563-2024")</f>
        <v/>
      </c>
      <c r="AA75">
        <f>HYPERLINK("https://klasma.github.io/Logging_2313/klagomål/A 52563-2024 FSC-klagomål.docx", "A 52563-2024")</f>
        <v/>
      </c>
      <c r="AB75">
        <f>HYPERLINK("https://klasma.github.io/Logging_2313/klagomålsmail/A 52563-2024 FSC-klagomål mail.docx", "A 52563-2024")</f>
        <v/>
      </c>
      <c r="AC75">
        <f>HYPERLINK("https://klasma.github.io/Logging_2313/tillsyn/A 52563-2024 tillsynsbegäran.docx", "A 52563-2024")</f>
        <v/>
      </c>
      <c r="AD75">
        <f>HYPERLINK("https://klasma.github.io/Logging_2313/tillsynsmail/A 52563-2024 tillsynsbegäran mail.docx", "A 52563-2024")</f>
        <v/>
      </c>
      <c r="AE75">
        <f>HYPERLINK("https://klasma.github.io/Logging_2313/fåglar/A 52563-2024 prioriterade fågelarter.docx", "A 52563-2024")</f>
        <v/>
      </c>
    </row>
    <row r="76" ht="15" customHeight="1">
      <c r="A76" t="inlineStr">
        <is>
          <t>A 48370-2024</t>
        </is>
      </c>
      <c r="B76" t="inlineStr">
        <is>
          <t>avverkningsanmälan</t>
        </is>
      </c>
      <c r="C76" t="inlineStr">
        <is>
          <t>Avverkning för att bevara och utveckla /försöksver</t>
        </is>
      </c>
      <c r="D76" s="1" t="n">
        <v>45590</v>
      </c>
      <c r="E76" s="1" t="n">
        <v>46318</v>
      </c>
      <c r="F76" t="inlineStr">
        <is>
          <t>JÄMTLANDS LÄN</t>
        </is>
      </c>
      <c r="G76" t="inlineStr">
        <is>
          <t>STRÖMSUND</t>
        </is>
      </c>
      <c r="H76" t="inlineStr">
        <is>
          <t>SCA</t>
        </is>
      </c>
      <c r="I76" t="n">
        <v>6.7</v>
      </c>
      <c r="J76" t="n">
        <v>0</v>
      </c>
      <c r="K76" t="n">
        <v>3</v>
      </c>
      <c r="L76" t="n">
        <v>3</v>
      </c>
      <c r="M76" t="n">
        <v>1</v>
      </c>
      <c r="N76" t="n">
        <v>0</v>
      </c>
      <c r="O76" t="n">
        <v>0</v>
      </c>
      <c r="P76" t="n">
        <v>0</v>
      </c>
      <c r="Q76" t="n">
        <v>4</v>
      </c>
      <c r="R76" t="n">
        <v>1</v>
      </c>
      <c r="S76" t="n">
        <v>7</v>
      </c>
      <c r="T76" t="n">
        <v>10</v>
      </c>
      <c r="U76" t="n">
        <v>0</v>
      </c>
      <c r="V76" s="2" t="inlineStr">
        <is>
          <t>Garnlav
Gammelgransskål
Lunglav
Violettgrå tagellav
Rävticka
Skinnlav
Stor aspticka</t>
        </is>
      </c>
      <c r="W76">
        <f>HYPERLINK("https://klasma.github.io/Logging_2313/artfynd/A 48370-2024 artfynd.xlsx", "A 48370-2024")</f>
        <v/>
      </c>
      <c r="X76">
        <f>HYPERLINK("https://klasma.github.io/Logging_2313/kartor/A 48370-2024 karta.png", "A 48370-2024")</f>
        <v/>
      </c>
      <c r="Y76">
        <f>HYPERLINK("https://klasma.github.io/Logging_2313/kartor_geotiff/A 48370-2024 georefererad karta.tif", "A 48370-2024")</f>
        <v/>
      </c>
      <c r="AA76">
        <f>HYPERLINK("https://klasma.github.io/Logging_2313/klagomål/A 48370-2024 FSC-klagomål.docx", "A 48370-2024")</f>
        <v/>
      </c>
      <c r="AB76">
        <f>HYPERLINK("https://klasma.github.io/Logging_2313/klagomålsmail/A 48370-2024 FSC-klagomål mail.docx", "A 48370-2024")</f>
        <v/>
      </c>
      <c r="AC76">
        <f>HYPERLINK("https://klasma.github.io/Logging_2313/tillsyn/A 48370-2024 tillsynsbegäran.docx", "A 48370-2024")</f>
        <v/>
      </c>
      <c r="AD76">
        <f>HYPERLINK("https://klasma.github.io/Logging_2313/tillsynsmail/A 48370-2024 tillsynsbegäran mail.docx", "A 48370-2024")</f>
        <v/>
      </c>
    </row>
    <row r="77" ht="15" customHeight="1">
      <c r="A77" t="inlineStr">
        <is>
          <t>A 49769-2024</t>
        </is>
      </c>
      <c r="B77" t="inlineStr">
        <is>
          <t>avverkningsanmälan</t>
        </is>
      </c>
      <c r="C77" t="inlineStr">
        <is>
          <t>Avverkning för att bevara och utveckla /försöksver</t>
        </is>
      </c>
      <c r="D77" s="1" t="n">
        <v>45597</v>
      </c>
      <c r="E77" s="1" t="n">
        <v>46318</v>
      </c>
      <c r="F77" t="inlineStr">
        <is>
          <t>JÄMTLANDS LÄN</t>
        </is>
      </c>
      <c r="G77" t="inlineStr">
        <is>
          <t>STRÖMSUND</t>
        </is>
      </c>
      <c r="H77" t="inlineStr">
        <is>
          <t>SCA</t>
        </is>
      </c>
      <c r="I77" t="n">
        <v>9.300000000000001</v>
      </c>
      <c r="J77" t="n">
        <v>0</v>
      </c>
      <c r="K77" t="n">
        <v>2</v>
      </c>
      <c r="L77" t="n">
        <v>3</v>
      </c>
      <c r="M77" t="n">
        <v>2</v>
      </c>
      <c r="N77" t="n">
        <v>0</v>
      </c>
      <c r="O77" t="n">
        <v>0</v>
      </c>
      <c r="P77" t="n">
        <v>0</v>
      </c>
      <c r="Q77" t="n">
        <v>5</v>
      </c>
      <c r="R77" t="n">
        <v>2</v>
      </c>
      <c r="S77" t="n">
        <v>7</v>
      </c>
      <c r="T77" t="n">
        <v>9</v>
      </c>
      <c r="U77" t="n">
        <v>0</v>
      </c>
      <c r="V77" s="2" t="inlineStr">
        <is>
          <t>Garnlav
Norsk näverlav
Gammelgransskål
Lunglav
Violettgrå tagellav
Skinnlav
Stuplav</t>
        </is>
      </c>
      <c r="W77">
        <f>HYPERLINK("https://klasma.github.io/Logging_2313/artfynd/A 49769-2024 artfynd.xlsx", "A 49769-2024")</f>
        <v/>
      </c>
      <c r="X77">
        <f>HYPERLINK("https://klasma.github.io/Logging_2313/kartor/A 49769-2024 karta.png", "A 49769-2024")</f>
        <v/>
      </c>
      <c r="Y77">
        <f>HYPERLINK("https://klasma.github.io/Logging_2313/kartor_geotiff/A 49769-2024 georefererad karta.tif", "A 49769-2024")</f>
        <v/>
      </c>
      <c r="AA77">
        <f>HYPERLINK("https://klasma.github.io/Logging_2313/klagomål/A 49769-2024 FSC-klagomål.docx", "A 49769-2024")</f>
        <v/>
      </c>
      <c r="AB77">
        <f>HYPERLINK("https://klasma.github.io/Logging_2313/klagomålsmail/A 49769-2024 FSC-klagomål mail.docx", "A 49769-2024")</f>
        <v/>
      </c>
      <c r="AC77">
        <f>HYPERLINK("https://klasma.github.io/Logging_2313/tillsyn/A 49769-2024 tillsynsbegäran.docx", "A 49769-2024")</f>
        <v/>
      </c>
      <c r="AD77">
        <f>HYPERLINK("https://klasma.github.io/Logging_2313/tillsynsmail/A 49769-2024 tillsynsbegäran mail.docx", "A 49769-2024")</f>
        <v/>
      </c>
    </row>
    <row r="78" ht="15" customHeight="1">
      <c r="A78" t="inlineStr">
        <is>
          <t>A 51403-2024</t>
        </is>
      </c>
      <c r="B78" t="inlineStr">
        <is>
          <t>avverkningsanmälan</t>
        </is>
      </c>
      <c r="C78" t="inlineStr">
        <is>
          <t>Avverkning för att bevara och utveckla /försöksver</t>
        </is>
      </c>
      <c r="D78" s="1" t="n">
        <v>45604</v>
      </c>
      <c r="E78" s="1" t="n">
        <v>46318</v>
      </c>
      <c r="F78" t="inlineStr">
        <is>
          <t>JÄMTLANDS LÄN</t>
        </is>
      </c>
      <c r="G78" t="inlineStr">
        <is>
          <t>STRÖMSUND</t>
        </is>
      </c>
      <c r="H78" t="inlineStr">
        <is>
          <t>SCA</t>
        </is>
      </c>
      <c r="I78" t="n">
        <v>25.2</v>
      </c>
      <c r="J78" t="n">
        <v>1</v>
      </c>
      <c r="K78" t="n">
        <v>1</v>
      </c>
      <c r="L78" t="n">
        <v>4</v>
      </c>
      <c r="M78" t="n">
        <v>2</v>
      </c>
      <c r="N78" t="n">
        <v>0</v>
      </c>
      <c r="O78" t="n">
        <v>0</v>
      </c>
      <c r="P78" t="n">
        <v>0</v>
      </c>
      <c r="Q78" t="n">
        <v>6</v>
      </c>
      <c r="R78" t="n">
        <v>2</v>
      </c>
      <c r="S78" t="n">
        <v>7</v>
      </c>
      <c r="T78" t="n">
        <v>13</v>
      </c>
      <c r="U78" t="n">
        <v>0</v>
      </c>
      <c r="V78" s="2" t="inlineStr">
        <is>
          <t>Doftticka
Garnlav
Brunpudrad nållav
Gammelgransskål
Lunglav
Ullticka
Vedticka</t>
        </is>
      </c>
      <c r="W78">
        <f>HYPERLINK("https://klasma.github.io/Logging_2313/artfynd/A 51403-2024 artfynd.xlsx", "A 51403-2024")</f>
        <v/>
      </c>
      <c r="X78">
        <f>HYPERLINK("https://klasma.github.io/Logging_2313/kartor/A 51403-2024 karta.png", "A 51403-2024")</f>
        <v/>
      </c>
      <c r="Y78">
        <f>HYPERLINK("https://klasma.github.io/Logging_2313/kartor_geotiff/A 51403-2024 georefererad karta.tif", "A 51403-2024")</f>
        <v/>
      </c>
      <c r="AA78">
        <f>HYPERLINK("https://klasma.github.io/Logging_2313/klagomål/A 51403-2024 FSC-klagomål.docx", "A 51403-2024")</f>
        <v/>
      </c>
      <c r="AB78">
        <f>HYPERLINK("https://klasma.github.io/Logging_2313/klagomålsmail/A 51403-2024 FSC-klagomål mail.docx", "A 51403-2024")</f>
        <v/>
      </c>
      <c r="AC78">
        <f>HYPERLINK("https://klasma.github.io/Logging_2313/tillsyn/A 51403-2024 tillsynsbegäran.docx", "A 51403-2024")</f>
        <v/>
      </c>
      <c r="AD78">
        <f>HYPERLINK("https://klasma.github.io/Logging_2313/tillsynsmail/A 51403-2024 tillsynsbegäran mail.docx", "A 51403-2024")</f>
        <v/>
      </c>
    </row>
    <row r="79" ht="15" customHeight="1">
      <c r="A79" t="inlineStr">
        <is>
          <t>A 36365-2022</t>
        </is>
      </c>
      <c r="B79" t="inlineStr">
        <is>
          <t>avverkningsanmälan</t>
        </is>
      </c>
      <c r="C79" t="inlineStr">
        <is>
          <t>Föryngringsavverkning</t>
        </is>
      </c>
      <c r="D79" s="1" t="n">
        <v>44803</v>
      </c>
      <c r="E79" s="1" t="n">
        <v>46318</v>
      </c>
      <c r="F79" t="inlineStr">
        <is>
          <t>JÄMTLANDS LÄN</t>
        </is>
      </c>
      <c r="G79" t="inlineStr">
        <is>
          <t>STRÖMSUND</t>
        </is>
      </c>
      <c r="H79" t="inlineStr">
        <is>
          <t>SCA</t>
        </is>
      </c>
      <c r="I79" t="n">
        <v>16.8</v>
      </c>
      <c r="J79" t="n">
        <v>1</v>
      </c>
      <c r="K79" t="n">
        <v>2</v>
      </c>
      <c r="L79" t="n">
        <v>4</v>
      </c>
      <c r="M79" t="n">
        <v>1</v>
      </c>
      <c r="N79" t="n">
        <v>0</v>
      </c>
      <c r="O79" t="n">
        <v>0</v>
      </c>
      <c r="P79" t="n">
        <v>0</v>
      </c>
      <c r="Q79" t="n">
        <v>5</v>
      </c>
      <c r="R79" t="n">
        <v>1</v>
      </c>
      <c r="S79" t="n">
        <v>7</v>
      </c>
      <c r="T79" t="n">
        <v>32</v>
      </c>
      <c r="U79" t="n">
        <v>32</v>
      </c>
      <c r="V79" s="2" t="inlineStr">
        <is>
          <t>Garnlav
Lunglav
Skogsfru
Skrovellav
Ullticka
Bårdlav
Stuplav</t>
        </is>
      </c>
      <c r="W79">
        <f>HYPERLINK("https://klasma.github.io/Logging_2313/artfynd/A 36365-2022 artfynd.xlsx", "A 36365-2022")</f>
        <v/>
      </c>
      <c r="X79">
        <f>HYPERLINK("https://klasma.github.io/Logging_2313/kartor/A 36365-2022 karta.png", "A 36365-2022")</f>
        <v/>
      </c>
      <c r="Y79">
        <f>HYPERLINK("https://klasma.github.io/Logging_2313/kartor_geotiff/A 36365-2022 georefererad karta.tif", "A 36365-2022")</f>
        <v/>
      </c>
      <c r="AA79">
        <f>HYPERLINK("https://klasma.github.io/Logging_2313/klagomål/A 36365-2022 FSC-klagomål.docx", "A 36365-2022")</f>
        <v/>
      </c>
      <c r="AB79">
        <f>HYPERLINK("https://klasma.github.io/Logging_2313/klagomålsmail/A 36365-2022 FSC-klagomål mail.docx", "A 36365-2022")</f>
        <v/>
      </c>
      <c r="AC79">
        <f>HYPERLINK("https://klasma.github.io/Logging_2313/tillsyn/A 36365-2022 tillsynsbegäran.docx", "A 36365-2022")</f>
        <v/>
      </c>
      <c r="AD79">
        <f>HYPERLINK("https://klasma.github.io/Logging_2313/tillsynsmail/A 36365-2022 tillsynsbegäran mail.docx", "A 36365-2022")</f>
        <v/>
      </c>
    </row>
    <row r="80" ht="15" customHeight="1">
      <c r="A80" t="inlineStr">
        <is>
          <t>A 47297-2022</t>
        </is>
      </c>
      <c r="B80" t="inlineStr">
        <is>
          <t>avverkningsanmälan</t>
        </is>
      </c>
      <c r="C80" t="inlineStr">
        <is>
          <t>Föryngringsavverkning</t>
        </is>
      </c>
      <c r="D80" s="1" t="n">
        <v>44852</v>
      </c>
      <c r="E80" s="1" t="n">
        <v>46318</v>
      </c>
      <c r="F80" t="inlineStr">
        <is>
          <t>JÄMTLANDS LÄN</t>
        </is>
      </c>
      <c r="G80" t="inlineStr">
        <is>
          <t>STRÖMSUND</t>
        </is>
      </c>
      <c r="H80" t="inlineStr">
        <is>
          <t>SCA</t>
        </is>
      </c>
      <c r="I80" t="n">
        <v>3.4</v>
      </c>
      <c r="J80" t="n">
        <v>1</v>
      </c>
      <c r="K80" t="n">
        <v>0</v>
      </c>
      <c r="L80" t="n">
        <v>4</v>
      </c>
      <c r="M80" t="n">
        <v>2</v>
      </c>
      <c r="N80" t="n">
        <v>0</v>
      </c>
      <c r="O80" t="n">
        <v>0</v>
      </c>
      <c r="P80" t="n">
        <v>0</v>
      </c>
      <c r="Q80" t="n">
        <v>6</v>
      </c>
      <c r="R80" t="n">
        <v>2</v>
      </c>
      <c r="S80" t="n">
        <v>6</v>
      </c>
      <c r="T80" t="n">
        <v>8</v>
      </c>
      <c r="U80" t="n">
        <v>8</v>
      </c>
      <c r="V80" s="2" t="inlineStr">
        <is>
          <t>Garnlav
Knärot
Gammelgransskål
Lunglav
Rosenticka
Ullticka</t>
        </is>
      </c>
      <c r="W80">
        <f>HYPERLINK("https://klasma.github.io/Logging_2313/artfynd/A 47297-2022 artfynd.xlsx", "A 47297-2022")</f>
        <v/>
      </c>
      <c r="X80">
        <f>HYPERLINK("https://klasma.github.io/Logging_2313/kartor/A 47297-2022 karta.png", "A 47297-2022")</f>
        <v/>
      </c>
      <c r="Y80">
        <f>HYPERLINK("https://klasma.github.io/Logging_2313/kartor_geotiff/A 47297-2022 georefererad karta.tif", "A 47297-2022")</f>
        <v/>
      </c>
      <c r="Z80">
        <f>HYPERLINK("https://klasma.github.io/Logging_2313/knärot/A 47297-2022 karta knärot.png", "A 47297-2022")</f>
        <v/>
      </c>
      <c r="AA80">
        <f>HYPERLINK("https://klasma.github.io/Logging_2313/klagomål/A 47297-2022 FSC-klagomål.docx", "A 47297-2022")</f>
        <v/>
      </c>
      <c r="AB80">
        <f>HYPERLINK("https://klasma.github.io/Logging_2313/klagomålsmail/A 47297-2022 FSC-klagomål mail.docx", "A 47297-2022")</f>
        <v/>
      </c>
      <c r="AC80">
        <f>HYPERLINK("https://klasma.github.io/Logging_2313/tillsyn/A 47297-2022 tillsynsbegäran.docx", "A 47297-2022")</f>
        <v/>
      </c>
      <c r="AD80">
        <f>HYPERLINK("https://klasma.github.io/Logging_2313/tillsynsmail/A 47297-2022 tillsynsbegäran mail.docx", "A 47297-2022")</f>
        <v/>
      </c>
    </row>
    <row r="81" ht="15" customHeight="1">
      <c r="A81" t="inlineStr">
        <is>
          <t>A 17956-2023</t>
        </is>
      </c>
      <c r="B81" t="inlineStr">
        <is>
          <t>avverkningsanmälan</t>
        </is>
      </c>
      <c r="C81" t="inlineStr">
        <is>
          <t>Föryngringsavverkning</t>
        </is>
      </c>
      <c r="D81" s="1" t="n">
        <v>45037</v>
      </c>
      <c r="E81" s="1" t="n">
        <v>46318</v>
      </c>
      <c r="F81" t="inlineStr">
        <is>
          <t>JÄMTLANDS LÄN</t>
        </is>
      </c>
      <c r="G81" t="inlineStr">
        <is>
          <t>STRÖMSUND</t>
        </is>
      </c>
      <c r="I81" t="n">
        <v>5.1</v>
      </c>
      <c r="J81" t="n">
        <v>0</v>
      </c>
      <c r="K81" t="n">
        <v>3</v>
      </c>
      <c r="L81" t="n">
        <v>3</v>
      </c>
      <c r="M81" t="n">
        <v>0</v>
      </c>
      <c r="N81" t="n">
        <v>0</v>
      </c>
      <c r="O81" t="n">
        <v>0</v>
      </c>
      <c r="P81" t="n">
        <v>0</v>
      </c>
      <c r="Q81" t="n">
        <v>3</v>
      </c>
      <c r="R81" t="n">
        <v>0</v>
      </c>
      <c r="S81" t="n">
        <v>6</v>
      </c>
      <c r="T81" t="n">
        <v>7</v>
      </c>
      <c r="U81" t="n">
        <v>0</v>
      </c>
      <c r="V81" s="2" t="inlineStr">
        <is>
          <t>Blå slemspindling
Koralltaggsvamp
Ullticka
Barkkornlav
Mörk husmossa
Stuplav</t>
        </is>
      </c>
      <c r="W81">
        <f>HYPERLINK("https://klasma.github.io/Logging_2313/artfynd/A 17956-2023 artfynd.xlsx", "A 17956-2023")</f>
        <v/>
      </c>
      <c r="X81">
        <f>HYPERLINK("https://klasma.github.io/Logging_2313/kartor/A 17956-2023 karta.png", "A 17956-2023")</f>
        <v/>
      </c>
      <c r="Y81">
        <f>HYPERLINK("https://klasma.github.io/Logging_2313/kartor_geotiff/A 17956-2023 georefererad karta.tif", "A 17956-2023")</f>
        <v/>
      </c>
      <c r="AA81">
        <f>HYPERLINK("https://klasma.github.io/Logging_2313/klagomål/A 17956-2023 FSC-klagomål.docx", "A 17956-2023")</f>
        <v/>
      </c>
      <c r="AB81">
        <f>HYPERLINK("https://klasma.github.io/Logging_2313/klagomålsmail/A 17956-2023 FSC-klagomål mail.docx", "A 17956-2023")</f>
        <v/>
      </c>
      <c r="AC81">
        <f>HYPERLINK("https://klasma.github.io/Logging_2313/tillsyn/A 17956-2023 tillsynsbegäran.docx", "A 17956-2023")</f>
        <v/>
      </c>
      <c r="AD81">
        <f>HYPERLINK("https://klasma.github.io/Logging_2313/tillsynsmail/A 17956-2023 tillsynsbegäran mail.docx", "A 17956-2023")</f>
        <v/>
      </c>
    </row>
    <row r="82" ht="15" customHeight="1">
      <c r="A82" t="inlineStr">
        <is>
          <t>A 61907-2023</t>
        </is>
      </c>
      <c r="B82" t="inlineStr">
        <is>
          <t>avverkningsanmälan</t>
        </is>
      </c>
      <c r="C82" t="inlineStr">
        <is>
          <t>Föryngringsavverkning</t>
        </is>
      </c>
      <c r="D82" s="1" t="n">
        <v>45265</v>
      </c>
      <c r="E82" s="1" t="n">
        <v>46318</v>
      </c>
      <c r="F82" t="inlineStr">
        <is>
          <t>JÄMTLANDS LÄN</t>
        </is>
      </c>
      <c r="G82" t="inlineStr">
        <is>
          <t>STRÖMSUND</t>
        </is>
      </c>
      <c r="I82" t="n">
        <v>49</v>
      </c>
      <c r="J82" t="n">
        <v>4</v>
      </c>
      <c r="K82" t="n">
        <v>0</v>
      </c>
      <c r="L82" t="n">
        <v>3</v>
      </c>
      <c r="M82" t="n">
        <v>1</v>
      </c>
      <c r="N82" t="n">
        <v>0</v>
      </c>
      <c r="O82" t="n">
        <v>0</v>
      </c>
      <c r="P82" t="n">
        <v>0</v>
      </c>
      <c r="Q82" t="n">
        <v>4</v>
      </c>
      <c r="R82" t="n">
        <v>1</v>
      </c>
      <c r="S82" t="n">
        <v>6</v>
      </c>
      <c r="T82" t="n">
        <v>8</v>
      </c>
      <c r="U82" t="n">
        <v>7</v>
      </c>
      <c r="V82" s="2" t="inlineStr">
        <is>
          <t>Borgsjömusseron
Lavskrika
Rynkskinn
Talltita
Bergfink
Vanlig groda</t>
        </is>
      </c>
      <c r="W82">
        <f>HYPERLINK("https://klasma.github.io/Logging_2313/artfynd/A 61907-2023 artfynd.xlsx", "A 61907-2023")</f>
        <v/>
      </c>
      <c r="X82">
        <f>HYPERLINK("https://klasma.github.io/Logging_2313/kartor/A 61907-2023 karta.png", "A 61907-2023")</f>
        <v/>
      </c>
      <c r="Y82">
        <f>HYPERLINK("https://klasma.github.io/Logging_2313/kartor_geotiff/A 61907-2023 georefererad karta.tif", "A 61907-2023")</f>
        <v/>
      </c>
      <c r="AA82">
        <f>HYPERLINK("https://klasma.github.io/Logging_2313/klagomål/A 61907-2023 FSC-klagomål.docx", "A 61907-2023")</f>
        <v/>
      </c>
      <c r="AB82">
        <f>HYPERLINK("https://klasma.github.io/Logging_2313/klagomålsmail/A 61907-2023 FSC-klagomål mail.docx", "A 61907-2023")</f>
        <v/>
      </c>
      <c r="AC82">
        <f>HYPERLINK("https://klasma.github.io/Logging_2313/tillsyn/A 61907-2023 tillsynsbegäran.docx", "A 61907-2023")</f>
        <v/>
      </c>
      <c r="AD82">
        <f>HYPERLINK("https://klasma.github.io/Logging_2313/tillsynsmail/A 61907-2023 tillsynsbegäran mail.docx", "A 61907-2023")</f>
        <v/>
      </c>
      <c r="AE82">
        <f>HYPERLINK("https://klasma.github.io/Logging_2313/fåglar/A 61907-2023 prioriterade fågelarter.docx", "A 61907-2023")</f>
        <v/>
      </c>
    </row>
    <row r="83" ht="15" customHeight="1">
      <c r="A83" t="inlineStr">
        <is>
          <t>A 27624-2025</t>
        </is>
      </c>
      <c r="B83" t="inlineStr">
        <is>
          <t>avverkningsanmälan</t>
        </is>
      </c>
      <c r="C83" t="inlineStr">
        <is>
          <t>Föryngringsavverkning</t>
        </is>
      </c>
      <c r="D83" s="1" t="n">
        <v>45813</v>
      </c>
      <c r="E83" s="1" t="n">
        <v>46318</v>
      </c>
      <c r="F83" t="inlineStr">
        <is>
          <t>JÄMTLANDS LÄN</t>
        </is>
      </c>
      <c r="G83" t="inlineStr">
        <is>
          <t>STRÖMSUND</t>
        </is>
      </c>
      <c r="H83" t="inlineStr">
        <is>
          <t>SCA</t>
        </is>
      </c>
      <c r="I83" t="n">
        <v>5.1</v>
      </c>
      <c r="J83" t="n">
        <v>1</v>
      </c>
      <c r="K83" t="n">
        <v>0</v>
      </c>
      <c r="L83" t="n">
        <v>5</v>
      </c>
      <c r="M83" t="n">
        <v>0</v>
      </c>
      <c r="N83" t="n">
        <v>0</v>
      </c>
      <c r="O83" t="n">
        <v>0</v>
      </c>
      <c r="P83" t="n">
        <v>0</v>
      </c>
      <c r="Q83" t="n">
        <v>5</v>
      </c>
      <c r="R83" t="n">
        <v>0</v>
      </c>
      <c r="S83" t="n">
        <v>6</v>
      </c>
      <c r="T83" t="n">
        <v>8</v>
      </c>
      <c r="U83" t="n">
        <v>2</v>
      </c>
      <c r="V83" s="2" t="inlineStr">
        <is>
          <t>Puderspindling
Rosenticka
Skuggblåslav
Vedtrappmossa
Äggvaxskivling
Blåsippa</t>
        </is>
      </c>
      <c r="W83">
        <f>HYPERLINK("https://klasma.github.io/Logging_2313/artfynd/A 27624-2025 artfynd.xlsx", "A 27624-2025")</f>
        <v/>
      </c>
      <c r="X83">
        <f>HYPERLINK("https://klasma.github.io/Logging_2313/kartor/A 27624-2025 karta.png", "A 27624-2025")</f>
        <v/>
      </c>
      <c r="Y83">
        <f>HYPERLINK("https://klasma.github.io/Logging_2313/kartor_geotiff/A 27624-2025 georefererad karta.tif", "A 27624-2025")</f>
        <v/>
      </c>
      <c r="AA83">
        <f>HYPERLINK("https://klasma.github.io/Logging_2313/klagomål/A 27624-2025 FSC-klagomål.docx", "A 27624-2025")</f>
        <v/>
      </c>
      <c r="AB83">
        <f>HYPERLINK("https://klasma.github.io/Logging_2313/klagomålsmail/A 27624-2025 FSC-klagomål mail.docx", "A 27624-2025")</f>
        <v/>
      </c>
      <c r="AC83">
        <f>HYPERLINK("https://klasma.github.io/Logging_2313/tillsyn/A 27624-2025 tillsynsbegäran.docx", "A 27624-2025")</f>
        <v/>
      </c>
      <c r="AD83">
        <f>HYPERLINK("https://klasma.github.io/Logging_2313/tillsynsmail/A 27624-2025 tillsynsbegäran mail.docx", "A 27624-2025")</f>
        <v/>
      </c>
    </row>
    <row r="84" ht="15" customHeight="1">
      <c r="A84" t="inlineStr">
        <is>
          <t>A 34881-2025</t>
        </is>
      </c>
      <c r="B84" t="inlineStr">
        <is>
          <t>avverkningsanmälan</t>
        </is>
      </c>
      <c r="C84" t="inlineStr">
        <is>
          <t>Avverkning för att bevara och utveckla /försöksver</t>
        </is>
      </c>
      <c r="D84" s="1" t="n">
        <v>45849</v>
      </c>
      <c r="E84" s="1" t="n">
        <v>46318</v>
      </c>
      <c r="F84" t="inlineStr">
        <is>
          <t>JÄMTLANDS LÄN</t>
        </is>
      </c>
      <c r="G84" t="inlineStr">
        <is>
          <t>STRÖMSUND</t>
        </is>
      </c>
      <c r="H84" t="inlineStr">
        <is>
          <t>SCA</t>
        </is>
      </c>
      <c r="I84" t="n">
        <v>4</v>
      </c>
      <c r="J84" t="n">
        <v>2</v>
      </c>
      <c r="K84" t="n">
        <v>2</v>
      </c>
      <c r="L84" t="n">
        <v>3</v>
      </c>
      <c r="M84" t="n">
        <v>1</v>
      </c>
      <c r="N84" t="n">
        <v>0</v>
      </c>
      <c r="O84" t="n">
        <v>0</v>
      </c>
      <c r="P84" t="n">
        <v>0</v>
      </c>
      <c r="Q84" t="n">
        <v>4</v>
      </c>
      <c r="R84" t="n">
        <v>1</v>
      </c>
      <c r="S84" t="n">
        <v>6</v>
      </c>
      <c r="T84" t="n">
        <v>7</v>
      </c>
      <c r="U84" t="n">
        <v>0</v>
      </c>
      <c r="V84" s="2" t="inlineStr">
        <is>
          <t>Garnlav
Gammelgransskål
Lunglav
Vitgrynig nållav
Korallrot
Lappranunkel</t>
        </is>
      </c>
      <c r="W84">
        <f>HYPERLINK("https://klasma.github.io/Logging_2313/artfynd/A 34881-2025 artfynd.xlsx", "A 34881-2025")</f>
        <v/>
      </c>
      <c r="X84">
        <f>HYPERLINK("https://klasma.github.io/Logging_2313/kartor/A 34881-2025 karta.png", "A 34881-2025")</f>
        <v/>
      </c>
      <c r="Y84">
        <f>HYPERLINK("https://klasma.github.io/Logging_2313/kartor_geotiff/A 34881-2025 georefererad karta.tif", "A 34881-2025")</f>
        <v/>
      </c>
      <c r="AA84">
        <f>HYPERLINK("https://klasma.github.io/Logging_2313/klagomål/A 34881-2025 FSC-klagomål.docx", "A 34881-2025")</f>
        <v/>
      </c>
      <c r="AB84">
        <f>HYPERLINK("https://klasma.github.io/Logging_2313/klagomålsmail/A 34881-2025 FSC-klagomål mail.docx", "A 34881-2025")</f>
        <v/>
      </c>
      <c r="AC84">
        <f>HYPERLINK("https://klasma.github.io/Logging_2313/tillsyn/A 34881-2025 tillsynsbegäran.docx", "A 34881-2025")</f>
        <v/>
      </c>
      <c r="AD84">
        <f>HYPERLINK("https://klasma.github.io/Logging_2313/tillsynsmail/A 34881-2025 tillsynsbegäran mail.docx", "A 34881-2025")</f>
        <v/>
      </c>
    </row>
    <row r="85" ht="15" customHeight="1">
      <c r="A85" t="inlineStr">
        <is>
          <t>A 26048-2024</t>
        </is>
      </c>
      <c r="B85" t="inlineStr">
        <is>
          <t>avverkningsanmälan</t>
        </is>
      </c>
      <c r="C85" t="inlineStr">
        <is>
          <t>Föryngringsavverkning</t>
        </is>
      </c>
      <c r="D85" s="1" t="n">
        <v>45468</v>
      </c>
      <c r="E85" s="1" t="n">
        <v>46318</v>
      </c>
      <c r="F85" t="inlineStr">
        <is>
          <t>JÄMTLANDS LÄN</t>
        </is>
      </c>
      <c r="G85" t="inlineStr">
        <is>
          <t>STRÖMSUND</t>
        </is>
      </c>
      <c r="H85" t="inlineStr">
        <is>
          <t>Holmen skog AB</t>
        </is>
      </c>
      <c r="I85" t="n">
        <v>1.6</v>
      </c>
      <c r="J85" t="n">
        <v>1</v>
      </c>
      <c r="K85" t="n">
        <v>1</v>
      </c>
      <c r="L85" t="n">
        <v>2</v>
      </c>
      <c r="M85" t="n">
        <v>3</v>
      </c>
      <c r="N85" t="n">
        <v>0</v>
      </c>
      <c r="O85" t="n">
        <v>0</v>
      </c>
      <c r="P85" t="n">
        <v>0</v>
      </c>
      <c r="Q85" t="n">
        <v>5</v>
      </c>
      <c r="R85" t="n">
        <v>3</v>
      </c>
      <c r="S85" t="n">
        <v>6</v>
      </c>
      <c r="T85" t="n">
        <v>7</v>
      </c>
      <c r="U85" t="n">
        <v>7</v>
      </c>
      <c r="V85" s="2" t="inlineStr">
        <is>
          <t>Garnlav
Grangråticka
Knärot
Orange taggsvamp
Vitgrynig nållav
Norrlandslav</t>
        </is>
      </c>
      <c r="W85">
        <f>HYPERLINK("https://klasma.github.io/Logging_2313/artfynd/A 26048-2024 artfynd.xlsx", "A 26048-2024")</f>
        <v/>
      </c>
      <c r="X85">
        <f>HYPERLINK("https://klasma.github.io/Logging_2313/kartor/A 26048-2024 karta.png", "A 26048-2024")</f>
        <v/>
      </c>
      <c r="Y85">
        <f>HYPERLINK("https://klasma.github.io/Logging_2313/kartor_geotiff/A 26048-2024 georefererad karta.tif", "A 26048-2024")</f>
        <v/>
      </c>
      <c r="Z85">
        <f>HYPERLINK("https://klasma.github.io/Logging_2313/knärot/A 26048-2024 karta knärot.png", "A 26048-2024")</f>
        <v/>
      </c>
      <c r="AA85">
        <f>HYPERLINK("https://klasma.github.io/Logging_2313/klagomål/A 26048-2024 FSC-klagomål.docx", "A 26048-2024")</f>
        <v/>
      </c>
      <c r="AB85">
        <f>HYPERLINK("https://klasma.github.io/Logging_2313/klagomålsmail/A 26048-2024 FSC-klagomål mail.docx", "A 26048-2024")</f>
        <v/>
      </c>
      <c r="AC85">
        <f>HYPERLINK("https://klasma.github.io/Logging_2313/tillsyn/A 26048-2024 tillsynsbegäran.docx", "A 26048-2024")</f>
        <v/>
      </c>
      <c r="AD85">
        <f>HYPERLINK("https://klasma.github.io/Logging_2313/tillsynsmail/A 26048-2024 tillsynsbegäran mail.docx", "A 26048-2024")</f>
        <v/>
      </c>
    </row>
    <row r="86" ht="15" customHeight="1">
      <c r="A86" t="inlineStr">
        <is>
          <t>A 36207-2023</t>
        </is>
      </c>
      <c r="B86" t="inlineStr">
        <is>
          <t>avverkningsanmälan</t>
        </is>
      </c>
      <c r="C86" t="inlineStr">
        <is>
          <t>Avverkning för att bevara och utveckla /försöksver</t>
        </is>
      </c>
      <c r="D86" s="1" t="n">
        <v>45149</v>
      </c>
      <c r="E86" s="1" t="n">
        <v>46318</v>
      </c>
      <c r="F86" t="inlineStr">
        <is>
          <t>JÄMTLANDS LÄN</t>
        </is>
      </c>
      <c r="G86" t="inlineStr">
        <is>
          <t>STRÖMSUND</t>
        </is>
      </c>
      <c r="H86" t="inlineStr">
        <is>
          <t>SCA</t>
        </is>
      </c>
      <c r="I86" t="n">
        <v>1</v>
      </c>
      <c r="J86" t="n">
        <v>4</v>
      </c>
      <c r="K86" t="n">
        <v>2</v>
      </c>
      <c r="L86" t="n">
        <v>3</v>
      </c>
      <c r="M86" t="n">
        <v>0</v>
      </c>
      <c r="N86" t="n">
        <v>0</v>
      </c>
      <c r="O86" t="n">
        <v>0</v>
      </c>
      <c r="P86" t="n">
        <v>0</v>
      </c>
      <c r="Q86" t="n">
        <v>3</v>
      </c>
      <c r="R86" t="n">
        <v>0</v>
      </c>
      <c r="S86" t="n">
        <v>6</v>
      </c>
      <c r="T86" t="n">
        <v>7</v>
      </c>
      <c r="U86" t="n">
        <v>0</v>
      </c>
      <c r="V86" s="2" t="inlineStr">
        <is>
          <t>Barrfagerspindling
Kryddspindling
Skogsfru
Spindelblomster
Tvåblad
Blåsippa</t>
        </is>
      </c>
      <c r="W86">
        <f>HYPERLINK("https://klasma.github.io/Logging_2313/artfynd/A 36207-2023 artfynd.xlsx", "A 36207-2023")</f>
        <v/>
      </c>
      <c r="X86">
        <f>HYPERLINK("https://klasma.github.io/Logging_2313/kartor/A 36207-2023 karta.png", "A 36207-2023")</f>
        <v/>
      </c>
      <c r="Y86">
        <f>HYPERLINK("https://klasma.github.io/Logging_2313/kartor_geotiff/A 36207-2023 georefererad karta.tif", "A 36207-2023")</f>
        <v/>
      </c>
      <c r="AA86">
        <f>HYPERLINK("https://klasma.github.io/Logging_2313/klagomål/A 36207-2023 FSC-klagomål.docx", "A 36207-2023")</f>
        <v/>
      </c>
      <c r="AB86">
        <f>HYPERLINK("https://klasma.github.io/Logging_2313/klagomålsmail/A 36207-2023 FSC-klagomål mail.docx", "A 36207-2023")</f>
        <v/>
      </c>
      <c r="AC86">
        <f>HYPERLINK("https://klasma.github.io/Logging_2313/tillsyn/A 36207-2023 tillsynsbegäran.docx", "A 36207-2023")</f>
        <v/>
      </c>
      <c r="AD86">
        <f>HYPERLINK("https://klasma.github.io/Logging_2313/tillsynsmail/A 36207-2023 tillsynsbegäran mail.docx", "A 36207-2023")</f>
        <v/>
      </c>
    </row>
    <row r="87" ht="15" customHeight="1">
      <c r="A87" t="inlineStr">
        <is>
          <t>A 27364-2023</t>
        </is>
      </c>
      <c r="B87" t="inlineStr">
        <is>
          <t>avverkningsanmälan</t>
        </is>
      </c>
      <c r="C87" t="inlineStr">
        <is>
          <t>Avverkning för att bevara och utveckla /försöksver</t>
        </is>
      </c>
      <c r="D87" s="1" t="n">
        <v>45096</v>
      </c>
      <c r="E87" s="1" t="n">
        <v>46318</v>
      </c>
      <c r="F87" t="inlineStr">
        <is>
          <t>JÄMTLANDS LÄN</t>
        </is>
      </c>
      <c r="G87" t="inlineStr">
        <is>
          <t>STRÖMSUND</t>
        </is>
      </c>
      <c r="H87" t="inlineStr">
        <is>
          <t>SCA</t>
        </is>
      </c>
      <c r="I87" t="n">
        <v>8.300000000000001</v>
      </c>
      <c r="J87" t="n">
        <v>0</v>
      </c>
      <c r="K87" t="n">
        <v>1</v>
      </c>
      <c r="L87" t="n">
        <v>3</v>
      </c>
      <c r="M87" t="n">
        <v>2</v>
      </c>
      <c r="N87" t="n">
        <v>0</v>
      </c>
      <c r="O87" t="n">
        <v>0</v>
      </c>
      <c r="P87" t="n">
        <v>0</v>
      </c>
      <c r="Q87" t="n">
        <v>5</v>
      </c>
      <c r="R87" t="n">
        <v>2</v>
      </c>
      <c r="S87" t="n">
        <v>6</v>
      </c>
      <c r="T87" t="n">
        <v>7</v>
      </c>
      <c r="U87" t="n">
        <v>0</v>
      </c>
      <c r="V87" s="2" t="inlineStr">
        <is>
          <t>Garnlav
Läderlappslav
Harticka
Lunglav
Vitgrynig nållav
Vedticka</t>
        </is>
      </c>
      <c r="W87">
        <f>HYPERLINK("https://klasma.github.io/Logging_2313/artfynd/A 27364-2023 artfynd.xlsx", "A 27364-2023")</f>
        <v/>
      </c>
      <c r="X87">
        <f>HYPERLINK("https://klasma.github.io/Logging_2313/kartor/A 27364-2023 karta.png", "A 27364-2023")</f>
        <v/>
      </c>
      <c r="Y87">
        <f>HYPERLINK("https://klasma.github.io/Logging_2313/kartor_geotiff/A 27364-2023 georefererad karta.tif", "A 27364-2023")</f>
        <v/>
      </c>
      <c r="AA87">
        <f>HYPERLINK("https://klasma.github.io/Logging_2313/klagomål/A 27364-2023 FSC-klagomål.docx", "A 27364-2023")</f>
        <v/>
      </c>
      <c r="AB87">
        <f>HYPERLINK("https://klasma.github.io/Logging_2313/klagomålsmail/A 27364-2023 FSC-klagomål mail.docx", "A 27364-2023")</f>
        <v/>
      </c>
      <c r="AC87">
        <f>HYPERLINK("https://klasma.github.io/Logging_2313/tillsyn/A 27364-2023 tillsynsbegäran.docx", "A 27364-2023")</f>
        <v/>
      </c>
      <c r="AD87">
        <f>HYPERLINK("https://klasma.github.io/Logging_2313/tillsynsmail/A 27364-2023 tillsynsbegäran mail.docx", "A 27364-2023")</f>
        <v/>
      </c>
    </row>
    <row r="88" ht="15" customHeight="1">
      <c r="A88" t="inlineStr">
        <is>
          <t>A 57949-2025</t>
        </is>
      </c>
      <c r="B88" t="inlineStr">
        <is>
          <t>avverkningsanmälan</t>
        </is>
      </c>
      <c r="C88" t="inlineStr">
        <is>
          <t>Föryngringsavverkning</t>
        </is>
      </c>
      <c r="D88" s="1" t="n">
        <v>45982</v>
      </c>
      <c r="E88" s="1" t="n">
        <v>46318</v>
      </c>
      <c r="F88" t="inlineStr">
        <is>
          <t>JÄMTLANDS LÄN</t>
        </is>
      </c>
      <c r="G88" t="inlineStr">
        <is>
          <t>STRÖMSUND</t>
        </is>
      </c>
      <c r="H88" t="inlineStr">
        <is>
          <t>SCA</t>
        </is>
      </c>
      <c r="I88" t="n">
        <v>3.3</v>
      </c>
      <c r="J88" t="n">
        <v>0</v>
      </c>
      <c r="K88" t="n">
        <v>2</v>
      </c>
      <c r="L88" t="n">
        <v>3</v>
      </c>
      <c r="M88" t="n">
        <v>1</v>
      </c>
      <c r="N88" t="n">
        <v>0</v>
      </c>
      <c r="O88" t="n">
        <v>0</v>
      </c>
      <c r="P88" t="n">
        <v>0</v>
      </c>
      <c r="Q88" t="n">
        <v>4</v>
      </c>
      <c r="R88" t="n">
        <v>1</v>
      </c>
      <c r="S88" t="n">
        <v>6</v>
      </c>
      <c r="T88" t="n">
        <v>6</v>
      </c>
      <c r="U88" t="n">
        <v>0</v>
      </c>
      <c r="V88" s="2" t="inlineStr">
        <is>
          <t>Garnlav
Lunglav
Rynkskinn
Skrovellav
Skinnlav
Vedticka</t>
        </is>
      </c>
      <c r="W88">
        <f>HYPERLINK("https://klasma.github.io/Logging_2313/artfynd/A 57949-2025 artfynd.xlsx", "A 57949-2025")</f>
        <v/>
      </c>
      <c r="X88">
        <f>HYPERLINK("https://klasma.github.io/Logging_2313/kartor/A 57949-2025 karta.png", "A 57949-2025")</f>
        <v/>
      </c>
      <c r="Y88">
        <f>HYPERLINK("https://klasma.github.io/Logging_2313/kartor_geotiff/A 57949-2025 georefererad karta.tif", "A 57949-2025")</f>
        <v/>
      </c>
      <c r="AA88">
        <f>HYPERLINK("https://klasma.github.io/Logging_2313/klagomål/A 57949-2025 FSC-klagomål.docx", "A 57949-2025")</f>
        <v/>
      </c>
      <c r="AB88">
        <f>HYPERLINK("https://klasma.github.io/Logging_2313/klagomålsmail/A 57949-2025 FSC-klagomål mail.docx", "A 57949-2025")</f>
        <v/>
      </c>
      <c r="AC88">
        <f>HYPERLINK("https://klasma.github.io/Logging_2313/tillsyn/A 57949-2025 tillsynsbegäran.docx", "A 57949-2025")</f>
        <v/>
      </c>
      <c r="AD88">
        <f>HYPERLINK("https://klasma.github.io/Logging_2313/tillsynsmail/A 57949-2025 tillsynsbegäran mail.docx", "A 57949-2025")</f>
        <v/>
      </c>
    </row>
    <row r="89" ht="15" customHeight="1">
      <c r="A89" t="inlineStr">
        <is>
          <t>A 15140-2026</t>
        </is>
      </c>
      <c r="B89" t="inlineStr">
        <is>
          <t>avverkningsanmälan</t>
        </is>
      </c>
      <c r="C89" t="inlineStr">
        <is>
          <t>Föryngringsavverkning</t>
        </is>
      </c>
      <c r="D89" s="1" t="n">
        <v>46105</v>
      </c>
      <c r="E89" s="1" t="n">
        <v>46318</v>
      </c>
      <c r="F89" t="inlineStr">
        <is>
          <t>JÄMTLANDS LÄN</t>
        </is>
      </c>
      <c r="G89" t="inlineStr">
        <is>
          <t>STRÖMSUND</t>
        </is>
      </c>
      <c r="I89" t="n">
        <v>2</v>
      </c>
      <c r="J89" t="n">
        <v>2</v>
      </c>
      <c r="K89" t="n">
        <v>0</v>
      </c>
      <c r="L89" t="n">
        <v>4</v>
      </c>
      <c r="M89" t="n">
        <v>2</v>
      </c>
      <c r="N89" t="n">
        <v>0</v>
      </c>
      <c r="O89" t="n">
        <v>0</v>
      </c>
      <c r="P89" t="n">
        <v>0</v>
      </c>
      <c r="Q89" t="n">
        <v>6</v>
      </c>
      <c r="R89" t="n">
        <v>2</v>
      </c>
      <c r="S89" t="n">
        <v>6</v>
      </c>
      <c r="T89" t="n">
        <v>15</v>
      </c>
      <c r="U89" t="n">
        <v>15</v>
      </c>
      <c r="V89" s="2" t="inlineStr">
        <is>
          <t>Garnlav
Knärot
Lunglav
Tretåig hackspett
Ullticka
Vitgrynig nållav</t>
        </is>
      </c>
      <c r="W89">
        <f>HYPERLINK("https://klasma.github.io/Logging_2313/artfynd/A 15140-2026 artfynd.xlsx", "A 15140-2026")</f>
        <v/>
      </c>
      <c r="X89">
        <f>HYPERLINK("https://klasma.github.io/Logging_2313/kartor/A 15140-2026 karta.png", "A 15140-2026")</f>
        <v/>
      </c>
      <c r="Y89">
        <f>HYPERLINK("https://klasma.github.io/Logging_2313/kartor_geotiff/A 15140-2026 georefererad karta.tif", "A 15140-2026")</f>
        <v/>
      </c>
      <c r="Z89">
        <f>HYPERLINK("https://klasma.github.io/Logging_2313/knärot/A 15140-2026 karta knärot.png", "A 15140-2026")</f>
        <v/>
      </c>
      <c r="AA89">
        <f>HYPERLINK("https://klasma.github.io/Logging_2313/klagomål/A 15140-2026 FSC-klagomål.docx", "A 15140-2026")</f>
        <v/>
      </c>
      <c r="AB89">
        <f>HYPERLINK("https://klasma.github.io/Logging_2313/klagomålsmail/A 15140-2026 FSC-klagomål mail.docx", "A 15140-2026")</f>
        <v/>
      </c>
      <c r="AC89">
        <f>HYPERLINK("https://klasma.github.io/Logging_2313/tillsyn/A 15140-2026 tillsynsbegäran.docx", "A 15140-2026")</f>
        <v/>
      </c>
      <c r="AD89">
        <f>HYPERLINK("https://klasma.github.io/Logging_2313/tillsynsmail/A 15140-2026 tillsynsbegäran mail.docx", "A 15140-2026")</f>
        <v/>
      </c>
      <c r="AE89">
        <f>HYPERLINK("https://klasma.github.io/Logging_2313/fåglar/A 15140-2026 prioriterade fågelarter.docx", "A 15140-2026")</f>
        <v/>
      </c>
    </row>
    <row r="90" ht="15" customHeight="1">
      <c r="A90" t="inlineStr">
        <is>
          <t>A 36221-2022</t>
        </is>
      </c>
      <c r="B90" t="inlineStr">
        <is>
          <t>avverkningsanmälan</t>
        </is>
      </c>
      <c r="C90" t="inlineStr">
        <is>
          <t>Föryngringsavverkning</t>
        </is>
      </c>
      <c r="D90" s="1" t="n">
        <v>44803</v>
      </c>
      <c r="E90" s="1" t="n">
        <v>46318</v>
      </c>
      <c r="F90" t="inlineStr">
        <is>
          <t>JÄMTLANDS LÄN</t>
        </is>
      </c>
      <c r="G90" t="inlineStr">
        <is>
          <t>STRÖMSUND</t>
        </is>
      </c>
      <c r="I90" t="n">
        <v>8.6</v>
      </c>
      <c r="J90" t="n">
        <v>2</v>
      </c>
      <c r="K90" t="n">
        <v>2</v>
      </c>
      <c r="L90" t="n">
        <v>2</v>
      </c>
      <c r="M90" t="n">
        <v>2</v>
      </c>
      <c r="N90" t="n">
        <v>0</v>
      </c>
      <c r="O90" t="n">
        <v>0</v>
      </c>
      <c r="P90" t="n">
        <v>0</v>
      </c>
      <c r="Q90" t="n">
        <v>4</v>
      </c>
      <c r="R90" t="n">
        <v>2</v>
      </c>
      <c r="S90" t="n">
        <v>6</v>
      </c>
      <c r="T90" t="n">
        <v>15</v>
      </c>
      <c r="U90" t="n">
        <v>15</v>
      </c>
      <c r="V90" s="2" t="inlineStr">
        <is>
          <t>Knärot
Liten hornflikmossa
Lunglav
Vedtrappmossa
Guckusko
Rödgul trumpetsvamp</t>
        </is>
      </c>
      <c r="W90">
        <f>HYPERLINK("https://klasma.github.io/Logging_2313/artfynd/A 36221-2022 artfynd.xlsx", "A 36221-2022")</f>
        <v/>
      </c>
      <c r="X90">
        <f>HYPERLINK("https://klasma.github.io/Logging_2313/kartor/A 36221-2022 karta.png", "A 36221-2022")</f>
        <v/>
      </c>
      <c r="Y90">
        <f>HYPERLINK("https://klasma.github.io/Logging_2313/kartor_geotiff/A 36221-2022 georefererad karta.tif", "A 36221-2022")</f>
        <v/>
      </c>
      <c r="Z90">
        <f>HYPERLINK("https://klasma.github.io/Logging_2313/knärot/A 36221-2022 karta knärot.png", "A 36221-2022")</f>
        <v/>
      </c>
      <c r="AA90">
        <f>HYPERLINK("https://klasma.github.io/Logging_2313/klagomål/A 36221-2022 FSC-klagomål.docx", "A 36221-2022")</f>
        <v/>
      </c>
      <c r="AB90">
        <f>HYPERLINK("https://klasma.github.io/Logging_2313/klagomålsmail/A 36221-2022 FSC-klagomål mail.docx", "A 36221-2022")</f>
        <v/>
      </c>
      <c r="AC90">
        <f>HYPERLINK("https://klasma.github.io/Logging_2313/tillsyn/A 36221-2022 tillsynsbegäran.docx", "A 36221-2022")</f>
        <v/>
      </c>
      <c r="AD90">
        <f>HYPERLINK("https://klasma.github.io/Logging_2313/tillsynsmail/A 36221-2022 tillsynsbegäran mail.docx", "A 36221-2022")</f>
        <v/>
      </c>
    </row>
    <row r="91" ht="15" customHeight="1">
      <c r="A91" t="inlineStr">
        <is>
          <t>A 46723-2025</t>
        </is>
      </c>
      <c r="B91" t="inlineStr">
        <is>
          <t>avverkningsanmälan</t>
        </is>
      </c>
      <c r="C91" t="inlineStr">
        <is>
          <t>Föryngringsavverkning</t>
        </is>
      </c>
      <c r="D91" s="1" t="n">
        <v>45926</v>
      </c>
      <c r="E91" s="1" t="n">
        <v>46318</v>
      </c>
      <c r="F91" t="inlineStr">
        <is>
          <t>JÄMTLANDS LÄN</t>
        </is>
      </c>
      <c r="G91" t="inlineStr">
        <is>
          <t>STRÖMSUND</t>
        </is>
      </c>
      <c r="I91" t="n">
        <v>8.5</v>
      </c>
      <c r="J91" t="n">
        <v>6</v>
      </c>
      <c r="K91" t="n">
        <v>1</v>
      </c>
      <c r="L91" t="n">
        <v>3</v>
      </c>
      <c r="M91" t="n">
        <v>0</v>
      </c>
      <c r="N91" t="n">
        <v>0</v>
      </c>
      <c r="O91" t="n">
        <v>0</v>
      </c>
      <c r="P91" t="n">
        <v>0</v>
      </c>
      <c r="Q91" t="n">
        <v>3</v>
      </c>
      <c r="R91" t="n">
        <v>0</v>
      </c>
      <c r="S91" t="n">
        <v>6</v>
      </c>
      <c r="T91" t="n">
        <v>6</v>
      </c>
      <c r="U91" t="n">
        <v>0</v>
      </c>
      <c r="V91" s="2" t="inlineStr">
        <is>
          <t>Grönsångare
Talltita
Tretåig hackspett
Guckusko
Kungsfågel
Fläcknycklar</t>
        </is>
      </c>
      <c r="W91">
        <f>HYPERLINK("https://klasma.github.io/Logging_2313/artfynd/A 46723-2025 artfynd.xlsx", "A 46723-2025")</f>
        <v/>
      </c>
      <c r="X91">
        <f>HYPERLINK("https://klasma.github.io/Logging_2313/kartor/A 46723-2025 karta.png", "A 46723-2025")</f>
        <v/>
      </c>
      <c r="Y91">
        <f>HYPERLINK("https://klasma.github.io/Logging_2313/kartor_geotiff/A 46723-2025 georefererad karta.tif", "A 46723-2025")</f>
        <v/>
      </c>
      <c r="AA91">
        <f>HYPERLINK("https://klasma.github.io/Logging_2313/klagomål/A 46723-2025 FSC-klagomål.docx", "A 46723-2025")</f>
        <v/>
      </c>
      <c r="AB91">
        <f>HYPERLINK("https://klasma.github.io/Logging_2313/klagomålsmail/A 46723-2025 FSC-klagomål mail.docx", "A 46723-2025")</f>
        <v/>
      </c>
      <c r="AC91">
        <f>HYPERLINK("https://klasma.github.io/Logging_2313/tillsyn/A 46723-2025 tillsynsbegäran.docx", "A 46723-2025")</f>
        <v/>
      </c>
      <c r="AD91">
        <f>HYPERLINK("https://klasma.github.io/Logging_2313/tillsynsmail/A 46723-2025 tillsynsbegäran mail.docx", "A 46723-2025")</f>
        <v/>
      </c>
      <c r="AE91">
        <f>HYPERLINK("https://klasma.github.io/Logging_2313/fåglar/A 46723-2025 prioriterade fågelarter.docx", "A 46723-2025")</f>
        <v/>
      </c>
    </row>
    <row r="92" ht="15" customHeight="1">
      <c r="A92" t="inlineStr">
        <is>
          <t>A 60741-2022</t>
        </is>
      </c>
      <c r="B92" t="inlineStr">
        <is>
          <t>avverkningsanmälan</t>
        </is>
      </c>
      <c r="C92" t="inlineStr">
        <is>
          <t>Föryngringsavverkning</t>
        </is>
      </c>
      <c r="D92" s="1" t="n">
        <v>44913</v>
      </c>
      <c r="E92" s="1" t="n">
        <v>46318</v>
      </c>
      <c r="F92" t="inlineStr">
        <is>
          <t>JÄMTLANDS LÄN</t>
        </is>
      </c>
      <c r="G92" t="inlineStr">
        <is>
          <t>STRÖMSUND</t>
        </is>
      </c>
      <c r="H92" t="inlineStr">
        <is>
          <t>SCA</t>
        </is>
      </c>
      <c r="I92" t="n">
        <v>6.7</v>
      </c>
      <c r="J92" t="n">
        <v>5</v>
      </c>
      <c r="K92" t="n">
        <v>0</v>
      </c>
      <c r="L92" t="n">
        <v>4</v>
      </c>
      <c r="M92" t="n">
        <v>0</v>
      </c>
      <c r="N92" t="n">
        <v>0</v>
      </c>
      <c r="O92" t="n">
        <v>0</v>
      </c>
      <c r="P92" t="n">
        <v>0</v>
      </c>
      <c r="Q92" t="n">
        <v>4</v>
      </c>
      <c r="R92" t="n">
        <v>0</v>
      </c>
      <c r="S92" t="n">
        <v>6</v>
      </c>
      <c r="T92" t="n">
        <v>15</v>
      </c>
      <c r="U92" t="n">
        <v>15</v>
      </c>
      <c r="V92" s="2" t="inlineStr">
        <is>
          <t>Harticka
Lavskrika
Talltita
Tretåig hackspett
Spillkråka
Revlummer</t>
        </is>
      </c>
      <c r="W92">
        <f>HYPERLINK("https://klasma.github.io/Logging_2313/artfynd/A 60741-2022 artfynd.xlsx", "A 60741-2022")</f>
        <v/>
      </c>
      <c r="X92">
        <f>HYPERLINK("https://klasma.github.io/Logging_2313/kartor/A 60741-2022 karta.png", "A 60741-2022")</f>
        <v/>
      </c>
      <c r="Y92">
        <f>HYPERLINK("https://klasma.github.io/Logging_2313/kartor_geotiff/A 60741-2022 georefererad karta.tif", "A 60741-2022")</f>
        <v/>
      </c>
      <c r="AA92">
        <f>HYPERLINK("https://klasma.github.io/Logging_2313/klagomål/A 60741-2022 FSC-klagomål.docx", "A 60741-2022")</f>
        <v/>
      </c>
      <c r="AB92">
        <f>HYPERLINK("https://klasma.github.io/Logging_2313/klagomålsmail/A 60741-2022 FSC-klagomål mail.docx", "A 60741-2022")</f>
        <v/>
      </c>
      <c r="AC92">
        <f>HYPERLINK("https://klasma.github.io/Logging_2313/tillsyn/A 60741-2022 tillsynsbegäran.docx", "A 60741-2022")</f>
        <v/>
      </c>
      <c r="AD92">
        <f>HYPERLINK("https://klasma.github.io/Logging_2313/tillsynsmail/A 60741-2022 tillsynsbegäran mail.docx", "A 60741-2022")</f>
        <v/>
      </c>
      <c r="AE92">
        <f>HYPERLINK("https://klasma.github.io/Logging_2313/fåglar/A 60741-2022 prioriterade fågelarter.docx", "A 60741-2022")</f>
        <v/>
      </c>
    </row>
    <row r="93" ht="15" customHeight="1">
      <c r="A93" t="inlineStr">
        <is>
          <t>A 56422-2023</t>
        </is>
      </c>
      <c r="B93" t="inlineStr">
        <is>
          <t>avverkningsanmälan</t>
        </is>
      </c>
      <c r="C93" t="inlineStr">
        <is>
          <t>Föryngringsavverkning</t>
        </is>
      </c>
      <c r="D93" s="1" t="n">
        <v>45237</v>
      </c>
      <c r="E93" s="1" t="n">
        <v>46318</v>
      </c>
      <c r="F93" t="inlineStr">
        <is>
          <t>JÄMTLANDS LÄN</t>
        </is>
      </c>
      <c r="G93" t="inlineStr">
        <is>
          <t>STRÖMSUND</t>
        </is>
      </c>
      <c r="I93" t="n">
        <v>10.1</v>
      </c>
      <c r="J93" t="n">
        <v>0</v>
      </c>
      <c r="K93" t="n">
        <v>0</v>
      </c>
      <c r="L93" t="n">
        <v>3</v>
      </c>
      <c r="M93" t="n">
        <v>2</v>
      </c>
      <c r="N93" t="n">
        <v>1</v>
      </c>
      <c r="O93" t="n">
        <v>0</v>
      </c>
      <c r="P93" t="n">
        <v>0</v>
      </c>
      <c r="Q93" t="n">
        <v>6</v>
      </c>
      <c r="R93" t="n">
        <v>3</v>
      </c>
      <c r="S93" t="n">
        <v>6</v>
      </c>
      <c r="T93" t="n">
        <v>6</v>
      </c>
      <c r="U93" t="n">
        <v>6</v>
      </c>
      <c r="V93" s="2" t="inlineStr">
        <is>
          <t>Trådbrosklav
Liten sotlav
Norsk näverlav
Kavernularia
Lunglav
Skrovellav</t>
        </is>
      </c>
      <c r="W93">
        <f>HYPERLINK("https://klasma.github.io/Logging_2313/artfynd/A 56422-2023 artfynd.xlsx", "A 56422-2023")</f>
        <v/>
      </c>
      <c r="X93">
        <f>HYPERLINK("https://klasma.github.io/Logging_2313/kartor/A 56422-2023 karta.png", "A 56422-2023")</f>
        <v/>
      </c>
      <c r="Y93">
        <f>HYPERLINK("https://klasma.github.io/Logging_2313/kartor_geotiff/A 56422-2023 georefererad karta.tif", "A 56422-2023")</f>
        <v/>
      </c>
      <c r="AA93">
        <f>HYPERLINK("https://klasma.github.io/Logging_2313/klagomål/A 56422-2023 FSC-klagomål.docx", "A 56422-2023")</f>
        <v/>
      </c>
      <c r="AB93">
        <f>HYPERLINK("https://klasma.github.io/Logging_2313/klagomålsmail/A 56422-2023 FSC-klagomål mail.docx", "A 56422-2023")</f>
        <v/>
      </c>
      <c r="AC93">
        <f>HYPERLINK("https://klasma.github.io/Logging_2313/tillsyn/A 56422-2023 tillsynsbegäran.docx", "A 56422-2023")</f>
        <v/>
      </c>
      <c r="AD93">
        <f>HYPERLINK("https://klasma.github.io/Logging_2313/tillsynsmail/A 56422-2023 tillsynsbegäran mail.docx", "A 56422-2023")</f>
        <v/>
      </c>
    </row>
    <row r="94" ht="15" customHeight="1">
      <c r="A94" t="inlineStr">
        <is>
          <t>A 27709-2026</t>
        </is>
      </c>
      <c r="B94" t="inlineStr">
        <is>
          <t>avverkningsanmälan</t>
        </is>
      </c>
      <c r="C94" t="inlineStr">
        <is>
          <t>Föryngringsavverkning</t>
        </is>
      </c>
      <c r="D94" s="1" t="n">
        <v>46190</v>
      </c>
      <c r="E94" s="1" t="n">
        <v>46318</v>
      </c>
      <c r="F94" t="inlineStr">
        <is>
          <t>JÄMTLANDS LÄN</t>
        </is>
      </c>
      <c r="G94" t="inlineStr">
        <is>
          <t>STRÖMSUND</t>
        </is>
      </c>
      <c r="H94" t="inlineStr">
        <is>
          <t>SCA</t>
        </is>
      </c>
      <c r="I94" t="n">
        <v>6.8</v>
      </c>
      <c r="J94" t="n">
        <v>0</v>
      </c>
      <c r="K94" t="n">
        <v>3</v>
      </c>
      <c r="L94" t="n">
        <v>3</v>
      </c>
      <c r="M94" t="n">
        <v>0</v>
      </c>
      <c r="N94" t="n">
        <v>0</v>
      </c>
      <c r="O94" t="n">
        <v>0</v>
      </c>
      <c r="P94" t="n">
        <v>0</v>
      </c>
      <c r="Q94" t="n">
        <v>3</v>
      </c>
      <c r="R94" t="n">
        <v>0</v>
      </c>
      <c r="S94" t="n">
        <v>6</v>
      </c>
      <c r="T94" t="n">
        <v>7</v>
      </c>
      <c r="U94" t="n">
        <v>0</v>
      </c>
      <c r="V94" s="2" t="inlineStr">
        <is>
          <t>Kolflarnlav
Lunglav
Skrovellav
Bårdlav
Skinnlav
Stuplav</t>
        </is>
      </c>
      <c r="W94">
        <f>HYPERLINK("https://klasma.github.io/Logging_2313/artfynd/A 27709-2026 artfynd.xlsx", "A 27709-2026")</f>
        <v/>
      </c>
      <c r="X94">
        <f>HYPERLINK("https://klasma.github.io/Logging_2313/kartor/A 27709-2026 karta.png", "A 27709-2026")</f>
        <v/>
      </c>
      <c r="Y94">
        <f>HYPERLINK("https://klasma.github.io/Logging_2313/kartor_geotiff/A 27709-2026 georefererad karta.tif", "A 27709-2026")</f>
        <v/>
      </c>
      <c r="AA94">
        <f>HYPERLINK("https://klasma.github.io/Logging_2313/klagomål/A 27709-2026 FSC-klagomål.docx", "A 27709-2026")</f>
        <v/>
      </c>
      <c r="AB94">
        <f>HYPERLINK("https://klasma.github.io/Logging_2313/klagomålsmail/A 27709-2026 FSC-klagomål mail.docx", "A 27709-2026")</f>
        <v/>
      </c>
      <c r="AC94">
        <f>HYPERLINK("https://klasma.github.io/Logging_2313/tillsyn/A 27709-2026 tillsynsbegäran.docx", "A 27709-2026")</f>
        <v/>
      </c>
      <c r="AD94">
        <f>HYPERLINK("https://klasma.github.io/Logging_2313/tillsynsmail/A 27709-2026 tillsynsbegäran mail.docx", "A 27709-2026")</f>
        <v/>
      </c>
    </row>
    <row r="95" ht="15" customHeight="1">
      <c r="A95" t="inlineStr">
        <is>
          <t>A 30233-2022</t>
        </is>
      </c>
      <c r="B95" t="inlineStr">
        <is>
          <t>avverkningsanmälan</t>
        </is>
      </c>
      <c r="C95" t="inlineStr">
        <is>
          <t>Föryngringsavverkning</t>
        </is>
      </c>
      <c r="D95" s="1" t="n">
        <v>44757</v>
      </c>
      <c r="E95" s="1" t="n">
        <v>46318</v>
      </c>
      <c r="F95" t="inlineStr">
        <is>
          <t>JÄMTLANDS LÄN</t>
        </is>
      </c>
      <c r="G95" t="inlineStr">
        <is>
          <t>STRÖMSUND</t>
        </is>
      </c>
      <c r="H95" t="inlineStr">
        <is>
          <t>SCA</t>
        </is>
      </c>
      <c r="I95" t="n">
        <v>10.1</v>
      </c>
      <c r="J95" t="n">
        <v>3</v>
      </c>
      <c r="K95" t="n">
        <v>2</v>
      </c>
      <c r="L95" t="n">
        <v>3</v>
      </c>
      <c r="M95" t="n">
        <v>1</v>
      </c>
      <c r="N95" t="n">
        <v>0</v>
      </c>
      <c r="O95" t="n">
        <v>0</v>
      </c>
      <c r="P95" t="n">
        <v>0</v>
      </c>
      <c r="Q95" t="n">
        <v>4</v>
      </c>
      <c r="R95" t="n">
        <v>1</v>
      </c>
      <c r="S95" t="n">
        <v>6</v>
      </c>
      <c r="T95" t="n">
        <v>12</v>
      </c>
      <c r="U95" t="n">
        <v>12</v>
      </c>
      <c r="V95" s="2" t="inlineStr">
        <is>
          <t>Garnlav
Lunglav
Talltita
Tretåig hackspett
Guckusko
Stuplav</t>
        </is>
      </c>
      <c r="W95">
        <f>HYPERLINK("https://klasma.github.io/Logging_2313/artfynd/A 30233-2022 artfynd.xlsx", "A 30233-2022")</f>
        <v/>
      </c>
      <c r="X95">
        <f>HYPERLINK("https://klasma.github.io/Logging_2313/kartor/A 30233-2022 karta.png", "A 30233-2022")</f>
        <v/>
      </c>
      <c r="Y95">
        <f>HYPERLINK("https://klasma.github.io/Logging_2313/kartor_geotiff/A 30233-2022 georefererad karta.tif", "A 30233-2022")</f>
        <v/>
      </c>
      <c r="AA95">
        <f>HYPERLINK("https://klasma.github.io/Logging_2313/klagomål/A 30233-2022 FSC-klagomål.docx", "A 30233-2022")</f>
        <v/>
      </c>
      <c r="AB95">
        <f>HYPERLINK("https://klasma.github.io/Logging_2313/klagomålsmail/A 30233-2022 FSC-klagomål mail.docx", "A 30233-2022")</f>
        <v/>
      </c>
      <c r="AC95">
        <f>HYPERLINK("https://klasma.github.io/Logging_2313/tillsyn/A 30233-2022 tillsynsbegäran.docx", "A 30233-2022")</f>
        <v/>
      </c>
      <c r="AD95">
        <f>HYPERLINK("https://klasma.github.io/Logging_2313/tillsynsmail/A 30233-2022 tillsynsbegäran mail.docx", "A 30233-2022")</f>
        <v/>
      </c>
      <c r="AE95">
        <f>HYPERLINK("https://klasma.github.io/Logging_2313/fåglar/A 30233-2022 prioriterade fågelarter.docx", "A 30233-2022")</f>
        <v/>
      </c>
    </row>
    <row r="96" ht="15" customHeight="1">
      <c r="A96" t="inlineStr">
        <is>
          <t>A 19666-2026</t>
        </is>
      </c>
      <c r="B96" t="inlineStr">
        <is>
          <t>avverkningsanmälan</t>
        </is>
      </c>
      <c r="C96" t="inlineStr">
        <is>
          <t>Föryngringsavverkning</t>
        </is>
      </c>
      <c r="D96" s="1" t="n">
        <v>46134</v>
      </c>
      <c r="E96" s="1" t="n">
        <v>46318</v>
      </c>
      <c r="F96" t="inlineStr">
        <is>
          <t>JÄMTLANDS LÄN</t>
        </is>
      </c>
      <c r="G96" t="inlineStr">
        <is>
          <t>STRÖMSUND</t>
        </is>
      </c>
      <c r="H96" t="inlineStr">
        <is>
          <t>SCA</t>
        </is>
      </c>
      <c r="I96" t="n">
        <v>8.800000000000001</v>
      </c>
      <c r="J96" t="n">
        <v>1</v>
      </c>
      <c r="K96" t="n">
        <v>0</v>
      </c>
      <c r="L96" t="n">
        <v>4</v>
      </c>
      <c r="M96" t="n">
        <v>2</v>
      </c>
      <c r="N96" t="n">
        <v>0</v>
      </c>
      <c r="O96" t="n">
        <v>0</v>
      </c>
      <c r="P96" t="n">
        <v>0</v>
      </c>
      <c r="Q96" t="n">
        <v>6</v>
      </c>
      <c r="R96" t="n">
        <v>2</v>
      </c>
      <c r="S96" t="n">
        <v>6</v>
      </c>
      <c r="T96" t="n">
        <v>7</v>
      </c>
      <c r="U96" t="n">
        <v>0</v>
      </c>
      <c r="V96" s="2" t="inlineStr">
        <is>
          <t>Garnlav
Knärot
Kolflarnlav
Lunglav
Rosenticka
Vitgrynig nållav</t>
        </is>
      </c>
      <c r="W96">
        <f>HYPERLINK("https://klasma.github.io/Logging_2313/artfynd/A 19666-2026 artfynd.xlsx", "A 19666-2026")</f>
        <v/>
      </c>
      <c r="X96">
        <f>HYPERLINK("https://klasma.github.io/Logging_2313/kartor/A 19666-2026 karta.png", "A 19666-2026")</f>
        <v/>
      </c>
      <c r="Y96">
        <f>HYPERLINK("https://klasma.github.io/Logging_2313/kartor_geotiff/A 19666-2026 georefererad karta.tif", "A 19666-2026")</f>
        <v/>
      </c>
      <c r="Z96">
        <f>HYPERLINK("https://klasma.github.io/Logging_2313/knärot/A 19666-2026 karta knärot.png", "A 19666-2026")</f>
        <v/>
      </c>
      <c r="AA96">
        <f>HYPERLINK("https://klasma.github.io/Logging_2313/klagomål/A 19666-2026 FSC-klagomål.docx", "A 19666-2026")</f>
        <v/>
      </c>
      <c r="AB96">
        <f>HYPERLINK("https://klasma.github.io/Logging_2313/klagomålsmail/A 19666-2026 FSC-klagomål mail.docx", "A 19666-2026")</f>
        <v/>
      </c>
      <c r="AC96">
        <f>HYPERLINK("https://klasma.github.io/Logging_2313/tillsyn/A 19666-2026 tillsynsbegäran.docx", "A 19666-2026")</f>
        <v/>
      </c>
      <c r="AD96">
        <f>HYPERLINK("https://klasma.github.io/Logging_2313/tillsynsmail/A 19666-2026 tillsynsbegäran mail.docx", "A 19666-2026")</f>
        <v/>
      </c>
    </row>
    <row r="97" ht="15" customHeight="1">
      <c r="A97" t="inlineStr">
        <is>
          <t>A 60761-2023</t>
        </is>
      </c>
      <c r="B97" t="inlineStr">
        <is>
          <t>avverkningsanmälan</t>
        </is>
      </c>
      <c r="C97" t="inlineStr">
        <is>
          <t>Föryngringsavverkning</t>
        </is>
      </c>
      <c r="D97" s="1" t="n">
        <v>45259</v>
      </c>
      <c r="E97" s="1" t="n">
        <v>46318</v>
      </c>
      <c r="F97" t="inlineStr">
        <is>
          <t>JÄMTLANDS LÄN</t>
        </is>
      </c>
      <c r="G97" t="inlineStr">
        <is>
          <t>STRÖMSUND</t>
        </is>
      </c>
      <c r="I97" t="n">
        <v>28.1</v>
      </c>
      <c r="J97" t="n">
        <v>2</v>
      </c>
      <c r="K97" t="n">
        <v>0</v>
      </c>
      <c r="L97" t="n">
        <v>5</v>
      </c>
      <c r="M97" t="n">
        <v>1</v>
      </c>
      <c r="N97" t="n">
        <v>0</v>
      </c>
      <c r="O97" t="n">
        <v>0</v>
      </c>
      <c r="P97" t="n">
        <v>0</v>
      </c>
      <c r="Q97" t="n">
        <v>6</v>
      </c>
      <c r="R97" t="n">
        <v>1</v>
      </c>
      <c r="S97" t="n">
        <v>6</v>
      </c>
      <c r="T97" t="n">
        <v>53</v>
      </c>
      <c r="U97" t="n">
        <v>36</v>
      </c>
      <c r="V97" s="2" t="inlineStr">
        <is>
          <t>Garnlav
Lavskrika
Lunglav
Skrovellav
Tretåig hackspett
Ullticka</t>
        </is>
      </c>
      <c r="W97">
        <f>HYPERLINK("https://klasma.github.io/Logging_2313/artfynd/A 60761-2023 artfynd.xlsx", "A 60761-2023")</f>
        <v/>
      </c>
      <c r="X97">
        <f>HYPERLINK("https://klasma.github.io/Logging_2313/kartor/A 60761-2023 karta.png", "A 60761-2023")</f>
        <v/>
      </c>
      <c r="Y97">
        <f>HYPERLINK("https://klasma.github.io/Logging_2313/kartor_geotiff/A 60761-2023 georefererad karta.tif", "A 60761-2023")</f>
        <v/>
      </c>
      <c r="AA97">
        <f>HYPERLINK("https://klasma.github.io/Logging_2313/klagomål/A 60761-2023 FSC-klagomål.docx", "A 60761-2023")</f>
        <v/>
      </c>
      <c r="AB97">
        <f>HYPERLINK("https://klasma.github.io/Logging_2313/klagomålsmail/A 60761-2023 FSC-klagomål mail.docx", "A 60761-2023")</f>
        <v/>
      </c>
      <c r="AC97">
        <f>HYPERLINK("https://klasma.github.io/Logging_2313/tillsyn/A 60761-2023 tillsynsbegäran.docx", "A 60761-2023")</f>
        <v/>
      </c>
      <c r="AD97">
        <f>HYPERLINK("https://klasma.github.io/Logging_2313/tillsynsmail/A 60761-2023 tillsynsbegäran mail.docx", "A 60761-2023")</f>
        <v/>
      </c>
      <c r="AE97">
        <f>HYPERLINK("https://klasma.github.io/Logging_2313/fåglar/A 60761-2023 prioriterade fågelarter.docx", "A 60761-2023")</f>
        <v/>
      </c>
    </row>
    <row r="98" ht="15" customHeight="1">
      <c r="A98" t="inlineStr">
        <is>
          <t>A 18789-2025</t>
        </is>
      </c>
      <c r="B98" t="inlineStr">
        <is>
          <t>avverkningsanmälan</t>
        </is>
      </c>
      <c r="C98" t="inlineStr">
        <is>
          <t>Föryngringsavverkning</t>
        </is>
      </c>
      <c r="D98" s="1" t="n">
        <v>45764</v>
      </c>
      <c r="E98" s="1" t="n">
        <v>46318</v>
      </c>
      <c r="F98" t="inlineStr">
        <is>
          <t>JÄMTLANDS LÄN</t>
        </is>
      </c>
      <c r="G98" t="inlineStr">
        <is>
          <t>STRÖMSUND</t>
        </is>
      </c>
      <c r="H98" t="inlineStr">
        <is>
          <t>SCA</t>
        </is>
      </c>
      <c r="I98" t="n">
        <v>12.1</v>
      </c>
      <c r="J98" t="n">
        <v>0</v>
      </c>
      <c r="K98" t="n">
        <v>0</v>
      </c>
      <c r="L98" t="n">
        <v>5</v>
      </c>
      <c r="M98" t="n">
        <v>1</v>
      </c>
      <c r="N98" t="n">
        <v>0</v>
      </c>
      <c r="O98" t="n">
        <v>0</v>
      </c>
      <c r="P98" t="n">
        <v>0</v>
      </c>
      <c r="Q98" t="n">
        <v>6</v>
      </c>
      <c r="R98" t="n">
        <v>1</v>
      </c>
      <c r="S98" t="n">
        <v>6</v>
      </c>
      <c r="T98" t="n">
        <v>10</v>
      </c>
      <c r="U98" t="n">
        <v>0</v>
      </c>
      <c r="V98" s="2" t="inlineStr">
        <is>
          <t>Garnlav
Gammelgransskål
Harticka
Lunglav
Skrovellav
Ullticka</t>
        </is>
      </c>
      <c r="W98">
        <f>HYPERLINK("https://klasma.github.io/Logging_2313/artfynd/A 18789-2025 artfynd.xlsx", "A 18789-2025")</f>
        <v/>
      </c>
      <c r="X98">
        <f>HYPERLINK("https://klasma.github.io/Logging_2313/kartor/A 18789-2025 karta.png", "A 18789-2025")</f>
        <v/>
      </c>
      <c r="Y98">
        <f>HYPERLINK("https://klasma.github.io/Logging_2313/kartor_geotiff/A 18789-2025 georefererad karta.tif", "A 18789-2025")</f>
        <v/>
      </c>
      <c r="AA98">
        <f>HYPERLINK("https://klasma.github.io/Logging_2313/klagomål/A 18789-2025 FSC-klagomål.docx", "A 18789-2025")</f>
        <v/>
      </c>
      <c r="AB98">
        <f>HYPERLINK("https://klasma.github.io/Logging_2313/klagomålsmail/A 18789-2025 FSC-klagomål mail.docx", "A 18789-2025")</f>
        <v/>
      </c>
      <c r="AC98">
        <f>HYPERLINK("https://klasma.github.io/Logging_2313/tillsyn/A 18789-2025 tillsynsbegäran.docx", "A 18789-2025")</f>
        <v/>
      </c>
      <c r="AD98">
        <f>HYPERLINK("https://klasma.github.io/Logging_2313/tillsynsmail/A 18789-2025 tillsynsbegäran mail.docx", "A 18789-2025")</f>
        <v/>
      </c>
    </row>
    <row r="99" ht="15" customHeight="1">
      <c r="A99" t="inlineStr">
        <is>
          <t>A 35265-2026</t>
        </is>
      </c>
      <c r="B99" t="inlineStr">
        <is>
          <t>avverkningsanmälan</t>
        </is>
      </c>
      <c r="C99" t="inlineStr">
        <is>
          <t>Föryngringsavverkning</t>
        </is>
      </c>
      <c r="D99" s="1" t="n">
        <v>46261</v>
      </c>
      <c r="E99" s="1" t="n">
        <v>46318</v>
      </c>
      <c r="F99" t="inlineStr">
        <is>
          <t>JÄMTLANDS LÄN</t>
        </is>
      </c>
      <c r="G99" t="inlineStr">
        <is>
          <t>STRÖMSUND</t>
        </is>
      </c>
      <c r="I99" t="n">
        <v>8.699999999999999</v>
      </c>
      <c r="J99" t="n">
        <v>3</v>
      </c>
      <c r="K99" t="n">
        <v>1</v>
      </c>
      <c r="L99" t="n">
        <v>1</v>
      </c>
      <c r="M99" t="n">
        <v>1</v>
      </c>
      <c r="N99" t="n">
        <v>0</v>
      </c>
      <c r="O99" t="n">
        <v>0</v>
      </c>
      <c r="P99" t="n">
        <v>0</v>
      </c>
      <c r="Q99" t="n">
        <v>2</v>
      </c>
      <c r="R99" t="n">
        <v>1</v>
      </c>
      <c r="S99" t="n">
        <v>6</v>
      </c>
      <c r="T99" t="n">
        <v>18</v>
      </c>
      <c r="U99" t="n">
        <v>18</v>
      </c>
      <c r="V99" s="2" t="inlineStr">
        <is>
          <t>Violett guldvinge
Brunklöver
Tvåblad
Brudborste
Humleblomster
Fläcknycklar</t>
        </is>
      </c>
      <c r="W99">
        <f>HYPERLINK("https://klasma.github.io/Logging_2313/artfynd/A 35265-2026 artfynd.xlsx", "A 35265-2026")</f>
        <v/>
      </c>
      <c r="X99">
        <f>HYPERLINK("https://klasma.github.io/Logging_2313/kartor/A 35265-2026 karta.png", "A 35265-2026")</f>
        <v/>
      </c>
      <c r="Y99">
        <f>HYPERLINK("https://klasma.github.io/Logging_2313/kartor_geotiff/A 35265-2026 georefererad karta.tif", "A 35265-2026")</f>
        <v/>
      </c>
      <c r="AA99">
        <f>HYPERLINK("https://klasma.github.io/Logging_2313/klagomål/A 35265-2026 FSC-klagomål.docx", "A 35265-2026")</f>
        <v/>
      </c>
      <c r="AB99">
        <f>HYPERLINK("https://klasma.github.io/Logging_2313/klagomålsmail/A 35265-2026 FSC-klagomål mail.docx", "A 35265-2026")</f>
        <v/>
      </c>
      <c r="AC99">
        <f>HYPERLINK("https://klasma.github.io/Logging_2313/tillsyn/A 35265-2026 tillsynsbegäran.docx", "A 35265-2026")</f>
        <v/>
      </c>
      <c r="AD99">
        <f>HYPERLINK("https://klasma.github.io/Logging_2313/tillsynsmail/A 35265-2026 tillsynsbegäran mail.docx", "A 35265-2026")</f>
        <v/>
      </c>
    </row>
    <row r="100" ht="15" customHeight="1">
      <c r="A100" t="inlineStr">
        <is>
          <t>A 64310-2021</t>
        </is>
      </c>
      <c r="B100" t="inlineStr">
        <is>
          <t>avverkningsanmälan</t>
        </is>
      </c>
      <c r="C100" t="inlineStr">
        <is>
          <t>Föryngringsavverkning</t>
        </is>
      </c>
      <c r="D100" s="1" t="n">
        <v>44510</v>
      </c>
      <c r="E100" s="1" t="n">
        <v>46318</v>
      </c>
      <c r="F100" t="inlineStr">
        <is>
          <t>JÄMTLANDS LÄN</t>
        </is>
      </c>
      <c r="G100" t="inlineStr">
        <is>
          <t>STRÖMSUND</t>
        </is>
      </c>
      <c r="H100" t="inlineStr">
        <is>
          <t>SCA</t>
        </is>
      </c>
      <c r="I100" t="n">
        <v>3.5</v>
      </c>
      <c r="J100" t="n">
        <v>3</v>
      </c>
      <c r="K100" t="n">
        <v>0</v>
      </c>
      <c r="L100" t="n">
        <v>0</v>
      </c>
      <c r="M100" t="n">
        <v>1</v>
      </c>
      <c r="N100" t="n">
        <v>0</v>
      </c>
      <c r="O100" t="n">
        <v>0</v>
      </c>
      <c r="P100" t="n">
        <v>0</v>
      </c>
      <c r="Q100" t="n">
        <v>1</v>
      </c>
      <c r="R100" t="n">
        <v>1</v>
      </c>
      <c r="S100" t="n">
        <v>5</v>
      </c>
      <c r="T100" t="n">
        <v>7</v>
      </c>
      <c r="U100" t="n">
        <v>7</v>
      </c>
      <c r="V100" s="2" t="inlineStr">
        <is>
          <t>Violett guldvinge
Kattfot
Mattlummer
Ängskovall
Fläcknycklar</t>
        </is>
      </c>
      <c r="W100">
        <f>HYPERLINK("https://klasma.github.io/Logging_2313/artfynd/A 64310-2021 artfynd.xlsx", "A 64310-2021")</f>
        <v/>
      </c>
      <c r="X100">
        <f>HYPERLINK("https://klasma.github.io/Logging_2313/kartor/A 64310-2021 karta.png", "A 64310-2021")</f>
        <v/>
      </c>
      <c r="Y100">
        <f>HYPERLINK("https://klasma.github.io/Logging_2313/kartor_geotiff/A 64310-2021 georefererad karta.tif", "A 64310-2021")</f>
        <v/>
      </c>
      <c r="AA100">
        <f>HYPERLINK("https://klasma.github.io/Logging_2313/klagomål/A 64310-2021 FSC-klagomål.docx", "A 64310-2021")</f>
        <v/>
      </c>
      <c r="AB100">
        <f>HYPERLINK("https://klasma.github.io/Logging_2313/klagomålsmail/A 64310-2021 FSC-klagomål mail.docx", "A 64310-2021")</f>
        <v/>
      </c>
      <c r="AC100">
        <f>HYPERLINK("https://klasma.github.io/Logging_2313/tillsyn/A 64310-2021 tillsynsbegäran.docx", "A 64310-2021")</f>
        <v/>
      </c>
      <c r="AD100">
        <f>HYPERLINK("https://klasma.github.io/Logging_2313/tillsynsmail/A 64310-2021 tillsynsbegäran mail.docx", "A 64310-2021")</f>
        <v/>
      </c>
    </row>
    <row r="101" ht="15" customHeight="1">
      <c r="A101" t="inlineStr">
        <is>
          <t>A 23207-2022</t>
        </is>
      </c>
      <c r="B101" t="inlineStr">
        <is>
          <t>avverkningsanmälan</t>
        </is>
      </c>
      <c r="C101" t="inlineStr">
        <is>
          <t>Avverkning för att bevara och utveckla /försöksver</t>
        </is>
      </c>
      <c r="D101" s="1" t="n">
        <v>44719</v>
      </c>
      <c r="E101" s="1" t="n">
        <v>46318</v>
      </c>
      <c r="F101" t="inlineStr">
        <is>
          <t>JÄMTLANDS LÄN</t>
        </is>
      </c>
      <c r="G101" t="inlineStr">
        <is>
          <t>STRÖMSUND</t>
        </is>
      </c>
      <c r="H101" t="inlineStr">
        <is>
          <t>SCA</t>
        </is>
      </c>
      <c r="I101" t="n">
        <v>1.6</v>
      </c>
      <c r="J101" t="n">
        <v>1</v>
      </c>
      <c r="K101" t="n">
        <v>1</v>
      </c>
      <c r="L101" t="n">
        <v>2</v>
      </c>
      <c r="M101" t="n">
        <v>2</v>
      </c>
      <c r="N101" t="n">
        <v>0</v>
      </c>
      <c r="O101" t="n">
        <v>0</v>
      </c>
      <c r="P101" t="n">
        <v>0</v>
      </c>
      <c r="Q101" t="n">
        <v>4</v>
      </c>
      <c r="R101" t="n">
        <v>2</v>
      </c>
      <c r="S101" t="n">
        <v>5</v>
      </c>
      <c r="T101" t="n">
        <v>5</v>
      </c>
      <c r="U101" t="n">
        <v>0</v>
      </c>
      <c r="V101" s="2" t="inlineStr">
        <is>
          <t>Doftticka
Garnlav
Lunglav
Ullticka
Stuplav</t>
        </is>
      </c>
      <c r="W101">
        <f>HYPERLINK("https://klasma.github.io/Logging_2313/artfynd/A 23207-2022 artfynd.xlsx", "A 23207-2022")</f>
        <v/>
      </c>
      <c r="X101">
        <f>HYPERLINK("https://klasma.github.io/Logging_2313/kartor/A 23207-2022 karta.png", "A 23207-2022")</f>
        <v/>
      </c>
      <c r="Y101">
        <f>HYPERLINK("https://klasma.github.io/Logging_2313/kartor_geotiff/A 23207-2022 georefererad karta.tif", "A 23207-2022")</f>
        <v/>
      </c>
      <c r="AA101">
        <f>HYPERLINK("https://klasma.github.io/Logging_2313/klagomål/A 23207-2022 FSC-klagomål.docx", "A 23207-2022")</f>
        <v/>
      </c>
      <c r="AB101">
        <f>HYPERLINK("https://klasma.github.io/Logging_2313/klagomålsmail/A 23207-2022 FSC-klagomål mail.docx", "A 23207-2022")</f>
        <v/>
      </c>
      <c r="AC101">
        <f>HYPERLINK("https://klasma.github.io/Logging_2313/tillsyn/A 23207-2022 tillsynsbegäran.docx", "A 23207-2022")</f>
        <v/>
      </c>
      <c r="AD101">
        <f>HYPERLINK("https://klasma.github.io/Logging_2313/tillsynsmail/A 23207-2022 tillsynsbegäran mail.docx", "A 23207-2022")</f>
        <v/>
      </c>
    </row>
    <row r="102" ht="15" customHeight="1">
      <c r="A102" t="inlineStr">
        <is>
          <t>A 12196-2022</t>
        </is>
      </c>
      <c r="B102" t="inlineStr">
        <is>
          <t>avverkningsanmälan</t>
        </is>
      </c>
      <c r="C102" t="inlineStr">
        <is>
          <t>Avverkning för att bevara och utveckla /försöksver</t>
        </is>
      </c>
      <c r="D102" s="1" t="n">
        <v>44636</v>
      </c>
      <c r="E102" s="1" t="n">
        <v>46318</v>
      </c>
      <c r="F102" t="inlineStr">
        <is>
          <t>JÄMTLANDS LÄN</t>
        </is>
      </c>
      <c r="G102" t="inlineStr">
        <is>
          <t>STRÖMSUND</t>
        </is>
      </c>
      <c r="H102" t="inlineStr">
        <is>
          <t>SCA</t>
        </is>
      </c>
      <c r="I102" t="n">
        <v>6.7</v>
      </c>
      <c r="J102" t="n">
        <v>0</v>
      </c>
      <c r="K102" t="n">
        <v>1</v>
      </c>
      <c r="L102" t="n">
        <v>3</v>
      </c>
      <c r="M102" t="n">
        <v>1</v>
      </c>
      <c r="N102" t="n">
        <v>0</v>
      </c>
      <c r="O102" t="n">
        <v>0</v>
      </c>
      <c r="P102" t="n">
        <v>0</v>
      </c>
      <c r="Q102" t="n">
        <v>4</v>
      </c>
      <c r="R102" t="n">
        <v>1</v>
      </c>
      <c r="S102" t="n">
        <v>5</v>
      </c>
      <c r="T102" t="n">
        <v>11</v>
      </c>
      <c r="U102" t="n">
        <v>11</v>
      </c>
      <c r="V102" s="2" t="inlineStr">
        <is>
          <t>Garnlav
Rosenticka
Rynkskinn
Vitgrynig nållav
Kransrams</t>
        </is>
      </c>
      <c r="W102">
        <f>HYPERLINK("https://klasma.github.io/Logging_2313/artfynd/A 12196-2022 artfynd.xlsx", "A 12196-2022")</f>
        <v/>
      </c>
      <c r="X102">
        <f>HYPERLINK("https://klasma.github.io/Logging_2313/kartor/A 12196-2022 karta.png", "A 12196-2022")</f>
        <v/>
      </c>
      <c r="Y102">
        <f>HYPERLINK("https://klasma.github.io/Logging_2313/kartor_geotiff/A 12196-2022 georefererad karta.tif", "A 12196-2022")</f>
        <v/>
      </c>
      <c r="AA102">
        <f>HYPERLINK("https://klasma.github.io/Logging_2313/klagomål/A 12196-2022 FSC-klagomål.docx", "A 12196-2022")</f>
        <v/>
      </c>
      <c r="AB102">
        <f>HYPERLINK("https://klasma.github.io/Logging_2313/klagomålsmail/A 12196-2022 FSC-klagomål mail.docx", "A 12196-2022")</f>
        <v/>
      </c>
      <c r="AC102">
        <f>HYPERLINK("https://klasma.github.io/Logging_2313/tillsyn/A 12196-2022 tillsynsbegäran.docx", "A 12196-2022")</f>
        <v/>
      </c>
      <c r="AD102">
        <f>HYPERLINK("https://klasma.github.io/Logging_2313/tillsynsmail/A 12196-2022 tillsynsbegäran mail.docx", "A 12196-2022")</f>
        <v/>
      </c>
    </row>
    <row r="103" ht="15" customHeight="1">
      <c r="A103" t="inlineStr">
        <is>
          <t>A 29061-2023</t>
        </is>
      </c>
      <c r="B103" t="inlineStr">
        <is>
          <t>avverkningsanmälan</t>
        </is>
      </c>
      <c r="C103" t="inlineStr">
        <is>
          <t>Föryngringsavverkning</t>
        </is>
      </c>
      <c r="D103" s="1" t="n">
        <v>45104</v>
      </c>
      <c r="E103" s="1" t="n">
        <v>46318</v>
      </c>
      <c r="F103" t="inlineStr">
        <is>
          <t>JÄMTLANDS LÄN</t>
        </is>
      </c>
      <c r="G103" t="inlineStr">
        <is>
          <t>STRÖMSUND</t>
        </is>
      </c>
      <c r="H103" t="inlineStr">
        <is>
          <t>SCA</t>
        </is>
      </c>
      <c r="I103" t="n">
        <v>5.2</v>
      </c>
      <c r="J103" t="n">
        <v>1</v>
      </c>
      <c r="K103" t="n">
        <v>0</v>
      </c>
      <c r="L103" t="n">
        <v>4</v>
      </c>
      <c r="M103" t="n">
        <v>1</v>
      </c>
      <c r="N103" t="n">
        <v>0</v>
      </c>
      <c r="O103" t="n">
        <v>0</v>
      </c>
      <c r="P103" t="n">
        <v>0</v>
      </c>
      <c r="Q103" t="n">
        <v>5</v>
      </c>
      <c r="R103" t="n">
        <v>1</v>
      </c>
      <c r="S103" t="n">
        <v>5</v>
      </c>
      <c r="T103" t="n">
        <v>9</v>
      </c>
      <c r="U103" t="n">
        <v>0</v>
      </c>
      <c r="V103" s="2" t="inlineStr">
        <is>
          <t>Garnlav
Gammelgransskål
Lunglav
Skrovellav
Tretåig hackspett</t>
        </is>
      </c>
      <c r="W103">
        <f>HYPERLINK("https://klasma.github.io/Logging_2313/artfynd/A 29061-2023 artfynd.xlsx", "A 29061-2023")</f>
        <v/>
      </c>
      <c r="X103">
        <f>HYPERLINK("https://klasma.github.io/Logging_2313/kartor/A 29061-2023 karta.png", "A 29061-2023")</f>
        <v/>
      </c>
      <c r="Y103">
        <f>HYPERLINK("https://klasma.github.io/Logging_2313/kartor_geotiff/A 29061-2023 georefererad karta.tif", "A 29061-2023")</f>
        <v/>
      </c>
      <c r="AA103">
        <f>HYPERLINK("https://klasma.github.io/Logging_2313/klagomål/A 29061-2023 FSC-klagomål.docx", "A 29061-2023")</f>
        <v/>
      </c>
      <c r="AB103">
        <f>HYPERLINK("https://klasma.github.io/Logging_2313/klagomålsmail/A 29061-2023 FSC-klagomål mail.docx", "A 29061-2023")</f>
        <v/>
      </c>
      <c r="AC103">
        <f>HYPERLINK("https://klasma.github.io/Logging_2313/tillsyn/A 29061-2023 tillsynsbegäran.docx", "A 29061-2023")</f>
        <v/>
      </c>
      <c r="AD103">
        <f>HYPERLINK("https://klasma.github.io/Logging_2313/tillsynsmail/A 29061-2023 tillsynsbegäran mail.docx", "A 29061-2023")</f>
        <v/>
      </c>
      <c r="AE103">
        <f>HYPERLINK("https://klasma.github.io/Logging_2313/fåglar/A 29061-2023 prioriterade fågelarter.docx", "A 29061-2023")</f>
        <v/>
      </c>
    </row>
    <row r="104" ht="15" customHeight="1">
      <c r="A104" t="inlineStr">
        <is>
          <t>A 36208-2023</t>
        </is>
      </c>
      <c r="B104" t="inlineStr">
        <is>
          <t>avverkningsanmälan</t>
        </is>
      </c>
      <c r="C104" t="inlineStr">
        <is>
          <t>Avverkning för att bevara och utveckla /försöksver</t>
        </is>
      </c>
      <c r="D104" s="1" t="n">
        <v>45149</v>
      </c>
      <c r="E104" s="1" t="n">
        <v>46318</v>
      </c>
      <c r="F104" t="inlineStr">
        <is>
          <t>JÄMTLANDS LÄN</t>
        </is>
      </c>
      <c r="G104" t="inlineStr">
        <is>
          <t>STRÖMSUND</t>
        </is>
      </c>
      <c r="H104" t="inlineStr">
        <is>
          <t>SCA</t>
        </is>
      </c>
      <c r="I104" t="n">
        <v>1.8</v>
      </c>
      <c r="J104" t="n">
        <v>2</v>
      </c>
      <c r="K104" t="n">
        <v>2</v>
      </c>
      <c r="L104" t="n">
        <v>2</v>
      </c>
      <c r="M104" t="n">
        <v>1</v>
      </c>
      <c r="N104" t="n">
        <v>0</v>
      </c>
      <c r="O104" t="n">
        <v>0</v>
      </c>
      <c r="P104" t="n">
        <v>0</v>
      </c>
      <c r="Q104" t="n">
        <v>3</v>
      </c>
      <c r="R104" t="n">
        <v>1</v>
      </c>
      <c r="S104" t="n">
        <v>5</v>
      </c>
      <c r="T104" t="n">
        <v>5</v>
      </c>
      <c r="U104" t="n">
        <v>0</v>
      </c>
      <c r="V104" s="2" t="inlineStr">
        <is>
          <t>Knärot
Dofttaggsvamp
Ullticka
Kransrams
Spindelblomster</t>
        </is>
      </c>
      <c r="W104">
        <f>HYPERLINK("https://klasma.github.io/Logging_2313/artfynd/A 36208-2023 artfynd.xlsx", "A 36208-2023")</f>
        <v/>
      </c>
      <c r="X104">
        <f>HYPERLINK("https://klasma.github.io/Logging_2313/kartor/A 36208-2023 karta.png", "A 36208-2023")</f>
        <v/>
      </c>
      <c r="Y104">
        <f>HYPERLINK("https://klasma.github.io/Logging_2313/kartor_geotiff/A 36208-2023 georefererad karta.tif", "A 36208-2023")</f>
        <v/>
      </c>
      <c r="Z104">
        <f>HYPERLINK("https://klasma.github.io/Logging_2313/knärot/A 36208-2023 karta knärot.png", "A 36208-2023")</f>
        <v/>
      </c>
      <c r="AA104">
        <f>HYPERLINK("https://klasma.github.io/Logging_2313/klagomål/A 36208-2023 FSC-klagomål.docx", "A 36208-2023")</f>
        <v/>
      </c>
      <c r="AB104">
        <f>HYPERLINK("https://klasma.github.io/Logging_2313/klagomålsmail/A 36208-2023 FSC-klagomål mail.docx", "A 36208-2023")</f>
        <v/>
      </c>
      <c r="AC104">
        <f>HYPERLINK("https://klasma.github.io/Logging_2313/tillsyn/A 36208-2023 tillsynsbegäran.docx", "A 36208-2023")</f>
        <v/>
      </c>
      <c r="AD104">
        <f>HYPERLINK("https://klasma.github.io/Logging_2313/tillsynsmail/A 36208-2023 tillsynsbegäran mail.docx", "A 36208-2023")</f>
        <v/>
      </c>
    </row>
    <row r="105" ht="15" customHeight="1">
      <c r="A105" t="inlineStr">
        <is>
          <t>A 33325-2025</t>
        </is>
      </c>
      <c r="B105" t="inlineStr">
        <is>
          <t>avverkningsanmälan</t>
        </is>
      </c>
      <c r="C105" t="inlineStr">
        <is>
          <t>Föryngringsavverkning</t>
        </is>
      </c>
      <c r="D105" s="1" t="n">
        <v>45841</v>
      </c>
      <c r="E105" s="1" t="n">
        <v>46318</v>
      </c>
      <c r="F105" t="inlineStr">
        <is>
          <t>JÄMTLANDS LÄN</t>
        </is>
      </c>
      <c r="G105" t="inlineStr">
        <is>
          <t>STRÖMSUND</t>
        </is>
      </c>
      <c r="H105" t="inlineStr">
        <is>
          <t>SCA</t>
        </is>
      </c>
      <c r="I105" t="n">
        <v>22.9</v>
      </c>
      <c r="J105" t="n">
        <v>2</v>
      </c>
      <c r="K105" t="n">
        <v>2</v>
      </c>
      <c r="L105" t="n">
        <v>0</v>
      </c>
      <c r="M105" t="n">
        <v>2</v>
      </c>
      <c r="N105" t="n">
        <v>1</v>
      </c>
      <c r="O105" t="n">
        <v>0</v>
      </c>
      <c r="P105" t="n">
        <v>0</v>
      </c>
      <c r="Q105" t="n">
        <v>3</v>
      </c>
      <c r="R105" t="n">
        <v>3</v>
      </c>
      <c r="S105" t="n">
        <v>5</v>
      </c>
      <c r="T105" t="n">
        <v>7</v>
      </c>
      <c r="U105" t="n">
        <v>2</v>
      </c>
      <c r="V105" s="2" t="inlineStr">
        <is>
          <t>Mikroskapania
Blackticka
Gränsticka
Guckusko
Korallblylav</t>
        </is>
      </c>
      <c r="W105">
        <f>HYPERLINK("https://klasma.github.io/Logging_2313/artfynd/A 33325-2025 artfynd.xlsx", "A 33325-2025")</f>
        <v/>
      </c>
      <c r="X105">
        <f>HYPERLINK("https://klasma.github.io/Logging_2313/kartor/A 33325-2025 karta.png", "A 33325-2025")</f>
        <v/>
      </c>
      <c r="Y105">
        <f>HYPERLINK("https://klasma.github.io/Logging_2313/kartor_geotiff/A 33325-2025 georefererad karta.tif", "A 33325-2025")</f>
        <v/>
      </c>
      <c r="AA105">
        <f>HYPERLINK("https://klasma.github.io/Logging_2313/klagomål/A 33325-2025 FSC-klagomål.docx", "A 33325-2025")</f>
        <v/>
      </c>
      <c r="AB105">
        <f>HYPERLINK("https://klasma.github.io/Logging_2313/klagomålsmail/A 33325-2025 FSC-klagomål mail.docx", "A 33325-2025")</f>
        <v/>
      </c>
      <c r="AC105">
        <f>HYPERLINK("https://klasma.github.io/Logging_2313/tillsyn/A 33325-2025 tillsynsbegäran.docx", "A 33325-2025")</f>
        <v/>
      </c>
      <c r="AD105">
        <f>HYPERLINK("https://klasma.github.io/Logging_2313/tillsynsmail/A 33325-2025 tillsynsbegäran mail.docx", "A 33325-2025")</f>
        <v/>
      </c>
    </row>
    <row r="106" ht="15" customHeight="1">
      <c r="A106" t="inlineStr">
        <is>
          <t>A 8743-2024</t>
        </is>
      </c>
      <c r="B106" t="inlineStr">
        <is>
          <t>avverkningsanmälan</t>
        </is>
      </c>
      <c r="C106" t="inlineStr">
        <is>
          <t>Föryngringsavverkning</t>
        </is>
      </c>
      <c r="D106" s="1" t="n">
        <v>45356</v>
      </c>
      <c r="E106" s="1" t="n">
        <v>46318</v>
      </c>
      <c r="F106" t="inlineStr">
        <is>
          <t>JÄMTLANDS LÄN</t>
        </is>
      </c>
      <c r="G106" t="inlineStr">
        <is>
          <t>STRÖMSUND</t>
        </is>
      </c>
      <c r="I106" t="n">
        <v>4.3</v>
      </c>
      <c r="J106" t="n">
        <v>5</v>
      </c>
      <c r="K106" t="n">
        <v>0</v>
      </c>
      <c r="L106" t="n">
        <v>1</v>
      </c>
      <c r="M106" t="n">
        <v>0</v>
      </c>
      <c r="N106" t="n">
        <v>0</v>
      </c>
      <c r="O106" t="n">
        <v>0</v>
      </c>
      <c r="P106" t="n">
        <v>0</v>
      </c>
      <c r="Q106" t="n">
        <v>1</v>
      </c>
      <c r="R106" t="n">
        <v>0</v>
      </c>
      <c r="S106" t="n">
        <v>5</v>
      </c>
      <c r="T106" t="n">
        <v>5</v>
      </c>
      <c r="U106" t="n">
        <v>5</v>
      </c>
      <c r="V106" s="2" t="inlineStr">
        <is>
          <t>Talltita
Gråspett
Järpe
Spillkråka
Tofsmes</t>
        </is>
      </c>
      <c r="W106">
        <f>HYPERLINK("https://klasma.github.io/Logging_2313/artfynd/A 8743-2024 artfynd.xlsx", "A 8743-2024")</f>
        <v/>
      </c>
      <c r="X106">
        <f>HYPERLINK("https://klasma.github.io/Logging_2313/kartor/A 8743-2024 karta.png", "A 8743-2024")</f>
        <v/>
      </c>
      <c r="Y106">
        <f>HYPERLINK("https://klasma.github.io/Logging_2313/kartor_geotiff/A 8743-2024 georefererad karta.tif", "A 8743-2024")</f>
        <v/>
      </c>
      <c r="AA106">
        <f>HYPERLINK("https://klasma.github.io/Logging_2313/klagomål/A 8743-2024 FSC-klagomål.docx", "A 8743-2024")</f>
        <v/>
      </c>
      <c r="AB106">
        <f>HYPERLINK("https://klasma.github.io/Logging_2313/klagomålsmail/A 8743-2024 FSC-klagomål mail.docx", "A 8743-2024")</f>
        <v/>
      </c>
      <c r="AC106">
        <f>HYPERLINK("https://klasma.github.io/Logging_2313/tillsyn/A 8743-2024 tillsynsbegäran.docx", "A 8743-2024")</f>
        <v/>
      </c>
      <c r="AD106">
        <f>HYPERLINK("https://klasma.github.io/Logging_2313/tillsynsmail/A 8743-2024 tillsynsbegäran mail.docx", "A 8743-2024")</f>
        <v/>
      </c>
      <c r="AE106">
        <f>HYPERLINK("https://klasma.github.io/Logging_2313/fåglar/A 8743-2024 prioriterade fågelarter.docx", "A 8743-2024")</f>
        <v/>
      </c>
    </row>
    <row r="107" ht="15" customHeight="1">
      <c r="A107" t="inlineStr">
        <is>
          <t>A 29487-2024</t>
        </is>
      </c>
      <c r="B107" t="inlineStr">
        <is>
          <t>avverkningsanmälan</t>
        </is>
      </c>
      <c r="C107" t="inlineStr">
        <is>
          <t>Avverkning för att bevara och utveckla /försöksver</t>
        </is>
      </c>
      <c r="D107" s="1" t="n">
        <v>45484</v>
      </c>
      <c r="E107" s="1" t="n">
        <v>46318</v>
      </c>
      <c r="F107" t="inlineStr">
        <is>
          <t>JÄMTLANDS LÄN</t>
        </is>
      </c>
      <c r="G107" t="inlineStr">
        <is>
          <t>STRÖMSUND</t>
        </is>
      </c>
      <c r="H107" t="inlineStr">
        <is>
          <t>Holmen skog AB</t>
        </is>
      </c>
      <c r="I107" t="n">
        <v>1.1</v>
      </c>
      <c r="J107" t="n">
        <v>1</v>
      </c>
      <c r="K107" t="n">
        <v>0</v>
      </c>
      <c r="L107" t="n">
        <v>4</v>
      </c>
      <c r="M107" t="n">
        <v>1</v>
      </c>
      <c r="N107" t="n">
        <v>0</v>
      </c>
      <c r="O107" t="n">
        <v>0</v>
      </c>
      <c r="P107" t="n">
        <v>0</v>
      </c>
      <c r="Q107" t="n">
        <v>5</v>
      </c>
      <c r="R107" t="n">
        <v>1</v>
      </c>
      <c r="S107" t="n">
        <v>5</v>
      </c>
      <c r="T107" t="n">
        <v>6</v>
      </c>
      <c r="U107" t="n">
        <v>6</v>
      </c>
      <c r="V107" s="2" t="inlineStr">
        <is>
          <t>Garnlav
Lunglav
Skrovellav
Tretåig hackspett
Vitgrynig nållav</t>
        </is>
      </c>
      <c r="W107">
        <f>HYPERLINK("https://klasma.github.io/Logging_2313/artfynd/A 29487-2024 artfynd.xlsx", "A 29487-2024")</f>
        <v/>
      </c>
      <c r="X107">
        <f>HYPERLINK("https://klasma.github.io/Logging_2313/kartor/A 29487-2024 karta.png", "A 29487-2024")</f>
        <v/>
      </c>
      <c r="Y107">
        <f>HYPERLINK("https://klasma.github.io/Logging_2313/kartor_geotiff/A 29487-2024 georefererad karta.tif", "A 29487-2024")</f>
        <v/>
      </c>
      <c r="AA107">
        <f>HYPERLINK("https://klasma.github.io/Logging_2313/klagomål/A 29487-2024 FSC-klagomål.docx", "A 29487-2024")</f>
        <v/>
      </c>
      <c r="AB107">
        <f>HYPERLINK("https://klasma.github.io/Logging_2313/klagomålsmail/A 29487-2024 FSC-klagomål mail.docx", "A 29487-2024")</f>
        <v/>
      </c>
      <c r="AC107">
        <f>HYPERLINK("https://klasma.github.io/Logging_2313/tillsyn/A 29487-2024 tillsynsbegäran.docx", "A 29487-2024")</f>
        <v/>
      </c>
      <c r="AD107">
        <f>HYPERLINK("https://klasma.github.io/Logging_2313/tillsynsmail/A 29487-2024 tillsynsbegäran mail.docx", "A 29487-2024")</f>
        <v/>
      </c>
      <c r="AE107">
        <f>HYPERLINK("https://klasma.github.io/Logging_2313/fåglar/A 29487-2024 prioriterade fågelarter.docx", "A 29487-2024")</f>
        <v/>
      </c>
    </row>
    <row r="108" ht="15" customHeight="1">
      <c r="A108" t="inlineStr">
        <is>
          <t>A 18252-2025</t>
        </is>
      </c>
      <c r="B108" t="inlineStr">
        <is>
          <t>avverkningsanmälan</t>
        </is>
      </c>
      <c r="C108" t="inlineStr">
        <is>
          <t>Föryngringsavverkning</t>
        </is>
      </c>
      <c r="D108" s="1" t="n">
        <v>45762</v>
      </c>
      <c r="E108" s="1" t="n">
        <v>46318</v>
      </c>
      <c r="F108" t="inlineStr">
        <is>
          <t>JÄMTLANDS LÄN</t>
        </is>
      </c>
      <c r="G108" t="inlineStr">
        <is>
          <t>STRÖMSUND</t>
        </is>
      </c>
      <c r="H108" t="inlineStr">
        <is>
          <t>SCA</t>
        </is>
      </c>
      <c r="I108" t="n">
        <v>7.6</v>
      </c>
      <c r="J108" t="n">
        <v>0</v>
      </c>
      <c r="K108" t="n">
        <v>0</v>
      </c>
      <c r="L108" t="n">
        <v>4</v>
      </c>
      <c r="M108" t="n">
        <v>1</v>
      </c>
      <c r="N108" t="n">
        <v>0</v>
      </c>
      <c r="O108" t="n">
        <v>0</v>
      </c>
      <c r="P108" t="n">
        <v>0</v>
      </c>
      <c r="Q108" t="n">
        <v>5</v>
      </c>
      <c r="R108" t="n">
        <v>1</v>
      </c>
      <c r="S108" t="n">
        <v>5</v>
      </c>
      <c r="T108" t="n">
        <v>7</v>
      </c>
      <c r="U108" t="n">
        <v>0</v>
      </c>
      <c r="V108" s="2" t="inlineStr">
        <is>
          <t>Garnlav
Dropptaggsvamp
Lunglav
Mörk kolflarnlav
Vedskivlav</t>
        </is>
      </c>
      <c r="W108">
        <f>HYPERLINK("https://klasma.github.io/Logging_2313/artfynd/A 18252-2025 artfynd.xlsx", "A 18252-2025")</f>
        <v/>
      </c>
      <c r="X108">
        <f>HYPERLINK("https://klasma.github.io/Logging_2313/kartor/A 18252-2025 karta.png", "A 18252-2025")</f>
        <v/>
      </c>
      <c r="Y108">
        <f>HYPERLINK("https://klasma.github.io/Logging_2313/kartor_geotiff/A 18252-2025 georefererad karta.tif", "A 18252-2025")</f>
        <v/>
      </c>
      <c r="AA108">
        <f>HYPERLINK("https://klasma.github.io/Logging_2313/klagomål/A 18252-2025 FSC-klagomål.docx", "A 18252-2025")</f>
        <v/>
      </c>
      <c r="AB108">
        <f>HYPERLINK("https://klasma.github.io/Logging_2313/klagomålsmail/A 18252-2025 FSC-klagomål mail.docx", "A 18252-2025")</f>
        <v/>
      </c>
      <c r="AC108">
        <f>HYPERLINK("https://klasma.github.io/Logging_2313/tillsyn/A 18252-2025 tillsynsbegäran.docx", "A 18252-2025")</f>
        <v/>
      </c>
      <c r="AD108">
        <f>HYPERLINK("https://klasma.github.io/Logging_2313/tillsynsmail/A 18252-2025 tillsynsbegäran mail.docx", "A 18252-2025")</f>
        <v/>
      </c>
    </row>
    <row r="109" ht="15" customHeight="1">
      <c r="A109" t="inlineStr">
        <is>
          <t>A 46874-2025</t>
        </is>
      </c>
      <c r="B109" t="inlineStr">
        <is>
          <t>avverkningsanmälan</t>
        </is>
      </c>
      <c r="C109" t="inlineStr">
        <is>
          <t>Föryngringsavverkning</t>
        </is>
      </c>
      <c r="D109" s="1" t="n">
        <v>45929</v>
      </c>
      <c r="E109" s="1" t="n">
        <v>46318</v>
      </c>
      <c r="F109" t="inlineStr">
        <is>
          <t>JÄMTLANDS LÄN</t>
        </is>
      </c>
      <c r="G109" t="inlineStr">
        <is>
          <t>STRÖMSUND</t>
        </is>
      </c>
      <c r="H109" t="inlineStr">
        <is>
          <t>SCA</t>
        </is>
      </c>
      <c r="I109" t="n">
        <v>12.6</v>
      </c>
      <c r="J109" t="n">
        <v>1</v>
      </c>
      <c r="K109" t="n">
        <v>0</v>
      </c>
      <c r="L109" t="n">
        <v>3</v>
      </c>
      <c r="M109" t="n">
        <v>2</v>
      </c>
      <c r="N109" t="n">
        <v>0</v>
      </c>
      <c r="O109" t="n">
        <v>0</v>
      </c>
      <c r="P109" t="n">
        <v>0</v>
      </c>
      <c r="Q109" t="n">
        <v>5</v>
      </c>
      <c r="R109" t="n">
        <v>2</v>
      </c>
      <c r="S109" t="n">
        <v>5</v>
      </c>
      <c r="T109" t="n">
        <v>5</v>
      </c>
      <c r="U109" t="n">
        <v>0</v>
      </c>
      <c r="V109" s="2" t="inlineStr">
        <is>
          <t>Garnlav
Knärot
Dropptaggsvamp
Tallticka
Vitgrynig nållav</t>
        </is>
      </c>
      <c r="W109">
        <f>HYPERLINK("https://klasma.github.io/Logging_2313/artfynd/A 46874-2025 artfynd.xlsx", "A 46874-2025")</f>
        <v/>
      </c>
      <c r="X109">
        <f>HYPERLINK("https://klasma.github.io/Logging_2313/kartor/A 46874-2025 karta.png", "A 46874-2025")</f>
        <v/>
      </c>
      <c r="Y109">
        <f>HYPERLINK("https://klasma.github.io/Logging_2313/kartor_geotiff/A 46874-2025 georefererad karta.tif", "A 46874-2025")</f>
        <v/>
      </c>
      <c r="Z109">
        <f>HYPERLINK("https://klasma.github.io/Logging_2313/knärot/A 46874-2025 karta knärot.png", "A 46874-2025")</f>
        <v/>
      </c>
      <c r="AA109">
        <f>HYPERLINK("https://klasma.github.io/Logging_2313/klagomål/A 46874-2025 FSC-klagomål.docx", "A 46874-2025")</f>
        <v/>
      </c>
      <c r="AB109">
        <f>HYPERLINK("https://klasma.github.io/Logging_2313/klagomålsmail/A 46874-2025 FSC-klagomål mail.docx", "A 46874-2025")</f>
        <v/>
      </c>
      <c r="AC109">
        <f>HYPERLINK("https://klasma.github.io/Logging_2313/tillsyn/A 46874-2025 tillsynsbegäran.docx", "A 46874-2025")</f>
        <v/>
      </c>
      <c r="AD109">
        <f>HYPERLINK("https://klasma.github.io/Logging_2313/tillsynsmail/A 46874-2025 tillsynsbegäran mail.docx", "A 46874-2025")</f>
        <v/>
      </c>
    </row>
    <row r="110" ht="15" customHeight="1">
      <c r="A110" t="inlineStr">
        <is>
          <t>A 50212-2025</t>
        </is>
      </c>
      <c r="B110" t="inlineStr">
        <is>
          <t>avverkningsanmälan</t>
        </is>
      </c>
      <c r="C110" t="inlineStr">
        <is>
          <t>Avverkning för att bevara och utveckla /försöksver</t>
        </is>
      </c>
      <c r="D110" s="1" t="n">
        <v>45943</v>
      </c>
      <c r="E110" s="1" t="n">
        <v>46318</v>
      </c>
      <c r="F110" t="inlineStr">
        <is>
          <t>JÄMTLANDS LÄN</t>
        </is>
      </c>
      <c r="G110" t="inlineStr">
        <is>
          <t>STRÖMSUND</t>
        </is>
      </c>
      <c r="H110" t="inlineStr">
        <is>
          <t>SCA</t>
        </is>
      </c>
      <c r="I110" t="n">
        <v>2.7</v>
      </c>
      <c r="J110" t="n">
        <v>1</v>
      </c>
      <c r="K110" t="n">
        <v>2</v>
      </c>
      <c r="L110" t="n">
        <v>3</v>
      </c>
      <c r="M110" t="n">
        <v>0</v>
      </c>
      <c r="N110" t="n">
        <v>0</v>
      </c>
      <c r="O110" t="n">
        <v>0</v>
      </c>
      <c r="P110" t="n">
        <v>0</v>
      </c>
      <c r="Q110" t="n">
        <v>3</v>
      </c>
      <c r="R110" t="n">
        <v>0</v>
      </c>
      <c r="S110" t="n">
        <v>5</v>
      </c>
      <c r="T110" t="n">
        <v>9</v>
      </c>
      <c r="U110" t="n">
        <v>0</v>
      </c>
      <c r="V110" s="2" t="inlineStr">
        <is>
          <t>Harticka
Lunglav
Rosenticka
Guckusko
Stuplav</t>
        </is>
      </c>
      <c r="W110">
        <f>HYPERLINK("https://klasma.github.io/Logging_2313/artfynd/A 50212-2025 artfynd.xlsx", "A 50212-2025")</f>
        <v/>
      </c>
      <c r="X110">
        <f>HYPERLINK("https://klasma.github.io/Logging_2313/kartor/A 50212-2025 karta.png", "A 50212-2025")</f>
        <v/>
      </c>
      <c r="Y110">
        <f>HYPERLINK("https://klasma.github.io/Logging_2313/kartor_geotiff/A 50212-2025 georefererad karta.tif", "A 50212-2025")</f>
        <v/>
      </c>
      <c r="AA110">
        <f>HYPERLINK("https://klasma.github.io/Logging_2313/klagomål/A 50212-2025 FSC-klagomål.docx", "A 50212-2025")</f>
        <v/>
      </c>
      <c r="AB110">
        <f>HYPERLINK("https://klasma.github.io/Logging_2313/klagomålsmail/A 50212-2025 FSC-klagomål mail.docx", "A 50212-2025")</f>
        <v/>
      </c>
      <c r="AC110">
        <f>HYPERLINK("https://klasma.github.io/Logging_2313/tillsyn/A 50212-2025 tillsynsbegäran.docx", "A 50212-2025")</f>
        <v/>
      </c>
      <c r="AD110">
        <f>HYPERLINK("https://klasma.github.io/Logging_2313/tillsynsmail/A 50212-2025 tillsynsbegäran mail.docx", "A 50212-2025")</f>
        <v/>
      </c>
    </row>
    <row r="111" ht="15" customHeight="1">
      <c r="A111" t="inlineStr">
        <is>
          <t>A 34006-2023</t>
        </is>
      </c>
      <c r="B111" t="inlineStr">
        <is>
          <t>avverkningsanmälan</t>
        </is>
      </c>
      <c r="C111" t="inlineStr">
        <is>
          <t>Avverkning för att bevara och utveckla /försöksver</t>
        </is>
      </c>
      <c r="D111" s="1" t="n">
        <v>45134</v>
      </c>
      <c r="E111" s="1" t="n">
        <v>46318</v>
      </c>
      <c r="F111" t="inlineStr">
        <is>
          <t>JÄMTLANDS LÄN</t>
        </is>
      </c>
      <c r="G111" t="inlineStr">
        <is>
          <t>STRÖMSUND</t>
        </is>
      </c>
      <c r="H111" t="inlineStr">
        <is>
          <t>SCA</t>
        </is>
      </c>
      <c r="I111" t="n">
        <v>4</v>
      </c>
      <c r="J111" t="n">
        <v>1</v>
      </c>
      <c r="K111" t="n">
        <v>0</v>
      </c>
      <c r="L111" t="n">
        <v>4</v>
      </c>
      <c r="M111" t="n">
        <v>1</v>
      </c>
      <c r="N111" t="n">
        <v>0</v>
      </c>
      <c r="O111" t="n">
        <v>0</v>
      </c>
      <c r="P111" t="n">
        <v>0</v>
      </c>
      <c r="Q111" t="n">
        <v>5</v>
      </c>
      <c r="R111" t="n">
        <v>1</v>
      </c>
      <c r="S111" t="n">
        <v>5</v>
      </c>
      <c r="T111" t="n">
        <v>5</v>
      </c>
      <c r="U111" t="n">
        <v>0</v>
      </c>
      <c r="V111" s="2" t="inlineStr">
        <is>
          <t>Garnlav
Dvärgbägarlav
Lunglav
Skrovellav
Talltita</t>
        </is>
      </c>
      <c r="W111">
        <f>HYPERLINK("https://klasma.github.io/Logging_2313/artfynd/A 34006-2023 artfynd.xlsx", "A 34006-2023")</f>
        <v/>
      </c>
      <c r="X111">
        <f>HYPERLINK("https://klasma.github.io/Logging_2313/kartor/A 34006-2023 karta.png", "A 34006-2023")</f>
        <v/>
      </c>
      <c r="Y111">
        <f>HYPERLINK("https://klasma.github.io/Logging_2313/kartor_geotiff/A 34006-2023 georefererad karta.tif", "A 34006-2023")</f>
        <v/>
      </c>
      <c r="AA111">
        <f>HYPERLINK("https://klasma.github.io/Logging_2313/klagomål/A 34006-2023 FSC-klagomål.docx", "A 34006-2023")</f>
        <v/>
      </c>
      <c r="AB111">
        <f>HYPERLINK("https://klasma.github.io/Logging_2313/klagomålsmail/A 34006-2023 FSC-klagomål mail.docx", "A 34006-2023")</f>
        <v/>
      </c>
      <c r="AC111">
        <f>HYPERLINK("https://klasma.github.io/Logging_2313/tillsyn/A 34006-2023 tillsynsbegäran.docx", "A 34006-2023")</f>
        <v/>
      </c>
      <c r="AD111">
        <f>HYPERLINK("https://klasma.github.io/Logging_2313/tillsynsmail/A 34006-2023 tillsynsbegäran mail.docx", "A 34006-2023")</f>
        <v/>
      </c>
      <c r="AE111">
        <f>HYPERLINK("https://klasma.github.io/Logging_2313/fåglar/A 34006-2023 prioriterade fågelarter.docx", "A 34006-2023")</f>
        <v/>
      </c>
    </row>
    <row r="112" ht="15" customHeight="1">
      <c r="A112" t="inlineStr">
        <is>
          <t>A 54269-2025</t>
        </is>
      </c>
      <c r="B112" t="inlineStr">
        <is>
          <t>avverkningsanmälan</t>
        </is>
      </c>
      <c r="C112" t="inlineStr">
        <is>
          <t>Avverkning för att bevara och utveckla /försöksver</t>
        </is>
      </c>
      <c r="D112" s="1" t="n">
        <v>45964</v>
      </c>
      <c r="E112" s="1" t="n">
        <v>46318</v>
      </c>
      <c r="F112" t="inlineStr">
        <is>
          <t>JÄMTLANDS LÄN</t>
        </is>
      </c>
      <c r="G112" t="inlineStr">
        <is>
          <t>STRÖMSUND</t>
        </is>
      </c>
      <c r="H112" t="inlineStr">
        <is>
          <t>SCA</t>
        </is>
      </c>
      <c r="I112" t="n">
        <v>4.8</v>
      </c>
      <c r="J112" t="n">
        <v>0</v>
      </c>
      <c r="K112" t="n">
        <v>3</v>
      </c>
      <c r="L112" t="n">
        <v>2</v>
      </c>
      <c r="M112" t="n">
        <v>0</v>
      </c>
      <c r="N112" t="n">
        <v>0</v>
      </c>
      <c r="O112" t="n">
        <v>0</v>
      </c>
      <c r="P112" t="n">
        <v>0</v>
      </c>
      <c r="Q112" t="n">
        <v>2</v>
      </c>
      <c r="R112" t="n">
        <v>0</v>
      </c>
      <c r="S112" t="n">
        <v>5</v>
      </c>
      <c r="T112" t="n">
        <v>11</v>
      </c>
      <c r="U112" t="n">
        <v>0</v>
      </c>
      <c r="V112" s="2" t="inlineStr">
        <is>
          <t>Gammelgransskål
Stjärntagging
Stuplav
Trådticka
Vedticka</t>
        </is>
      </c>
      <c r="W112">
        <f>HYPERLINK("https://klasma.github.io/Logging_2313/artfynd/A 54269-2025 artfynd.xlsx", "A 54269-2025")</f>
        <v/>
      </c>
      <c r="X112">
        <f>HYPERLINK("https://klasma.github.io/Logging_2313/kartor/A 54269-2025 karta.png", "A 54269-2025")</f>
        <v/>
      </c>
      <c r="Y112">
        <f>HYPERLINK("https://klasma.github.io/Logging_2313/kartor_geotiff/A 54269-2025 georefererad karta.tif", "A 54269-2025")</f>
        <v/>
      </c>
      <c r="AA112">
        <f>HYPERLINK("https://klasma.github.io/Logging_2313/klagomål/A 54269-2025 FSC-klagomål.docx", "A 54269-2025")</f>
        <v/>
      </c>
      <c r="AB112">
        <f>HYPERLINK("https://klasma.github.io/Logging_2313/klagomålsmail/A 54269-2025 FSC-klagomål mail.docx", "A 54269-2025")</f>
        <v/>
      </c>
      <c r="AC112">
        <f>HYPERLINK("https://klasma.github.io/Logging_2313/tillsyn/A 54269-2025 tillsynsbegäran.docx", "A 54269-2025")</f>
        <v/>
      </c>
      <c r="AD112">
        <f>HYPERLINK("https://klasma.github.io/Logging_2313/tillsynsmail/A 54269-2025 tillsynsbegäran mail.docx", "A 54269-2025")</f>
        <v/>
      </c>
    </row>
    <row r="113" ht="15" customHeight="1">
      <c r="A113" t="inlineStr">
        <is>
          <t>A 56895-2025</t>
        </is>
      </c>
      <c r="B113" t="inlineStr">
        <is>
          <t>avverkningsanmälan</t>
        </is>
      </c>
      <c r="C113" t="inlineStr">
        <is>
          <t>Föryngringsavverkning</t>
        </is>
      </c>
      <c r="D113" s="1" t="n">
        <v>45978</v>
      </c>
      <c r="E113" s="1" t="n">
        <v>46318</v>
      </c>
      <c r="F113" t="inlineStr">
        <is>
          <t>JÄMTLANDS LÄN</t>
        </is>
      </c>
      <c r="G113" t="inlineStr">
        <is>
          <t>STRÖMSUND</t>
        </is>
      </c>
      <c r="I113" t="n">
        <v>1.6</v>
      </c>
      <c r="J113" t="n">
        <v>1</v>
      </c>
      <c r="K113" t="n">
        <v>0</v>
      </c>
      <c r="L113" t="n">
        <v>0</v>
      </c>
      <c r="M113" t="n">
        <v>0</v>
      </c>
      <c r="N113" t="n">
        <v>0</v>
      </c>
      <c r="O113" t="n">
        <v>0</v>
      </c>
      <c r="P113" t="n">
        <v>0</v>
      </c>
      <c r="Q113" t="n">
        <v>0</v>
      </c>
      <c r="R113" t="n">
        <v>0</v>
      </c>
      <c r="S113" t="n">
        <v>5</v>
      </c>
      <c r="T113" t="n">
        <v>7</v>
      </c>
      <c r="U113" t="n">
        <v>7</v>
      </c>
      <c r="V113" s="2" t="inlineStr">
        <is>
          <t>Bergsslok
Ekorrbär
Humleblomster
Kattfot
Fläcknycklar</t>
        </is>
      </c>
      <c r="W113">
        <f>HYPERLINK("https://klasma.github.io/Logging_2313/artfynd/A 56895-2025 artfynd.xlsx", "A 56895-2025")</f>
        <v/>
      </c>
      <c r="X113">
        <f>HYPERLINK("https://klasma.github.io/Logging_2313/kartor/A 56895-2025 karta.png", "A 56895-2025")</f>
        <v/>
      </c>
      <c r="Y113">
        <f>HYPERLINK("https://klasma.github.io/Logging_2313/kartor_geotiff/A 56895-2025 georefererad karta.tif", "A 56895-2025")</f>
        <v/>
      </c>
      <c r="AA113">
        <f>HYPERLINK("https://klasma.github.io/Logging_2313/klagomål/A 56895-2025 FSC-klagomål.docx", "A 56895-2025")</f>
        <v/>
      </c>
      <c r="AB113">
        <f>HYPERLINK("https://klasma.github.io/Logging_2313/klagomålsmail/A 56895-2025 FSC-klagomål mail.docx", "A 56895-2025")</f>
        <v/>
      </c>
      <c r="AC113">
        <f>HYPERLINK("https://klasma.github.io/Logging_2313/tillsyn/A 56895-2025 tillsynsbegäran.docx", "A 56895-2025")</f>
        <v/>
      </c>
      <c r="AD113">
        <f>HYPERLINK("https://klasma.github.io/Logging_2313/tillsynsmail/A 56895-2025 tillsynsbegäran mail.docx", "A 56895-2025")</f>
        <v/>
      </c>
    </row>
    <row r="114" ht="15" customHeight="1">
      <c r="A114" t="inlineStr">
        <is>
          <t>A 13999-2024</t>
        </is>
      </c>
      <c r="B114" t="inlineStr">
        <is>
          <t>avverkningsanmälan</t>
        </is>
      </c>
      <c r="C114" t="inlineStr">
        <is>
          <t>Avverkning för att bevara och utveckla /försöksver</t>
        </is>
      </c>
      <c r="D114" s="1" t="n">
        <v>45392</v>
      </c>
      <c r="E114" s="1" t="n">
        <v>46318</v>
      </c>
      <c r="F114" t="inlineStr">
        <is>
          <t>JÄMTLANDS LÄN</t>
        </is>
      </c>
      <c r="G114" t="inlineStr">
        <is>
          <t>STRÖMSUND</t>
        </is>
      </c>
      <c r="H114" t="inlineStr">
        <is>
          <t>Holmen skog AB</t>
        </is>
      </c>
      <c r="I114" t="n">
        <v>19.1</v>
      </c>
      <c r="J114" t="n">
        <v>0</v>
      </c>
      <c r="K114" t="n">
        <v>2</v>
      </c>
      <c r="L114" t="n">
        <v>3</v>
      </c>
      <c r="M114" t="n">
        <v>0</v>
      </c>
      <c r="N114" t="n">
        <v>0</v>
      </c>
      <c r="O114" t="n">
        <v>0</v>
      </c>
      <c r="P114" t="n">
        <v>0</v>
      </c>
      <c r="Q114" t="n">
        <v>3</v>
      </c>
      <c r="R114" t="n">
        <v>0</v>
      </c>
      <c r="S114" t="n">
        <v>5</v>
      </c>
      <c r="T114" t="n">
        <v>6</v>
      </c>
      <c r="U114" t="n">
        <v>4</v>
      </c>
      <c r="V114" s="2" t="inlineStr">
        <is>
          <t>Lunglav
Skrovellav
Talltaggsvamp
Korallblylav
Skinnlav</t>
        </is>
      </c>
      <c r="W114">
        <f>HYPERLINK("https://klasma.github.io/Logging_2313/artfynd/A 13999-2024 artfynd.xlsx", "A 13999-2024")</f>
        <v/>
      </c>
      <c r="X114">
        <f>HYPERLINK("https://klasma.github.io/Logging_2313/kartor/A 13999-2024 karta.png", "A 13999-2024")</f>
        <v/>
      </c>
      <c r="Y114">
        <f>HYPERLINK("https://klasma.github.io/Logging_2313/kartor_geotiff/A 13999-2024 georefererad karta.tif", "A 13999-2024")</f>
        <v/>
      </c>
      <c r="AA114">
        <f>HYPERLINK("https://klasma.github.io/Logging_2313/klagomål/A 13999-2024 FSC-klagomål.docx", "A 13999-2024")</f>
        <v/>
      </c>
      <c r="AB114">
        <f>HYPERLINK("https://klasma.github.io/Logging_2313/klagomålsmail/A 13999-2024 FSC-klagomål mail.docx", "A 13999-2024")</f>
        <v/>
      </c>
      <c r="AC114">
        <f>HYPERLINK("https://klasma.github.io/Logging_2313/tillsyn/A 13999-2024 tillsynsbegäran.docx", "A 13999-2024")</f>
        <v/>
      </c>
      <c r="AD114">
        <f>HYPERLINK("https://klasma.github.io/Logging_2313/tillsynsmail/A 13999-2024 tillsynsbegäran mail.docx", "A 13999-2024")</f>
        <v/>
      </c>
    </row>
    <row r="115" ht="15" customHeight="1">
      <c r="A115" t="inlineStr">
        <is>
          <t>A 40879-2025</t>
        </is>
      </c>
      <c r="B115" t="inlineStr">
        <is>
          <t>avverkningsanmälan</t>
        </is>
      </c>
      <c r="C115" t="inlineStr">
        <is>
          <t>Föryngringsavverkning</t>
        </is>
      </c>
      <c r="D115" s="1" t="n">
        <v>45897</v>
      </c>
      <c r="E115" s="1" t="n">
        <v>46318</v>
      </c>
      <c r="F115" t="inlineStr">
        <is>
          <t>JÄMTLANDS LÄN</t>
        </is>
      </c>
      <c r="G115" t="inlineStr">
        <is>
          <t>STRÖMSUND</t>
        </is>
      </c>
      <c r="H115" t="inlineStr">
        <is>
          <t>Holmen skog AB</t>
        </is>
      </c>
      <c r="I115" t="n">
        <v>1.8</v>
      </c>
      <c r="J115" t="n">
        <v>2</v>
      </c>
      <c r="K115" t="n">
        <v>0</v>
      </c>
      <c r="L115" t="n">
        <v>3</v>
      </c>
      <c r="M115" t="n">
        <v>0</v>
      </c>
      <c r="N115" t="n">
        <v>0</v>
      </c>
      <c r="O115" t="n">
        <v>0</v>
      </c>
      <c r="P115" t="n">
        <v>0</v>
      </c>
      <c r="Q115" t="n">
        <v>3</v>
      </c>
      <c r="R115" t="n">
        <v>0</v>
      </c>
      <c r="S115" t="n">
        <v>5</v>
      </c>
      <c r="T115" t="n">
        <v>7</v>
      </c>
      <c r="U115" t="n">
        <v>0</v>
      </c>
      <c r="V115" s="2" t="inlineStr">
        <is>
          <t>Brunklöver
Månlåsbräken
Nordlåsbräken
Brudsporre
Fläcknycklar</t>
        </is>
      </c>
      <c r="W115">
        <f>HYPERLINK("https://klasma.github.io/Logging_2313/artfynd/A 40879-2025 artfynd.xlsx", "A 40879-2025")</f>
        <v/>
      </c>
      <c r="X115">
        <f>HYPERLINK("https://klasma.github.io/Logging_2313/kartor/A 40879-2025 karta.png", "A 40879-2025")</f>
        <v/>
      </c>
      <c r="Y115">
        <f>HYPERLINK("https://klasma.github.io/Logging_2313/kartor_geotiff/A 40879-2025 georefererad karta.tif", "A 40879-2025")</f>
        <v/>
      </c>
      <c r="AA115">
        <f>HYPERLINK("https://klasma.github.io/Logging_2313/klagomål/A 40879-2025 FSC-klagomål.docx", "A 40879-2025")</f>
        <v/>
      </c>
      <c r="AB115">
        <f>HYPERLINK("https://klasma.github.io/Logging_2313/klagomålsmail/A 40879-2025 FSC-klagomål mail.docx", "A 40879-2025")</f>
        <v/>
      </c>
      <c r="AC115">
        <f>HYPERLINK("https://klasma.github.io/Logging_2313/tillsyn/A 40879-2025 tillsynsbegäran.docx", "A 40879-2025")</f>
        <v/>
      </c>
      <c r="AD115">
        <f>HYPERLINK("https://klasma.github.io/Logging_2313/tillsynsmail/A 40879-2025 tillsynsbegäran mail.docx", "A 40879-2025")</f>
        <v/>
      </c>
    </row>
    <row r="116" ht="15" customHeight="1">
      <c r="A116" t="inlineStr">
        <is>
          <t>A 2759-2025</t>
        </is>
      </c>
      <c r="B116" t="inlineStr">
        <is>
          <t>avverkningsanmälan</t>
        </is>
      </c>
      <c r="C116" t="inlineStr">
        <is>
          <t>Föryngringsavverkning</t>
        </is>
      </c>
      <c r="D116" s="1" t="n">
        <v>45674</v>
      </c>
      <c r="E116" s="1" t="n">
        <v>46318</v>
      </c>
      <c r="F116" t="inlineStr">
        <is>
          <t>JÄMTLANDS LÄN</t>
        </is>
      </c>
      <c r="G116" t="inlineStr">
        <is>
          <t>STRÖMSUND</t>
        </is>
      </c>
      <c r="I116" t="n">
        <v>2.5</v>
      </c>
      <c r="J116" t="n">
        <v>1</v>
      </c>
      <c r="K116" t="n">
        <v>2</v>
      </c>
      <c r="L116" t="n">
        <v>2</v>
      </c>
      <c r="M116" t="n">
        <v>1</v>
      </c>
      <c r="N116" t="n">
        <v>0</v>
      </c>
      <c r="O116" t="n">
        <v>0</v>
      </c>
      <c r="P116" t="n">
        <v>0</v>
      </c>
      <c r="Q116" t="n">
        <v>3</v>
      </c>
      <c r="R116" t="n">
        <v>1</v>
      </c>
      <c r="S116" t="n">
        <v>5</v>
      </c>
      <c r="T116" t="n">
        <v>9</v>
      </c>
      <c r="U116" t="n">
        <v>6</v>
      </c>
      <c r="V116" s="2" t="inlineStr">
        <is>
          <t>Garnlav
Harticka
Tretåig hackspett
Finbräken
Stuplav</t>
        </is>
      </c>
      <c r="W116">
        <f>HYPERLINK("https://klasma.github.io/Logging_2313/artfynd/A 2759-2025 artfynd.xlsx", "A 2759-2025")</f>
        <v/>
      </c>
      <c r="X116">
        <f>HYPERLINK("https://klasma.github.io/Logging_2313/kartor/A 2759-2025 karta.png", "A 2759-2025")</f>
        <v/>
      </c>
      <c r="Y116">
        <f>HYPERLINK("https://klasma.github.io/Logging_2313/kartor_geotiff/A 2759-2025 georefererad karta.tif", "A 2759-2025")</f>
        <v/>
      </c>
      <c r="AA116">
        <f>HYPERLINK("https://klasma.github.io/Logging_2313/klagomål/A 2759-2025 FSC-klagomål.docx", "A 2759-2025")</f>
        <v/>
      </c>
      <c r="AB116">
        <f>HYPERLINK("https://klasma.github.io/Logging_2313/klagomålsmail/A 2759-2025 FSC-klagomål mail.docx", "A 2759-2025")</f>
        <v/>
      </c>
      <c r="AC116">
        <f>HYPERLINK("https://klasma.github.io/Logging_2313/tillsyn/A 2759-2025 tillsynsbegäran.docx", "A 2759-2025")</f>
        <v/>
      </c>
      <c r="AD116">
        <f>HYPERLINK("https://klasma.github.io/Logging_2313/tillsynsmail/A 2759-2025 tillsynsbegäran mail.docx", "A 2759-2025")</f>
        <v/>
      </c>
      <c r="AE116">
        <f>HYPERLINK("https://klasma.github.io/Logging_2313/fåglar/A 2759-2025 prioriterade fågelarter.docx", "A 2759-2025")</f>
        <v/>
      </c>
    </row>
    <row r="117" ht="15" customHeight="1">
      <c r="A117" t="inlineStr">
        <is>
          <t>A 58960-2025</t>
        </is>
      </c>
      <c r="B117" t="inlineStr">
        <is>
          <t>avverkningsanmälan</t>
        </is>
      </c>
      <c r="C117" t="inlineStr">
        <is>
          <t>Föryngringsavverkning</t>
        </is>
      </c>
      <c r="D117" s="1" t="n">
        <v>45987</v>
      </c>
      <c r="E117" s="1" t="n">
        <v>46318</v>
      </c>
      <c r="F117" t="inlineStr">
        <is>
          <t>JÄMTLANDS LÄN</t>
        </is>
      </c>
      <c r="G117" t="inlineStr">
        <is>
          <t>STRÖMSUND</t>
        </is>
      </c>
      <c r="I117" t="n">
        <v>9.699999999999999</v>
      </c>
      <c r="J117" t="n">
        <v>0</v>
      </c>
      <c r="K117" t="n">
        <v>3</v>
      </c>
      <c r="L117" t="n">
        <v>2</v>
      </c>
      <c r="M117" t="n">
        <v>0</v>
      </c>
      <c r="N117" t="n">
        <v>0</v>
      </c>
      <c r="O117" t="n">
        <v>0</v>
      </c>
      <c r="P117" t="n">
        <v>0</v>
      </c>
      <c r="Q117" t="n">
        <v>2</v>
      </c>
      <c r="R117" t="n">
        <v>0</v>
      </c>
      <c r="S117" t="n">
        <v>5</v>
      </c>
      <c r="T117" t="n">
        <v>14</v>
      </c>
      <c r="U117" t="n">
        <v>0</v>
      </c>
      <c r="V117" s="2" t="inlineStr">
        <is>
          <t>Lunglav
Orange taggsvamp
Granriska
Svart trolldruva
Svavelriska</t>
        </is>
      </c>
      <c r="W117">
        <f>HYPERLINK("https://klasma.github.io/Logging_2313/artfynd/A 58960-2025 artfynd.xlsx", "A 58960-2025")</f>
        <v/>
      </c>
      <c r="X117">
        <f>HYPERLINK("https://klasma.github.io/Logging_2313/kartor/A 58960-2025 karta.png", "A 58960-2025")</f>
        <v/>
      </c>
      <c r="Y117">
        <f>HYPERLINK("https://klasma.github.io/Logging_2313/kartor_geotiff/A 58960-2025 georefererad karta.tif", "A 58960-2025")</f>
        <v/>
      </c>
      <c r="AA117">
        <f>HYPERLINK("https://klasma.github.io/Logging_2313/klagomål/A 58960-2025 FSC-klagomål.docx", "A 58960-2025")</f>
        <v/>
      </c>
      <c r="AB117">
        <f>HYPERLINK("https://klasma.github.io/Logging_2313/klagomålsmail/A 58960-2025 FSC-klagomål mail.docx", "A 58960-2025")</f>
        <v/>
      </c>
      <c r="AC117">
        <f>HYPERLINK("https://klasma.github.io/Logging_2313/tillsyn/A 58960-2025 tillsynsbegäran.docx", "A 58960-2025")</f>
        <v/>
      </c>
      <c r="AD117">
        <f>HYPERLINK("https://klasma.github.io/Logging_2313/tillsynsmail/A 58960-2025 tillsynsbegäran mail.docx", "A 58960-2025")</f>
        <v/>
      </c>
    </row>
    <row r="118" ht="15" customHeight="1">
      <c r="A118" t="inlineStr">
        <is>
          <t>A 31822-2026</t>
        </is>
      </c>
      <c r="B118" t="inlineStr">
        <is>
          <t>avverkningsanmälan</t>
        </is>
      </c>
      <c r="C118" t="inlineStr">
        <is>
          <t>Avverkning för att bevara och utveckla /försöksver</t>
        </is>
      </c>
      <c r="D118" s="1" t="n">
        <v>46230</v>
      </c>
      <c r="E118" s="1" t="n">
        <v>46318</v>
      </c>
      <c r="F118" t="inlineStr">
        <is>
          <t>JÄMTLANDS LÄN</t>
        </is>
      </c>
      <c r="G118" t="inlineStr">
        <is>
          <t>STRÖMSUND</t>
        </is>
      </c>
      <c r="H118" t="inlineStr">
        <is>
          <t>SCA</t>
        </is>
      </c>
      <c r="I118" t="n">
        <v>6.8</v>
      </c>
      <c r="J118" t="n">
        <v>1</v>
      </c>
      <c r="K118" t="n">
        <v>1</v>
      </c>
      <c r="L118" t="n">
        <v>3</v>
      </c>
      <c r="M118" t="n">
        <v>1</v>
      </c>
      <c r="N118" t="n">
        <v>0</v>
      </c>
      <c r="O118" t="n">
        <v>0</v>
      </c>
      <c r="P118" t="n">
        <v>0</v>
      </c>
      <c r="Q118" t="n">
        <v>4</v>
      </c>
      <c r="R118" t="n">
        <v>1</v>
      </c>
      <c r="S118" t="n">
        <v>5</v>
      </c>
      <c r="T118" t="n">
        <v>9</v>
      </c>
      <c r="U118" t="n">
        <v>0</v>
      </c>
      <c r="V118" s="2" t="inlineStr">
        <is>
          <t>Knärot
Lunglav
Skrovellav
Vitgrynig nållav
Vedticka</t>
        </is>
      </c>
      <c r="W118">
        <f>HYPERLINK("https://klasma.github.io/Logging_2313/artfynd/A 31822-2026 artfynd.xlsx", "A 31822-2026")</f>
        <v/>
      </c>
      <c r="X118">
        <f>HYPERLINK("https://klasma.github.io/Logging_2313/kartor/A 31822-2026 karta.png", "A 31822-2026")</f>
        <v/>
      </c>
      <c r="Y118">
        <f>HYPERLINK("https://klasma.github.io/Logging_2313/kartor_geotiff/A 31822-2026 georefererad karta.tif", "A 31822-2026")</f>
        <v/>
      </c>
      <c r="Z118">
        <f>HYPERLINK("https://klasma.github.io/Logging_2313/knärot/A 31822-2026 karta knärot.png", "A 31822-2026")</f>
        <v/>
      </c>
      <c r="AA118">
        <f>HYPERLINK("https://klasma.github.io/Logging_2313/klagomål/A 31822-2026 FSC-klagomål.docx", "A 31822-2026")</f>
        <v/>
      </c>
      <c r="AB118">
        <f>HYPERLINK("https://klasma.github.io/Logging_2313/klagomålsmail/A 31822-2026 FSC-klagomål mail.docx", "A 31822-2026")</f>
        <v/>
      </c>
      <c r="AC118">
        <f>HYPERLINK("https://klasma.github.io/Logging_2313/tillsyn/A 31822-2026 tillsynsbegäran.docx", "A 31822-2026")</f>
        <v/>
      </c>
      <c r="AD118">
        <f>HYPERLINK("https://klasma.github.io/Logging_2313/tillsynsmail/A 31822-2026 tillsynsbegäran mail.docx", "A 31822-2026")</f>
        <v/>
      </c>
    </row>
    <row r="119" ht="15" customHeight="1">
      <c r="A119" t="inlineStr">
        <is>
          <t>A 61854-2024</t>
        </is>
      </c>
      <c r="B119" t="inlineStr">
        <is>
          <t>avverkningsanmälan</t>
        </is>
      </c>
      <c r="C119" t="inlineStr">
        <is>
          <t>Föryngringsavverkning</t>
        </is>
      </c>
      <c r="D119" s="1" t="n">
        <v>45649</v>
      </c>
      <c r="E119" s="1" t="n">
        <v>46318</v>
      </c>
      <c r="F119" t="inlineStr">
        <is>
          <t>JÄMTLANDS LÄN</t>
        </is>
      </c>
      <c r="G119" t="inlineStr">
        <is>
          <t>STRÖMSUND</t>
        </is>
      </c>
      <c r="I119" t="n">
        <v>1.6</v>
      </c>
      <c r="J119" t="n">
        <v>5</v>
      </c>
      <c r="K119" t="n">
        <v>1</v>
      </c>
      <c r="L119" t="n">
        <v>1</v>
      </c>
      <c r="M119" t="n">
        <v>0</v>
      </c>
      <c r="N119" t="n">
        <v>0</v>
      </c>
      <c r="O119" t="n">
        <v>0</v>
      </c>
      <c r="P119" t="n">
        <v>0</v>
      </c>
      <c r="Q119" t="n">
        <v>1</v>
      </c>
      <c r="R119" t="n">
        <v>0</v>
      </c>
      <c r="S119" t="n">
        <v>5</v>
      </c>
      <c r="T119" t="n">
        <v>6</v>
      </c>
      <c r="U119" t="n">
        <v>5</v>
      </c>
      <c r="V119" s="2" t="inlineStr">
        <is>
          <t>Talltita
Tvåblad
Fläcknycklar
Vanliga ängsnycklar
Ängsnycklar</t>
        </is>
      </c>
      <c r="W119">
        <f>HYPERLINK("https://klasma.github.io/Logging_2313/artfynd/A 61854-2024 artfynd.xlsx", "A 61854-2024")</f>
        <v/>
      </c>
      <c r="X119">
        <f>HYPERLINK("https://klasma.github.io/Logging_2313/kartor/A 61854-2024 karta.png", "A 61854-2024")</f>
        <v/>
      </c>
      <c r="Y119">
        <f>HYPERLINK("https://klasma.github.io/Logging_2313/kartor_geotiff/A 61854-2024 georefererad karta.tif", "A 61854-2024")</f>
        <v/>
      </c>
      <c r="AA119">
        <f>HYPERLINK("https://klasma.github.io/Logging_2313/klagomål/A 61854-2024 FSC-klagomål.docx", "A 61854-2024")</f>
        <v/>
      </c>
      <c r="AB119">
        <f>HYPERLINK("https://klasma.github.io/Logging_2313/klagomålsmail/A 61854-2024 FSC-klagomål mail.docx", "A 61854-2024")</f>
        <v/>
      </c>
      <c r="AC119">
        <f>HYPERLINK("https://klasma.github.io/Logging_2313/tillsyn/A 61854-2024 tillsynsbegäran.docx", "A 61854-2024")</f>
        <v/>
      </c>
      <c r="AD119">
        <f>HYPERLINK("https://klasma.github.io/Logging_2313/tillsynsmail/A 61854-2024 tillsynsbegäran mail.docx", "A 61854-2024")</f>
        <v/>
      </c>
      <c r="AE119">
        <f>HYPERLINK("https://klasma.github.io/Logging_2313/fåglar/A 61854-2024 prioriterade fågelarter.docx", "A 61854-2024")</f>
        <v/>
      </c>
    </row>
    <row r="120" ht="15" customHeight="1">
      <c r="A120" t="inlineStr">
        <is>
          <t>A 40327-2026</t>
        </is>
      </c>
      <c r="B120" t="inlineStr">
        <is>
          <t>avverkningsanmälan</t>
        </is>
      </c>
      <c r="C120" t="inlineStr">
        <is>
          <t>Föryngringsavverkning</t>
        </is>
      </c>
      <c r="D120" s="1" t="n">
        <v>46294</v>
      </c>
      <c r="E120" s="1" t="n">
        <v>46318</v>
      </c>
      <c r="F120" t="inlineStr">
        <is>
          <t>JÄMTLANDS LÄN</t>
        </is>
      </c>
      <c r="G120" t="inlineStr">
        <is>
          <t>STRÖMSUND</t>
        </is>
      </c>
      <c r="I120" t="n">
        <v>3.3</v>
      </c>
      <c r="J120" t="n">
        <v>1</v>
      </c>
      <c r="K120" t="n">
        <v>0</v>
      </c>
      <c r="L120" t="n">
        <v>4</v>
      </c>
      <c r="M120" t="n">
        <v>1</v>
      </c>
      <c r="N120" t="n">
        <v>0</v>
      </c>
      <c r="O120" t="n">
        <v>0</v>
      </c>
      <c r="P120" t="n">
        <v>0</v>
      </c>
      <c r="Q120" t="n">
        <v>5</v>
      </c>
      <c r="R120" t="n">
        <v>1</v>
      </c>
      <c r="S120" t="n">
        <v>5</v>
      </c>
      <c r="T120" t="n">
        <v>9</v>
      </c>
      <c r="U120" t="n">
        <v>9</v>
      </c>
      <c r="V120" s="2" t="inlineStr">
        <is>
          <t>Garnlav
Harticka
Rosenticka
Tretåig hackspett
Ullticka</t>
        </is>
      </c>
      <c r="W120">
        <f>HYPERLINK("https://klasma.github.io/Logging_2313/artfynd/A 40327-2026 artfynd.xlsx", "A 40327-2026")</f>
        <v/>
      </c>
      <c r="X120">
        <f>HYPERLINK("https://klasma.github.io/Logging_2313/kartor/A 40327-2026 karta.png", "A 40327-2026")</f>
        <v/>
      </c>
      <c r="Y120">
        <f>HYPERLINK("https://klasma.github.io/Logging_2313/kartor_geotiff/A 40327-2026 georefererad karta.tif", "A 40327-2026")</f>
        <v/>
      </c>
      <c r="AA120">
        <f>HYPERLINK("https://klasma.github.io/Logging_2313/klagomål/A 40327-2026 FSC-klagomål.docx", "A 40327-2026")</f>
        <v/>
      </c>
      <c r="AB120">
        <f>HYPERLINK("https://klasma.github.io/Logging_2313/klagomålsmail/A 40327-2026 FSC-klagomål mail.docx", "A 40327-2026")</f>
        <v/>
      </c>
      <c r="AC120">
        <f>HYPERLINK("https://klasma.github.io/Logging_2313/tillsyn/A 40327-2026 tillsynsbegäran.docx", "A 40327-2026")</f>
        <v/>
      </c>
      <c r="AD120">
        <f>HYPERLINK("https://klasma.github.io/Logging_2313/tillsynsmail/A 40327-2026 tillsynsbegäran mail.docx", "A 40327-2026")</f>
        <v/>
      </c>
      <c r="AE120">
        <f>HYPERLINK("https://klasma.github.io/Logging_2313/fåglar/A 40327-2026 prioriterade fågelarter.docx", "A 40327-2026")</f>
        <v/>
      </c>
    </row>
    <row r="121" ht="15" customHeight="1">
      <c r="A121" t="inlineStr">
        <is>
          <t>A 15461-2023</t>
        </is>
      </c>
      <c r="B121" t="inlineStr">
        <is>
          <t>avverkningsanmälan</t>
        </is>
      </c>
      <c r="C121" t="inlineStr">
        <is>
          <t>Föryngringsavverkning</t>
        </is>
      </c>
      <c r="D121" s="1" t="n">
        <v>45019</v>
      </c>
      <c r="E121" s="1" t="n">
        <v>46318</v>
      </c>
      <c r="F121" t="inlineStr">
        <is>
          <t>JÄMTLANDS LÄN</t>
        </is>
      </c>
      <c r="G121" t="inlineStr">
        <is>
          <t>STRÖMSUND</t>
        </is>
      </c>
      <c r="I121" t="n">
        <v>13.9</v>
      </c>
      <c r="J121" t="n">
        <v>1</v>
      </c>
      <c r="K121" t="n">
        <v>0</v>
      </c>
      <c r="L121" t="n">
        <v>3</v>
      </c>
      <c r="M121" t="n">
        <v>1</v>
      </c>
      <c r="N121" t="n">
        <v>0</v>
      </c>
      <c r="O121" t="n">
        <v>0</v>
      </c>
      <c r="P121" t="n">
        <v>0</v>
      </c>
      <c r="Q121" t="n">
        <v>4</v>
      </c>
      <c r="R121" t="n">
        <v>1</v>
      </c>
      <c r="S121" t="n">
        <v>5</v>
      </c>
      <c r="T121" t="n">
        <v>5</v>
      </c>
      <c r="U121" t="n">
        <v>4</v>
      </c>
      <c r="V121" s="2" t="inlineStr">
        <is>
          <t>Blåfotad fagerspindling
Gultoppig fingersvamp
Harticka
Puderspindling
Fläcknycklar</t>
        </is>
      </c>
      <c r="W121">
        <f>HYPERLINK("https://klasma.github.io/Logging_2313/artfynd/A 15461-2023 artfynd.xlsx", "A 15461-2023")</f>
        <v/>
      </c>
      <c r="X121">
        <f>HYPERLINK("https://klasma.github.io/Logging_2313/kartor/A 15461-2023 karta.png", "A 15461-2023")</f>
        <v/>
      </c>
      <c r="Y121">
        <f>HYPERLINK("https://klasma.github.io/Logging_2313/kartor_geotiff/A 15461-2023 georefererad karta.tif", "A 15461-2023")</f>
        <v/>
      </c>
      <c r="AA121">
        <f>HYPERLINK("https://klasma.github.io/Logging_2313/klagomål/A 15461-2023 FSC-klagomål.docx", "A 15461-2023")</f>
        <v/>
      </c>
      <c r="AB121">
        <f>HYPERLINK("https://klasma.github.io/Logging_2313/klagomålsmail/A 15461-2023 FSC-klagomål mail.docx", "A 15461-2023")</f>
        <v/>
      </c>
      <c r="AC121">
        <f>HYPERLINK("https://klasma.github.io/Logging_2313/tillsyn/A 15461-2023 tillsynsbegäran.docx", "A 15461-2023")</f>
        <v/>
      </c>
      <c r="AD121">
        <f>HYPERLINK("https://klasma.github.io/Logging_2313/tillsynsmail/A 15461-2023 tillsynsbegäran mail.docx", "A 15461-2023")</f>
        <v/>
      </c>
    </row>
    <row r="122" ht="15" customHeight="1">
      <c r="A122" t="inlineStr">
        <is>
          <t>A 54887-2023</t>
        </is>
      </c>
      <c r="B122" t="inlineStr">
        <is>
          <t>avverkningsanmälan</t>
        </is>
      </c>
      <c r="C122" t="inlineStr">
        <is>
          <t>Avverkning för att bevara och utveckla /försöksver</t>
        </is>
      </c>
      <c r="D122" s="1" t="n">
        <v>45236</v>
      </c>
      <c r="E122" s="1" t="n">
        <v>46318</v>
      </c>
      <c r="F122" t="inlineStr">
        <is>
          <t>JÄMTLANDS LÄN</t>
        </is>
      </c>
      <c r="G122" t="inlineStr">
        <is>
          <t>STRÖMSUND</t>
        </is>
      </c>
      <c r="I122" t="n">
        <v>20.9</v>
      </c>
      <c r="J122" t="n">
        <v>1</v>
      </c>
      <c r="K122" t="n">
        <v>2</v>
      </c>
      <c r="L122" t="n">
        <v>1</v>
      </c>
      <c r="M122" t="n">
        <v>1</v>
      </c>
      <c r="N122" t="n">
        <v>0</v>
      </c>
      <c r="O122" t="n">
        <v>0</v>
      </c>
      <c r="P122" t="n">
        <v>0</v>
      </c>
      <c r="Q122" t="n">
        <v>2</v>
      </c>
      <c r="R122" t="n">
        <v>1</v>
      </c>
      <c r="S122" t="n">
        <v>5</v>
      </c>
      <c r="T122" t="n">
        <v>9</v>
      </c>
      <c r="U122" t="n">
        <v>0</v>
      </c>
      <c r="V122" s="2" t="inlineStr">
        <is>
          <t>Garnlav
Harticka
Finbräken
Kransrams
Blåsippa</t>
        </is>
      </c>
      <c r="W122">
        <f>HYPERLINK("https://klasma.github.io/Logging_2313/artfynd/A 54887-2023 artfynd.xlsx", "A 54887-2023")</f>
        <v/>
      </c>
      <c r="X122">
        <f>HYPERLINK("https://klasma.github.io/Logging_2313/kartor/A 54887-2023 karta.png", "A 54887-2023")</f>
        <v/>
      </c>
      <c r="Y122">
        <f>HYPERLINK("https://klasma.github.io/Logging_2313/kartor_geotiff/A 54887-2023 georefererad karta.tif", "A 54887-2023")</f>
        <v/>
      </c>
      <c r="AA122">
        <f>HYPERLINK("https://klasma.github.io/Logging_2313/klagomål/A 54887-2023 FSC-klagomål.docx", "A 54887-2023")</f>
        <v/>
      </c>
      <c r="AB122">
        <f>HYPERLINK("https://klasma.github.io/Logging_2313/klagomålsmail/A 54887-2023 FSC-klagomål mail.docx", "A 54887-2023")</f>
        <v/>
      </c>
      <c r="AC122">
        <f>HYPERLINK("https://klasma.github.io/Logging_2313/tillsyn/A 54887-2023 tillsynsbegäran.docx", "A 54887-2023")</f>
        <v/>
      </c>
      <c r="AD122">
        <f>HYPERLINK("https://klasma.github.io/Logging_2313/tillsynsmail/A 54887-2023 tillsynsbegäran mail.docx", "A 54887-2023")</f>
        <v/>
      </c>
    </row>
    <row r="123" ht="15" customHeight="1">
      <c r="A123" t="inlineStr">
        <is>
          <t>A 41171-2026</t>
        </is>
      </c>
      <c r="B123" t="inlineStr">
        <is>
          <t>avverkningsanmälan</t>
        </is>
      </c>
      <c r="C123" t="inlineStr">
        <is>
          <t>Föryngringsavverkning</t>
        </is>
      </c>
      <c r="D123" s="1" t="n">
        <v>46300</v>
      </c>
      <c r="E123" s="1" t="n">
        <v>46318</v>
      </c>
      <c r="F123" t="inlineStr">
        <is>
          <t>JÄMTLANDS LÄN</t>
        </is>
      </c>
      <c r="G123" t="inlineStr">
        <is>
          <t>STRÖMSUND</t>
        </is>
      </c>
      <c r="H123" t="inlineStr">
        <is>
          <t>SCA</t>
        </is>
      </c>
      <c r="I123" t="n">
        <v>2.4</v>
      </c>
      <c r="J123" t="n">
        <v>0</v>
      </c>
      <c r="K123" t="n">
        <v>2</v>
      </c>
      <c r="L123" t="n">
        <v>3</v>
      </c>
      <c r="M123" t="n">
        <v>0</v>
      </c>
      <c r="N123" t="n">
        <v>0</v>
      </c>
      <c r="O123" t="n">
        <v>0</v>
      </c>
      <c r="P123" t="n">
        <v>0</v>
      </c>
      <c r="Q123" t="n">
        <v>3</v>
      </c>
      <c r="R123" t="n">
        <v>0</v>
      </c>
      <c r="S123" t="n">
        <v>5</v>
      </c>
      <c r="T123" t="n">
        <v>5</v>
      </c>
      <c r="U123" t="n">
        <v>0</v>
      </c>
      <c r="V123" s="2" t="inlineStr">
        <is>
          <t>Doftskinn
Lunglav
Skrovellav
Luddlav
Stuplav</t>
        </is>
      </c>
      <c r="W123">
        <f>HYPERLINK("https://klasma.github.io/Logging_2313/artfynd/A 41171-2026 artfynd.xlsx", "A 41171-2026")</f>
        <v/>
      </c>
      <c r="X123">
        <f>HYPERLINK("https://klasma.github.io/Logging_2313/kartor/A 41171-2026 karta.png", "A 41171-2026")</f>
        <v/>
      </c>
      <c r="Y123">
        <f>HYPERLINK("https://klasma.github.io/Logging_2313/kartor_geotiff/A 41171-2026 georefererad karta.tif", "A 41171-2026")</f>
        <v/>
      </c>
      <c r="AA123">
        <f>HYPERLINK("https://klasma.github.io/Logging_2313/klagomål/A 41171-2026 FSC-klagomål.docx", "A 41171-2026")</f>
        <v/>
      </c>
      <c r="AB123">
        <f>HYPERLINK("https://klasma.github.io/Logging_2313/klagomålsmail/A 41171-2026 FSC-klagomål mail.docx", "A 41171-2026")</f>
        <v/>
      </c>
      <c r="AC123">
        <f>HYPERLINK("https://klasma.github.io/Logging_2313/tillsyn/A 41171-2026 tillsynsbegäran.docx", "A 41171-2026")</f>
        <v/>
      </c>
      <c r="AD123">
        <f>HYPERLINK("https://klasma.github.io/Logging_2313/tillsynsmail/A 41171-2026 tillsynsbegäran mail.docx", "A 41171-2026")</f>
        <v/>
      </c>
    </row>
    <row r="124" ht="15" customHeight="1">
      <c r="A124" t="inlineStr">
        <is>
          <t>A 69109-2021</t>
        </is>
      </c>
      <c r="B124" t="inlineStr">
        <is>
          <t>avverkningsanmälan</t>
        </is>
      </c>
      <c r="C124" t="inlineStr">
        <is>
          <t>Föryngringsavverkning</t>
        </is>
      </c>
      <c r="D124" s="1" t="n">
        <v>44530</v>
      </c>
      <c r="E124" s="1" t="n">
        <v>46318</v>
      </c>
      <c r="F124" t="inlineStr">
        <is>
          <t>JÄMTLANDS LÄN</t>
        </is>
      </c>
      <c r="G124" t="inlineStr">
        <is>
          <t>STRÖMSUND</t>
        </is>
      </c>
      <c r="I124" t="n">
        <v>11.6</v>
      </c>
      <c r="J124" t="n">
        <v>0</v>
      </c>
      <c r="K124" t="n">
        <v>5</v>
      </c>
      <c r="L124" t="n">
        <v>0</v>
      </c>
      <c r="M124" t="n">
        <v>0</v>
      </c>
      <c r="N124" t="n">
        <v>0</v>
      </c>
      <c r="O124" t="n">
        <v>0</v>
      </c>
      <c r="P124" t="n">
        <v>0</v>
      </c>
      <c r="Q124" t="n">
        <v>0</v>
      </c>
      <c r="R124" t="n">
        <v>0</v>
      </c>
      <c r="S124" t="n">
        <v>5</v>
      </c>
      <c r="T124" t="n">
        <v>5</v>
      </c>
      <c r="U124" t="n">
        <v>0</v>
      </c>
      <c r="V124" s="2" t="inlineStr">
        <is>
          <t>Kransrams
Nordlig tuffmossa
Skogsbräsma
Sotriska
Taggbräken</t>
        </is>
      </c>
      <c r="W124">
        <f>HYPERLINK("https://klasma.github.io/Logging_2313/artfynd/A 69109-2021 artfynd.xlsx", "A 69109-2021")</f>
        <v/>
      </c>
      <c r="X124">
        <f>HYPERLINK("https://klasma.github.io/Logging_2313/kartor/A 69109-2021 karta.png", "A 69109-2021")</f>
        <v/>
      </c>
      <c r="Y124">
        <f>HYPERLINK("https://klasma.github.io/Logging_2313/kartor_geotiff/A 69109-2021 georefererad karta.tif", "A 69109-2021")</f>
        <v/>
      </c>
      <c r="AA124">
        <f>HYPERLINK("https://klasma.github.io/Logging_2313/klagomål/A 69109-2021 FSC-klagomål.docx", "A 69109-2021")</f>
        <v/>
      </c>
      <c r="AB124">
        <f>HYPERLINK("https://klasma.github.io/Logging_2313/klagomålsmail/A 69109-2021 FSC-klagomål mail.docx", "A 69109-2021")</f>
        <v/>
      </c>
      <c r="AC124">
        <f>HYPERLINK("https://klasma.github.io/Logging_2313/tillsyn/A 69109-2021 tillsynsbegäran.docx", "A 69109-2021")</f>
        <v/>
      </c>
      <c r="AD124">
        <f>HYPERLINK("https://klasma.github.io/Logging_2313/tillsynsmail/A 69109-2021 tillsynsbegäran mail.docx", "A 69109-2021")</f>
        <v/>
      </c>
    </row>
    <row r="125" ht="15" customHeight="1">
      <c r="A125" t="inlineStr">
        <is>
          <t>A 35738-2026</t>
        </is>
      </c>
      <c r="B125" t="inlineStr">
        <is>
          <t>avverkningsanmälan</t>
        </is>
      </c>
      <c r="C125" t="inlineStr">
        <is>
          <t>Föryngringsavverkning</t>
        </is>
      </c>
      <c r="D125" s="1" t="n">
        <v>46265</v>
      </c>
      <c r="E125" s="1" t="n">
        <v>46318</v>
      </c>
      <c r="F125" t="inlineStr">
        <is>
          <t>JÄMTLANDS LÄN</t>
        </is>
      </c>
      <c r="G125" t="inlineStr">
        <is>
          <t>STRÖMSUND</t>
        </is>
      </c>
      <c r="H125" t="inlineStr">
        <is>
          <t>Holmen skog AB</t>
        </is>
      </c>
      <c r="I125" t="n">
        <v>2.8</v>
      </c>
      <c r="J125" t="n">
        <v>1</v>
      </c>
      <c r="K125" t="n">
        <v>0</v>
      </c>
      <c r="L125" t="n">
        <v>4</v>
      </c>
      <c r="M125" t="n">
        <v>1</v>
      </c>
      <c r="N125" t="n">
        <v>0</v>
      </c>
      <c r="O125" t="n">
        <v>0</v>
      </c>
      <c r="P125" t="n">
        <v>0</v>
      </c>
      <c r="Q125" t="n">
        <v>5</v>
      </c>
      <c r="R125" t="n">
        <v>1</v>
      </c>
      <c r="S125" t="n">
        <v>5</v>
      </c>
      <c r="T125" t="n">
        <v>11</v>
      </c>
      <c r="U125" t="n">
        <v>11</v>
      </c>
      <c r="V125" s="2" t="inlineStr">
        <is>
          <t>Garnlav
Harticka
Lunglav
Skrovellav
Tretåig hackspett</t>
        </is>
      </c>
      <c r="W125">
        <f>HYPERLINK("https://klasma.github.io/Logging_2313/artfynd/A 35738-2026 artfynd.xlsx", "A 35738-2026")</f>
        <v/>
      </c>
      <c r="X125">
        <f>HYPERLINK("https://klasma.github.io/Logging_2313/kartor/A 35738-2026 karta.png", "A 35738-2026")</f>
        <v/>
      </c>
      <c r="Y125">
        <f>HYPERLINK("https://klasma.github.io/Logging_2313/kartor_geotiff/A 35738-2026 georefererad karta.tif", "A 35738-2026")</f>
        <v/>
      </c>
      <c r="AA125">
        <f>HYPERLINK("https://klasma.github.io/Logging_2313/klagomål/A 35738-2026 FSC-klagomål.docx", "A 35738-2026")</f>
        <v/>
      </c>
      <c r="AB125">
        <f>HYPERLINK("https://klasma.github.io/Logging_2313/klagomålsmail/A 35738-2026 FSC-klagomål mail.docx", "A 35738-2026")</f>
        <v/>
      </c>
      <c r="AC125">
        <f>HYPERLINK("https://klasma.github.io/Logging_2313/tillsyn/A 35738-2026 tillsynsbegäran.docx", "A 35738-2026")</f>
        <v/>
      </c>
      <c r="AD125">
        <f>HYPERLINK("https://klasma.github.io/Logging_2313/tillsynsmail/A 35738-2026 tillsynsbegäran mail.docx", "A 35738-2026")</f>
        <v/>
      </c>
      <c r="AE125">
        <f>HYPERLINK("https://klasma.github.io/Logging_2313/fåglar/A 35738-2026 prioriterade fågelarter.docx", "A 35738-2026")</f>
        <v/>
      </c>
    </row>
    <row r="126" ht="15" customHeight="1">
      <c r="A126" t="inlineStr">
        <is>
          <t>A 58162-2025</t>
        </is>
      </c>
      <c r="B126" t="inlineStr">
        <is>
          <t>avverkningsanmälan</t>
        </is>
      </c>
      <c r="C126" t="inlineStr">
        <is>
          <t>Föryngringsavverkning</t>
        </is>
      </c>
      <c r="D126" s="1" t="n">
        <v>45982</v>
      </c>
      <c r="E126" s="1" t="n">
        <v>46318</v>
      </c>
      <c r="F126" t="inlineStr">
        <is>
          <t>JÄMTLANDS LÄN</t>
        </is>
      </c>
      <c r="G126" t="inlineStr">
        <is>
          <t>STRÖMSUND</t>
        </is>
      </c>
      <c r="I126" t="n">
        <v>4.9</v>
      </c>
      <c r="J126" t="n">
        <v>1</v>
      </c>
      <c r="K126" t="n">
        <v>1</v>
      </c>
      <c r="L126" t="n">
        <v>1</v>
      </c>
      <c r="M126" t="n">
        <v>1</v>
      </c>
      <c r="N126" t="n">
        <v>0</v>
      </c>
      <c r="O126" t="n">
        <v>0</v>
      </c>
      <c r="P126" t="n">
        <v>0</v>
      </c>
      <c r="Q126" t="n">
        <v>2</v>
      </c>
      <c r="R126" t="n">
        <v>1</v>
      </c>
      <c r="S126" t="n">
        <v>5</v>
      </c>
      <c r="T126" t="n">
        <v>39</v>
      </c>
      <c r="U126" t="n">
        <v>39</v>
      </c>
      <c r="V126" s="2" t="inlineStr">
        <is>
          <t>Garnlav
Tretåig hackspett
Norrlandslav
Brudborste
Linnea</t>
        </is>
      </c>
      <c r="W126">
        <f>HYPERLINK("https://klasma.github.io/Logging_2313/artfynd/A 58162-2025 artfynd.xlsx", "A 58162-2025")</f>
        <v/>
      </c>
      <c r="X126">
        <f>HYPERLINK("https://klasma.github.io/Logging_2313/kartor/A 58162-2025 karta.png", "A 58162-2025")</f>
        <v/>
      </c>
      <c r="Y126">
        <f>HYPERLINK("https://klasma.github.io/Logging_2313/kartor_geotiff/A 58162-2025 georefererad karta.tif", "A 58162-2025")</f>
        <v/>
      </c>
      <c r="AA126">
        <f>HYPERLINK("https://klasma.github.io/Logging_2313/klagomål/A 58162-2025 FSC-klagomål.docx", "A 58162-2025")</f>
        <v/>
      </c>
      <c r="AB126">
        <f>HYPERLINK("https://klasma.github.io/Logging_2313/klagomålsmail/A 58162-2025 FSC-klagomål mail.docx", "A 58162-2025")</f>
        <v/>
      </c>
      <c r="AC126">
        <f>HYPERLINK("https://klasma.github.io/Logging_2313/tillsyn/A 58162-2025 tillsynsbegäran.docx", "A 58162-2025")</f>
        <v/>
      </c>
      <c r="AD126">
        <f>HYPERLINK("https://klasma.github.io/Logging_2313/tillsynsmail/A 58162-2025 tillsynsbegäran mail.docx", "A 58162-2025")</f>
        <v/>
      </c>
      <c r="AE126">
        <f>HYPERLINK("https://klasma.github.io/Logging_2313/fåglar/A 58162-2025 prioriterade fågelarter.docx", "A 58162-2025")</f>
        <v/>
      </c>
    </row>
    <row r="127" ht="15" customHeight="1">
      <c r="A127" t="inlineStr">
        <is>
          <t>A 46267-2023</t>
        </is>
      </c>
      <c r="B127" t="inlineStr">
        <is>
          <t>avverkningsanmälan</t>
        </is>
      </c>
      <c r="C127" t="inlineStr">
        <is>
          <t>Avverkning för att bevara och utveckla /försöksver</t>
        </is>
      </c>
      <c r="D127" s="1" t="n">
        <v>45196</v>
      </c>
      <c r="E127" s="1" t="n">
        <v>46318</v>
      </c>
      <c r="F127" t="inlineStr">
        <is>
          <t>JÄMTLANDS LÄN</t>
        </is>
      </c>
      <c r="G127" t="inlineStr">
        <is>
          <t>STRÖMSUND</t>
        </is>
      </c>
      <c r="H127" t="inlineStr">
        <is>
          <t>SCA</t>
        </is>
      </c>
      <c r="I127" t="n">
        <v>7.5</v>
      </c>
      <c r="J127" t="n">
        <v>1</v>
      </c>
      <c r="K127" t="n">
        <v>0</v>
      </c>
      <c r="L127" t="n">
        <v>5</v>
      </c>
      <c r="M127" t="n">
        <v>0</v>
      </c>
      <c r="N127" t="n">
        <v>0</v>
      </c>
      <c r="O127" t="n">
        <v>0</v>
      </c>
      <c r="P127" t="n">
        <v>0</v>
      </c>
      <c r="Q127" t="n">
        <v>5</v>
      </c>
      <c r="R127" t="n">
        <v>0</v>
      </c>
      <c r="S127" t="n">
        <v>5</v>
      </c>
      <c r="T127" t="n">
        <v>6</v>
      </c>
      <c r="U127" t="n">
        <v>1</v>
      </c>
      <c r="V127" s="2" t="inlineStr">
        <is>
          <t>Lunglav
Rosenticka
Rynkskinn
Tretåig hackspett
Ullticka</t>
        </is>
      </c>
      <c r="W127">
        <f>HYPERLINK("https://klasma.github.io/Logging_2313/artfynd/A 46267-2023 artfynd.xlsx", "A 46267-2023")</f>
        <v/>
      </c>
      <c r="X127">
        <f>HYPERLINK("https://klasma.github.io/Logging_2313/kartor/A 46267-2023 karta.png", "A 46267-2023")</f>
        <v/>
      </c>
      <c r="Y127">
        <f>HYPERLINK("https://klasma.github.io/Logging_2313/kartor_geotiff/A 46267-2023 georefererad karta.tif", "A 46267-2023")</f>
        <v/>
      </c>
      <c r="AA127">
        <f>HYPERLINK("https://klasma.github.io/Logging_2313/klagomål/A 46267-2023 FSC-klagomål.docx", "A 46267-2023")</f>
        <v/>
      </c>
      <c r="AB127">
        <f>HYPERLINK("https://klasma.github.io/Logging_2313/klagomålsmail/A 46267-2023 FSC-klagomål mail.docx", "A 46267-2023")</f>
        <v/>
      </c>
      <c r="AC127">
        <f>HYPERLINK("https://klasma.github.io/Logging_2313/tillsyn/A 46267-2023 tillsynsbegäran.docx", "A 46267-2023")</f>
        <v/>
      </c>
      <c r="AD127">
        <f>HYPERLINK("https://klasma.github.io/Logging_2313/tillsynsmail/A 46267-2023 tillsynsbegäran mail.docx", "A 46267-2023")</f>
        <v/>
      </c>
      <c r="AE127">
        <f>HYPERLINK("https://klasma.github.io/Logging_2313/fåglar/A 46267-2023 prioriterade fågelarter.docx", "A 46267-2023")</f>
        <v/>
      </c>
    </row>
    <row r="128" ht="15" customHeight="1">
      <c r="A128" t="inlineStr">
        <is>
          <t>A 18253-2025</t>
        </is>
      </c>
      <c r="B128" t="inlineStr">
        <is>
          <t>avverkningsanmälan</t>
        </is>
      </c>
      <c r="C128" t="inlineStr">
        <is>
          <t>Föryngringsavverkning</t>
        </is>
      </c>
      <c r="D128" s="1" t="n">
        <v>45762</v>
      </c>
      <c r="E128" s="1" t="n">
        <v>46318</v>
      </c>
      <c r="F128" t="inlineStr">
        <is>
          <t>JÄMTLANDS LÄN</t>
        </is>
      </c>
      <c r="G128" t="inlineStr">
        <is>
          <t>STRÖMSUND</t>
        </is>
      </c>
      <c r="H128" t="inlineStr">
        <is>
          <t>SCA</t>
        </is>
      </c>
      <c r="I128" t="n">
        <v>5.4</v>
      </c>
      <c r="J128" t="n">
        <v>0</v>
      </c>
      <c r="K128" t="n">
        <v>0</v>
      </c>
      <c r="L128" t="n">
        <v>4</v>
      </c>
      <c r="M128" t="n">
        <v>1</v>
      </c>
      <c r="N128" t="n">
        <v>0</v>
      </c>
      <c r="O128" t="n">
        <v>0</v>
      </c>
      <c r="P128" t="n">
        <v>0</v>
      </c>
      <c r="Q128" t="n">
        <v>5</v>
      </c>
      <c r="R128" t="n">
        <v>1</v>
      </c>
      <c r="S128" t="n">
        <v>5</v>
      </c>
      <c r="T128" t="n">
        <v>5</v>
      </c>
      <c r="U128" t="n">
        <v>0</v>
      </c>
      <c r="V128" s="2" t="inlineStr">
        <is>
          <t>Garnlav
Dropptaggsvamp
Lunglav
Mörk kolflarnlav
Vedskivlav</t>
        </is>
      </c>
      <c r="W128">
        <f>HYPERLINK("https://klasma.github.io/Logging_2313/artfynd/A 18253-2025 artfynd.xlsx", "A 18253-2025")</f>
        <v/>
      </c>
      <c r="X128">
        <f>HYPERLINK("https://klasma.github.io/Logging_2313/kartor/A 18253-2025 karta.png", "A 18253-2025")</f>
        <v/>
      </c>
      <c r="Y128">
        <f>HYPERLINK("https://klasma.github.io/Logging_2313/kartor_geotiff/A 18253-2025 georefererad karta.tif", "A 18253-2025")</f>
        <v/>
      </c>
      <c r="AA128">
        <f>HYPERLINK("https://klasma.github.io/Logging_2313/klagomål/A 18253-2025 FSC-klagomål.docx", "A 18253-2025")</f>
        <v/>
      </c>
      <c r="AB128">
        <f>HYPERLINK("https://klasma.github.io/Logging_2313/klagomålsmail/A 18253-2025 FSC-klagomål mail.docx", "A 18253-2025")</f>
        <v/>
      </c>
      <c r="AC128">
        <f>HYPERLINK("https://klasma.github.io/Logging_2313/tillsyn/A 18253-2025 tillsynsbegäran.docx", "A 18253-2025")</f>
        <v/>
      </c>
      <c r="AD128">
        <f>HYPERLINK("https://klasma.github.io/Logging_2313/tillsynsmail/A 18253-2025 tillsynsbegäran mail.docx", "A 18253-2025")</f>
        <v/>
      </c>
    </row>
    <row r="129" ht="15" customHeight="1">
      <c r="A129" t="inlineStr">
        <is>
          <t>A 36910-2024</t>
        </is>
      </c>
      <c r="B129" t="inlineStr">
        <is>
          <t>avverkningsanmälan</t>
        </is>
      </c>
      <c r="C129" t="inlineStr">
        <is>
          <t>Föryngringsavverkning</t>
        </is>
      </c>
      <c r="D129" s="1" t="n">
        <v>45538</v>
      </c>
      <c r="E129" s="1" t="n">
        <v>46318</v>
      </c>
      <c r="F129" t="inlineStr">
        <is>
          <t>JÄMTLANDS LÄN</t>
        </is>
      </c>
      <c r="G129" t="inlineStr">
        <is>
          <t>STRÖMSUND</t>
        </is>
      </c>
      <c r="H129" t="inlineStr">
        <is>
          <t>SCA</t>
        </is>
      </c>
      <c r="I129" t="n">
        <v>4.8</v>
      </c>
      <c r="J129" t="n">
        <v>0</v>
      </c>
      <c r="K129" t="n">
        <v>0</v>
      </c>
      <c r="L129" t="n">
        <v>4</v>
      </c>
      <c r="M129" t="n">
        <v>1</v>
      </c>
      <c r="N129" t="n">
        <v>0</v>
      </c>
      <c r="O129" t="n">
        <v>0</v>
      </c>
      <c r="P129" t="n">
        <v>0</v>
      </c>
      <c r="Q129" t="n">
        <v>5</v>
      </c>
      <c r="R129" t="n">
        <v>1</v>
      </c>
      <c r="S129" t="n">
        <v>5</v>
      </c>
      <c r="T129" t="n">
        <v>11</v>
      </c>
      <c r="U129" t="n">
        <v>0</v>
      </c>
      <c r="V129" s="2" t="inlineStr">
        <is>
          <t>Skrovlig taggsvamp
Blå taggsvamp
Dropptaggsvamp
Orange taggsvamp
Skarp dropptaggsvamp</t>
        </is>
      </c>
      <c r="W129">
        <f>HYPERLINK("https://klasma.github.io/Logging_2313/artfynd/A 36910-2024 artfynd.xlsx", "A 36910-2024")</f>
        <v/>
      </c>
      <c r="X129">
        <f>HYPERLINK("https://klasma.github.io/Logging_2313/kartor/A 36910-2024 karta.png", "A 36910-2024")</f>
        <v/>
      </c>
      <c r="Y129">
        <f>HYPERLINK("https://klasma.github.io/Logging_2313/kartor_geotiff/A 36910-2024 georefererad karta.tif", "A 36910-2024")</f>
        <v/>
      </c>
      <c r="AA129">
        <f>HYPERLINK("https://klasma.github.io/Logging_2313/klagomål/A 36910-2024 FSC-klagomål.docx", "A 36910-2024")</f>
        <v/>
      </c>
      <c r="AB129">
        <f>HYPERLINK("https://klasma.github.io/Logging_2313/klagomålsmail/A 36910-2024 FSC-klagomål mail.docx", "A 36910-2024")</f>
        <v/>
      </c>
      <c r="AC129">
        <f>HYPERLINK("https://klasma.github.io/Logging_2313/tillsyn/A 36910-2024 tillsynsbegäran.docx", "A 36910-2024")</f>
        <v/>
      </c>
      <c r="AD129">
        <f>HYPERLINK("https://klasma.github.io/Logging_2313/tillsynsmail/A 36910-2024 tillsynsbegäran mail.docx", "A 36910-2024")</f>
        <v/>
      </c>
    </row>
    <row r="130" ht="15" customHeight="1">
      <c r="A130" t="inlineStr">
        <is>
          <t>A 538-2023</t>
        </is>
      </c>
      <c r="B130" t="inlineStr">
        <is>
          <t>avverkningsanmälan</t>
        </is>
      </c>
      <c r="C130" t="inlineStr">
        <is>
          <t>Föryngringsavverkning</t>
        </is>
      </c>
      <c r="D130" s="1" t="n">
        <v>44930</v>
      </c>
      <c r="E130" s="1" t="n">
        <v>46318</v>
      </c>
      <c r="F130" t="inlineStr">
        <is>
          <t>JÄMTLANDS LÄN</t>
        </is>
      </c>
      <c r="G130" t="inlineStr">
        <is>
          <t>STRÖMSUND</t>
        </is>
      </c>
      <c r="I130" t="n">
        <v>108.6</v>
      </c>
      <c r="J130" t="n">
        <v>2</v>
      </c>
      <c r="K130" t="n">
        <v>1</v>
      </c>
      <c r="L130" t="n">
        <v>3</v>
      </c>
      <c r="M130" t="n">
        <v>1</v>
      </c>
      <c r="N130" t="n">
        <v>0</v>
      </c>
      <c r="O130" t="n">
        <v>0</v>
      </c>
      <c r="P130" t="n">
        <v>0</v>
      </c>
      <c r="Q130" t="n">
        <v>4</v>
      </c>
      <c r="R130" t="n">
        <v>1</v>
      </c>
      <c r="S130" t="n">
        <v>5</v>
      </c>
      <c r="T130" t="n">
        <v>12</v>
      </c>
      <c r="U130" t="n">
        <v>12</v>
      </c>
      <c r="V130" s="2" t="inlineStr">
        <is>
          <t>Garnlav
Skrovellav
Talltita
Tretåig hackspett
Stuplav</t>
        </is>
      </c>
      <c r="W130">
        <f>HYPERLINK("https://klasma.github.io/Logging_2313/artfynd/A 538-2023 artfynd.xlsx", "A 538-2023")</f>
        <v/>
      </c>
      <c r="X130">
        <f>HYPERLINK("https://klasma.github.io/Logging_2313/kartor/A 538-2023 karta.png", "A 538-2023")</f>
        <v/>
      </c>
      <c r="Y130">
        <f>HYPERLINK("https://klasma.github.io/Logging_2313/kartor_geotiff/A 538-2023 georefererad karta.tif", "A 538-2023")</f>
        <v/>
      </c>
      <c r="AA130">
        <f>HYPERLINK("https://klasma.github.io/Logging_2313/klagomål/A 538-2023 FSC-klagomål.docx", "A 538-2023")</f>
        <v/>
      </c>
      <c r="AB130">
        <f>HYPERLINK("https://klasma.github.io/Logging_2313/klagomålsmail/A 538-2023 FSC-klagomål mail.docx", "A 538-2023")</f>
        <v/>
      </c>
      <c r="AC130">
        <f>HYPERLINK("https://klasma.github.io/Logging_2313/tillsyn/A 538-2023 tillsynsbegäran.docx", "A 538-2023")</f>
        <v/>
      </c>
      <c r="AD130">
        <f>HYPERLINK("https://klasma.github.io/Logging_2313/tillsynsmail/A 538-2023 tillsynsbegäran mail.docx", "A 538-2023")</f>
        <v/>
      </c>
      <c r="AE130">
        <f>HYPERLINK("https://klasma.github.io/Logging_2313/fåglar/A 538-2023 prioriterade fågelarter.docx", "A 538-2023")</f>
        <v/>
      </c>
    </row>
    <row r="131" ht="15" customHeight="1">
      <c r="A131" t="inlineStr">
        <is>
          <t>S 4125-2022</t>
        </is>
      </c>
      <c r="B131" t="inlineStr">
        <is>
          <t>samrådsanmälan</t>
        </is>
      </c>
      <c r="C131" t="inlineStr">
        <is>
          <t>Annan skogsbruksåtgärd</t>
        </is>
      </c>
      <c r="D131" s="1" t="n">
        <v>44763</v>
      </c>
      <c r="E131" s="1" t="n">
        <v>46318</v>
      </c>
      <c r="F131" t="inlineStr">
        <is>
          <t>JÄMTLANDS LÄN</t>
        </is>
      </c>
      <c r="G131" t="inlineStr">
        <is>
          <t>STRÖMSUND</t>
        </is>
      </c>
      <c r="H131" t="inlineStr">
        <is>
          <t>SCA</t>
        </is>
      </c>
      <c r="I131" t="n">
        <v>31.6</v>
      </c>
      <c r="J131" t="n">
        <v>1</v>
      </c>
      <c r="K131" t="n">
        <v>1</v>
      </c>
      <c r="L131" t="n">
        <v>2</v>
      </c>
      <c r="M131" t="n">
        <v>2</v>
      </c>
      <c r="N131" t="n">
        <v>0</v>
      </c>
      <c r="O131" t="n">
        <v>0</v>
      </c>
      <c r="P131" t="n">
        <v>0</v>
      </c>
      <c r="Q131" t="n">
        <v>4</v>
      </c>
      <c r="R131" t="n">
        <v>2</v>
      </c>
      <c r="S131" t="n">
        <v>5</v>
      </c>
      <c r="T131" t="n">
        <v>11</v>
      </c>
      <c r="U131" t="n">
        <v>2</v>
      </c>
      <c r="V131" s="2" t="inlineStr">
        <is>
          <t>Gränsticka
Norsk näverlav
Stjärntagging
Tretåig hackspett
Sotlav</t>
        </is>
      </c>
      <c r="W131">
        <f>HYPERLINK("https://klasma.github.io/Logging_2313/artfynd/S 4125-2022 artfynd.xlsx", "S 4125-2022")</f>
        <v/>
      </c>
      <c r="X131">
        <f>HYPERLINK("https://klasma.github.io/Logging_2313/kartor/S 4125-2022 karta.png", "S 4125-2022")</f>
        <v/>
      </c>
      <c r="Y131">
        <f>HYPERLINK("https://klasma.github.io/Logging_2313/kartor_geotiff/S 4125-2022 georefererad karta.tif", "S 4125-2022")</f>
        <v/>
      </c>
      <c r="AA131">
        <f>HYPERLINK("https://klasma.github.io/Logging_2313/klagomål/S 4125-2022 FSC-klagomål.docx", "S 4125-2022")</f>
        <v/>
      </c>
      <c r="AB131">
        <f>HYPERLINK("https://klasma.github.io/Logging_2313/klagomålsmail/S 4125-2022 FSC-klagomål mail.docx", "S 4125-2022")</f>
        <v/>
      </c>
      <c r="AC131">
        <f>HYPERLINK("https://klasma.github.io/Logging_2313/tillsyn/S 4125-2022 tillsynsbegäran.docx", "S 4125-2022")</f>
        <v/>
      </c>
      <c r="AD131">
        <f>HYPERLINK("https://klasma.github.io/Logging_2313/tillsynsmail/S 4125-2022 tillsynsbegäran mail.docx", "S 4125-2022")</f>
        <v/>
      </c>
      <c r="AE131">
        <f>HYPERLINK("https://klasma.github.io/Logging_2313/fåglar/S 4125-2022 prioriterade fågelarter.docx", "S 4125-2022")</f>
        <v/>
      </c>
    </row>
    <row r="132" ht="15" customHeight="1">
      <c r="A132" t="inlineStr">
        <is>
          <t>S 1878-2023</t>
        </is>
      </c>
      <c r="B132" t="inlineStr">
        <is>
          <t>samrådsanmälan</t>
        </is>
      </c>
      <c r="C132" t="inlineStr">
        <is>
          <t>Annan skogsbruksåtgärd</t>
        </is>
      </c>
      <c r="D132" s="1" t="n">
        <v>45076</v>
      </c>
      <c r="E132" s="1" t="n">
        <v>46318</v>
      </c>
      <c r="F132" t="inlineStr">
        <is>
          <t>JÄMTLANDS LÄN</t>
        </is>
      </c>
      <c r="G132" t="inlineStr">
        <is>
          <t>STRÖMSUND</t>
        </is>
      </c>
      <c r="I132" t="n">
        <v>1.4</v>
      </c>
      <c r="J132" t="n">
        <v>0</v>
      </c>
      <c r="K132" t="n">
        <v>3</v>
      </c>
      <c r="L132" t="n">
        <v>2</v>
      </c>
      <c r="M132" t="n">
        <v>0</v>
      </c>
      <c r="N132" t="n">
        <v>0</v>
      </c>
      <c r="O132" t="n">
        <v>0</v>
      </c>
      <c r="P132" t="n">
        <v>0</v>
      </c>
      <c r="Q132" t="n">
        <v>2</v>
      </c>
      <c r="R132" t="n">
        <v>0</v>
      </c>
      <c r="S132" t="n">
        <v>5</v>
      </c>
      <c r="T132" t="n">
        <v>5</v>
      </c>
      <c r="U132" t="n">
        <v>0</v>
      </c>
      <c r="V132" s="2" t="inlineStr">
        <is>
          <t>Rosenticka
Rynkskinn
Bronshjon
Luddlav
Stuplav</t>
        </is>
      </c>
      <c r="W132">
        <f>HYPERLINK("https://klasma.github.io/Logging_2313/artfynd/S 1878-2023 artfynd.xlsx", "S 1878-2023")</f>
        <v/>
      </c>
      <c r="X132">
        <f>HYPERLINK("https://klasma.github.io/Logging_2313/kartor/S 1878-2023 karta.png", "S 1878-2023")</f>
        <v/>
      </c>
      <c r="Y132">
        <f>HYPERLINK("https://klasma.github.io/Logging_2313/kartor_geotiff/S 1878-2023 georefererad karta.tif", "S 1878-2023")</f>
        <v/>
      </c>
      <c r="AA132">
        <f>HYPERLINK("https://klasma.github.io/Logging_2313/klagomål/S 1878-2023 FSC-klagomål.docx", "S 1878-2023")</f>
        <v/>
      </c>
      <c r="AB132">
        <f>HYPERLINK("https://klasma.github.io/Logging_2313/klagomålsmail/S 1878-2023 FSC-klagomål mail.docx", "S 1878-2023")</f>
        <v/>
      </c>
      <c r="AC132">
        <f>HYPERLINK("https://klasma.github.io/Logging_2313/tillsyn/S 1878-2023 tillsynsbegäran.docx", "S 1878-2023")</f>
        <v/>
      </c>
      <c r="AD132">
        <f>HYPERLINK("https://klasma.github.io/Logging_2313/tillsynsmail/S 1878-2023 tillsynsbegäran mail.docx", "S 1878-2023")</f>
        <v/>
      </c>
    </row>
    <row r="133" ht="15" customHeight="1">
      <c r="A133" t="inlineStr">
        <is>
          <t>A 54582-2022</t>
        </is>
      </c>
      <c r="B133" t="inlineStr">
        <is>
          <t>avverkningsanmälan</t>
        </is>
      </c>
      <c r="C133" t="inlineStr">
        <is>
          <t>Avverkning för att bevara och utveckla /försöksver</t>
        </is>
      </c>
      <c r="D133" s="1" t="n">
        <v>44882</v>
      </c>
      <c r="E133" s="1" t="n">
        <v>46318</v>
      </c>
      <c r="F133" t="inlineStr">
        <is>
          <t>JÄMTLANDS LÄN</t>
        </is>
      </c>
      <c r="G133" t="inlineStr">
        <is>
          <t>STRÖMSUND</t>
        </is>
      </c>
      <c r="H133" t="inlineStr">
        <is>
          <t>SCA</t>
        </is>
      </c>
      <c r="I133" t="n">
        <v>10.1</v>
      </c>
      <c r="J133" t="n">
        <v>0</v>
      </c>
      <c r="K133" t="n">
        <v>0</v>
      </c>
      <c r="L133" t="n">
        <v>4</v>
      </c>
      <c r="M133" t="n">
        <v>0</v>
      </c>
      <c r="N133" t="n">
        <v>0</v>
      </c>
      <c r="O133" t="n">
        <v>0</v>
      </c>
      <c r="P133" t="n">
        <v>0</v>
      </c>
      <c r="Q133" t="n">
        <v>4</v>
      </c>
      <c r="R133" t="n">
        <v>0</v>
      </c>
      <c r="S133" t="n">
        <v>4</v>
      </c>
      <c r="T133" t="n">
        <v>5</v>
      </c>
      <c r="U133" t="n">
        <v>5</v>
      </c>
      <c r="V133" s="2" t="inlineStr">
        <is>
          <t>Dropptaggsvamp
Lunglav
Ullticka
Vitgrynig nållav</t>
        </is>
      </c>
      <c r="W133">
        <f>HYPERLINK("https://klasma.github.io/Logging_2313/artfynd/A 54582-2022 artfynd.xlsx", "A 54582-2022")</f>
        <v/>
      </c>
      <c r="X133">
        <f>HYPERLINK("https://klasma.github.io/Logging_2313/kartor/A 54582-2022 karta.png", "A 54582-2022")</f>
        <v/>
      </c>
      <c r="Y133">
        <f>HYPERLINK("https://klasma.github.io/Logging_2313/kartor_geotiff/A 54582-2022 georefererad karta.tif", "A 54582-2022")</f>
        <v/>
      </c>
      <c r="AA133">
        <f>HYPERLINK("https://klasma.github.io/Logging_2313/klagomål/A 54582-2022 FSC-klagomål.docx", "A 54582-2022")</f>
        <v/>
      </c>
      <c r="AB133">
        <f>HYPERLINK("https://klasma.github.io/Logging_2313/klagomålsmail/A 54582-2022 FSC-klagomål mail.docx", "A 54582-2022")</f>
        <v/>
      </c>
      <c r="AC133">
        <f>HYPERLINK("https://klasma.github.io/Logging_2313/tillsyn/A 54582-2022 tillsynsbegäran.docx", "A 54582-2022")</f>
        <v/>
      </c>
      <c r="AD133">
        <f>HYPERLINK("https://klasma.github.io/Logging_2313/tillsynsmail/A 54582-2022 tillsynsbegäran mail.docx", "A 54582-2022")</f>
        <v/>
      </c>
    </row>
    <row r="134" ht="15" customHeight="1">
      <c r="A134" t="inlineStr">
        <is>
          <t>A 29302-2022</t>
        </is>
      </c>
      <c r="B134" t="inlineStr">
        <is>
          <t>avverkningsanmälan</t>
        </is>
      </c>
      <c r="C134" t="inlineStr">
        <is>
          <t>Avverkning för att bevara och utveckla /försöksver</t>
        </is>
      </c>
      <c r="D134" s="1" t="n">
        <v>44750</v>
      </c>
      <c r="E134" s="1" t="n">
        <v>46318</v>
      </c>
      <c r="F134" t="inlineStr">
        <is>
          <t>JÄMTLANDS LÄN</t>
        </is>
      </c>
      <c r="G134" t="inlineStr">
        <is>
          <t>STRÖMSUND</t>
        </is>
      </c>
      <c r="H134" t="inlineStr">
        <is>
          <t>SCA</t>
        </is>
      </c>
      <c r="I134" t="n">
        <v>1.9</v>
      </c>
      <c r="J134" t="n">
        <v>0</v>
      </c>
      <c r="K134" t="n">
        <v>1</v>
      </c>
      <c r="L134" t="n">
        <v>1</v>
      </c>
      <c r="M134" t="n">
        <v>2</v>
      </c>
      <c r="N134" t="n">
        <v>0</v>
      </c>
      <c r="O134" t="n">
        <v>0</v>
      </c>
      <c r="P134" t="n">
        <v>0</v>
      </c>
      <c r="Q134" t="n">
        <v>3</v>
      </c>
      <c r="R134" t="n">
        <v>2</v>
      </c>
      <c r="S134" t="n">
        <v>4</v>
      </c>
      <c r="T134" t="n">
        <v>4</v>
      </c>
      <c r="U134" t="n">
        <v>0</v>
      </c>
      <c r="V134" s="2" t="inlineStr">
        <is>
          <t>Garnlav
Ostticka
Vitgrynig nållav
Källmossa</t>
        </is>
      </c>
      <c r="W134">
        <f>HYPERLINK("https://klasma.github.io/Logging_2313/artfynd/A 29302-2022 artfynd.xlsx", "A 29302-2022")</f>
        <v/>
      </c>
      <c r="X134">
        <f>HYPERLINK("https://klasma.github.io/Logging_2313/kartor/A 29302-2022 karta.png", "A 29302-2022")</f>
        <v/>
      </c>
      <c r="Y134">
        <f>HYPERLINK("https://klasma.github.io/Logging_2313/kartor_geotiff/A 29302-2022 georefererad karta.tif", "A 29302-2022")</f>
        <v/>
      </c>
      <c r="AA134">
        <f>HYPERLINK("https://klasma.github.io/Logging_2313/klagomål/A 29302-2022 FSC-klagomål.docx", "A 29302-2022")</f>
        <v/>
      </c>
      <c r="AB134">
        <f>HYPERLINK("https://klasma.github.io/Logging_2313/klagomålsmail/A 29302-2022 FSC-klagomål mail.docx", "A 29302-2022")</f>
        <v/>
      </c>
      <c r="AC134">
        <f>HYPERLINK("https://klasma.github.io/Logging_2313/tillsyn/A 29302-2022 tillsynsbegäran.docx", "A 29302-2022")</f>
        <v/>
      </c>
      <c r="AD134">
        <f>HYPERLINK("https://klasma.github.io/Logging_2313/tillsynsmail/A 29302-2022 tillsynsbegäran mail.docx", "A 29302-2022")</f>
        <v/>
      </c>
    </row>
    <row r="135" ht="15" customHeight="1">
      <c r="A135" t="inlineStr">
        <is>
          <t>A 57071-2024</t>
        </is>
      </c>
      <c r="B135" t="inlineStr">
        <is>
          <t>avverkningsanmälan</t>
        </is>
      </c>
      <c r="C135" t="inlineStr">
        <is>
          <t>Avverkning för att bevara och utveckla /försöksver</t>
        </is>
      </c>
      <c r="D135" s="1" t="n">
        <v>45629</v>
      </c>
      <c r="E135" s="1" t="n">
        <v>46318</v>
      </c>
      <c r="F135" t="inlineStr">
        <is>
          <t>JÄMTLANDS LÄN</t>
        </is>
      </c>
      <c r="G135" t="inlineStr">
        <is>
          <t>STRÖMSUND</t>
        </is>
      </c>
      <c r="H135" t="inlineStr">
        <is>
          <t>SCA</t>
        </is>
      </c>
      <c r="I135" t="n">
        <v>3.3</v>
      </c>
      <c r="J135" t="n">
        <v>0</v>
      </c>
      <c r="K135" t="n">
        <v>0</v>
      </c>
      <c r="L135" t="n">
        <v>3</v>
      </c>
      <c r="M135" t="n">
        <v>1</v>
      </c>
      <c r="N135" t="n">
        <v>0</v>
      </c>
      <c r="O135" t="n">
        <v>0</v>
      </c>
      <c r="P135" t="n">
        <v>0</v>
      </c>
      <c r="Q135" t="n">
        <v>4</v>
      </c>
      <c r="R135" t="n">
        <v>1</v>
      </c>
      <c r="S135" t="n">
        <v>4</v>
      </c>
      <c r="T135" t="n">
        <v>7</v>
      </c>
      <c r="U135" t="n">
        <v>0</v>
      </c>
      <c r="V135" s="2" t="inlineStr">
        <is>
          <t>Gränsticka
Harticka
Lunglav
Ullticka</t>
        </is>
      </c>
      <c r="W135">
        <f>HYPERLINK("https://klasma.github.io/Logging_2313/artfynd/A 57071-2024 artfynd.xlsx", "A 57071-2024")</f>
        <v/>
      </c>
      <c r="X135">
        <f>HYPERLINK("https://klasma.github.io/Logging_2313/kartor/A 57071-2024 karta.png", "A 57071-2024")</f>
        <v/>
      </c>
      <c r="Y135">
        <f>HYPERLINK("https://klasma.github.io/Logging_2313/kartor_geotiff/A 57071-2024 georefererad karta.tif", "A 57071-2024")</f>
        <v/>
      </c>
      <c r="AA135">
        <f>HYPERLINK("https://klasma.github.io/Logging_2313/klagomål/A 57071-2024 FSC-klagomål.docx", "A 57071-2024")</f>
        <v/>
      </c>
      <c r="AB135">
        <f>HYPERLINK("https://klasma.github.io/Logging_2313/klagomålsmail/A 57071-2024 FSC-klagomål mail.docx", "A 57071-2024")</f>
        <v/>
      </c>
      <c r="AC135">
        <f>HYPERLINK("https://klasma.github.io/Logging_2313/tillsyn/A 57071-2024 tillsynsbegäran.docx", "A 57071-2024")</f>
        <v/>
      </c>
      <c r="AD135">
        <f>HYPERLINK("https://klasma.github.io/Logging_2313/tillsynsmail/A 57071-2024 tillsynsbegäran mail.docx", "A 57071-2024")</f>
        <v/>
      </c>
    </row>
    <row r="136" ht="15" customHeight="1">
      <c r="A136" t="inlineStr">
        <is>
          <t>A 27622-2025</t>
        </is>
      </c>
      <c r="B136" t="inlineStr">
        <is>
          <t>avverkningsanmälan</t>
        </is>
      </c>
      <c r="C136" t="inlineStr">
        <is>
          <t>Föryngringsavverkning</t>
        </is>
      </c>
      <c r="D136" s="1" t="n">
        <v>45813</v>
      </c>
      <c r="E136" s="1" t="n">
        <v>46318</v>
      </c>
      <c r="F136" t="inlineStr">
        <is>
          <t>JÄMTLANDS LÄN</t>
        </is>
      </c>
      <c r="G136" t="inlineStr">
        <is>
          <t>STRÖMSUND</t>
        </is>
      </c>
      <c r="H136" t="inlineStr">
        <is>
          <t>SCA</t>
        </is>
      </c>
      <c r="I136" t="n">
        <v>2.4</v>
      </c>
      <c r="J136" t="n">
        <v>2</v>
      </c>
      <c r="K136" t="n">
        <v>2</v>
      </c>
      <c r="L136" t="n">
        <v>1</v>
      </c>
      <c r="M136" t="n">
        <v>0</v>
      </c>
      <c r="N136" t="n">
        <v>1</v>
      </c>
      <c r="O136" t="n">
        <v>0</v>
      </c>
      <c r="P136" t="n">
        <v>0</v>
      </c>
      <c r="Q136" t="n">
        <v>2</v>
      </c>
      <c r="R136" t="n">
        <v>1</v>
      </c>
      <c r="S136" t="n">
        <v>4</v>
      </c>
      <c r="T136" t="n">
        <v>4</v>
      </c>
      <c r="U136" t="n">
        <v>1</v>
      </c>
      <c r="V136" s="2" t="inlineStr">
        <is>
          <t>Mikroskapania
Vaddporing
Guckusko
Svart trolldruva</t>
        </is>
      </c>
      <c r="W136">
        <f>HYPERLINK("https://klasma.github.io/Logging_2313/artfynd/A 27622-2025 artfynd.xlsx", "A 27622-2025")</f>
        <v/>
      </c>
      <c r="X136">
        <f>HYPERLINK("https://klasma.github.io/Logging_2313/kartor/A 27622-2025 karta.png", "A 27622-2025")</f>
        <v/>
      </c>
      <c r="Y136">
        <f>HYPERLINK("https://klasma.github.io/Logging_2313/kartor_geotiff/A 27622-2025 georefererad karta.tif", "A 27622-2025")</f>
        <v/>
      </c>
      <c r="AA136">
        <f>HYPERLINK("https://klasma.github.io/Logging_2313/klagomål/A 27622-2025 FSC-klagomål.docx", "A 27622-2025")</f>
        <v/>
      </c>
      <c r="AB136">
        <f>HYPERLINK("https://klasma.github.io/Logging_2313/klagomålsmail/A 27622-2025 FSC-klagomål mail.docx", "A 27622-2025")</f>
        <v/>
      </c>
      <c r="AC136">
        <f>HYPERLINK("https://klasma.github.io/Logging_2313/tillsyn/A 27622-2025 tillsynsbegäran.docx", "A 27622-2025")</f>
        <v/>
      </c>
      <c r="AD136">
        <f>HYPERLINK("https://klasma.github.io/Logging_2313/tillsynsmail/A 27622-2025 tillsynsbegäran mail.docx", "A 27622-2025")</f>
        <v/>
      </c>
    </row>
    <row r="137" ht="15" customHeight="1">
      <c r="A137" t="inlineStr">
        <is>
          <t>A 30554-2025</t>
        </is>
      </c>
      <c r="B137" t="inlineStr">
        <is>
          <t>avverkningsanmälan</t>
        </is>
      </c>
      <c r="C137" t="inlineStr">
        <is>
          <t>Föryngringsavverkning</t>
        </is>
      </c>
      <c r="D137" s="1" t="n">
        <v>45831</v>
      </c>
      <c r="E137" s="1" t="n">
        <v>46318</v>
      </c>
      <c r="F137" t="inlineStr">
        <is>
          <t>JÄMTLANDS LÄN</t>
        </is>
      </c>
      <c r="G137" t="inlineStr">
        <is>
          <t>STRÖMSUND</t>
        </is>
      </c>
      <c r="H137" t="inlineStr">
        <is>
          <t>SCA</t>
        </is>
      </c>
      <c r="I137" t="n">
        <v>15.5</v>
      </c>
      <c r="J137" t="n">
        <v>2</v>
      </c>
      <c r="K137" t="n">
        <v>0</v>
      </c>
      <c r="L137" t="n">
        <v>3</v>
      </c>
      <c r="M137" t="n">
        <v>0</v>
      </c>
      <c r="N137" t="n">
        <v>0</v>
      </c>
      <c r="O137" t="n">
        <v>0</v>
      </c>
      <c r="P137" t="n">
        <v>0</v>
      </c>
      <c r="Q137" t="n">
        <v>3</v>
      </c>
      <c r="R137" t="n">
        <v>0</v>
      </c>
      <c r="S137" t="n">
        <v>4</v>
      </c>
      <c r="T137" t="n">
        <v>4</v>
      </c>
      <c r="U137" t="n">
        <v>0</v>
      </c>
      <c r="V137" s="2" t="inlineStr">
        <is>
          <t>Skogshare
Tretåig hackspett
Vitgrynig nållav
Spillkråka</t>
        </is>
      </c>
      <c r="W137">
        <f>HYPERLINK("https://klasma.github.io/Logging_2313/artfynd/A 30554-2025 artfynd.xlsx", "A 30554-2025")</f>
        <v/>
      </c>
      <c r="X137">
        <f>HYPERLINK("https://klasma.github.io/Logging_2313/kartor/A 30554-2025 karta.png", "A 30554-2025")</f>
        <v/>
      </c>
      <c r="Y137">
        <f>HYPERLINK("https://klasma.github.io/Logging_2313/kartor_geotiff/A 30554-2025 georefererad karta.tif", "A 30554-2025")</f>
        <v/>
      </c>
      <c r="AA137">
        <f>HYPERLINK("https://klasma.github.io/Logging_2313/klagomål/A 30554-2025 FSC-klagomål.docx", "A 30554-2025")</f>
        <v/>
      </c>
      <c r="AB137">
        <f>HYPERLINK("https://klasma.github.io/Logging_2313/klagomålsmail/A 30554-2025 FSC-klagomål mail.docx", "A 30554-2025")</f>
        <v/>
      </c>
      <c r="AC137">
        <f>HYPERLINK("https://klasma.github.io/Logging_2313/tillsyn/A 30554-2025 tillsynsbegäran.docx", "A 30554-2025")</f>
        <v/>
      </c>
      <c r="AD137">
        <f>HYPERLINK("https://klasma.github.io/Logging_2313/tillsynsmail/A 30554-2025 tillsynsbegäran mail.docx", "A 30554-2025")</f>
        <v/>
      </c>
      <c r="AE137">
        <f>HYPERLINK("https://klasma.github.io/Logging_2313/fåglar/A 30554-2025 prioriterade fågelarter.docx", "A 30554-2025")</f>
        <v/>
      </c>
    </row>
    <row r="138" ht="15" customHeight="1">
      <c r="A138" t="inlineStr">
        <is>
          <t>A 32794-2025</t>
        </is>
      </c>
      <c r="B138" t="inlineStr">
        <is>
          <t>avverkningsanmälan</t>
        </is>
      </c>
      <c r="C138" t="inlineStr">
        <is>
          <t>Avverkning för att bevara och utveckla /försöksver</t>
        </is>
      </c>
      <c r="D138" s="1" t="n">
        <v>45839</v>
      </c>
      <c r="E138" s="1" t="n">
        <v>46318</v>
      </c>
      <c r="F138" t="inlineStr">
        <is>
          <t>JÄMTLANDS LÄN</t>
        </is>
      </c>
      <c r="G138" t="inlineStr">
        <is>
          <t>STRÖMSUND</t>
        </is>
      </c>
      <c r="H138" t="inlineStr">
        <is>
          <t>SCA</t>
        </is>
      </c>
      <c r="I138" t="n">
        <v>4.8</v>
      </c>
      <c r="J138" t="n">
        <v>4</v>
      </c>
      <c r="K138" t="n">
        <v>2</v>
      </c>
      <c r="L138" t="n">
        <v>0</v>
      </c>
      <c r="M138" t="n">
        <v>0</v>
      </c>
      <c r="N138" t="n">
        <v>0</v>
      </c>
      <c r="O138" t="n">
        <v>0</v>
      </c>
      <c r="P138" t="n">
        <v>0</v>
      </c>
      <c r="Q138" t="n">
        <v>0</v>
      </c>
      <c r="R138" t="n">
        <v>0</v>
      </c>
      <c r="S138" t="n">
        <v>4</v>
      </c>
      <c r="T138" t="n">
        <v>4</v>
      </c>
      <c r="U138" t="n">
        <v>1</v>
      </c>
      <c r="V138" s="2" t="inlineStr">
        <is>
          <t>Lappranunkel
Plattlummer
Mattlummer
Skogsrör</t>
        </is>
      </c>
      <c r="W138">
        <f>HYPERLINK("https://klasma.github.io/Logging_2313/artfynd/A 32794-2025 artfynd.xlsx", "A 32794-2025")</f>
        <v/>
      </c>
      <c r="X138">
        <f>HYPERLINK("https://klasma.github.io/Logging_2313/kartor/A 32794-2025 karta.png", "A 32794-2025")</f>
        <v/>
      </c>
      <c r="Y138">
        <f>HYPERLINK("https://klasma.github.io/Logging_2313/kartor_geotiff/A 32794-2025 georefererad karta.tif", "A 32794-2025")</f>
        <v/>
      </c>
      <c r="AA138">
        <f>HYPERLINK("https://klasma.github.io/Logging_2313/klagomål/A 32794-2025 FSC-klagomål.docx", "A 32794-2025")</f>
        <v/>
      </c>
      <c r="AB138">
        <f>HYPERLINK("https://klasma.github.io/Logging_2313/klagomålsmail/A 32794-2025 FSC-klagomål mail.docx", "A 32794-2025")</f>
        <v/>
      </c>
      <c r="AC138">
        <f>HYPERLINK("https://klasma.github.io/Logging_2313/tillsyn/A 32794-2025 tillsynsbegäran.docx", "A 32794-2025")</f>
        <v/>
      </c>
      <c r="AD138">
        <f>HYPERLINK("https://klasma.github.io/Logging_2313/tillsynsmail/A 32794-2025 tillsynsbegäran mail.docx", "A 32794-2025")</f>
        <v/>
      </c>
    </row>
    <row r="139" ht="15" customHeight="1">
      <c r="A139" t="inlineStr">
        <is>
          <t>A 32795-2025</t>
        </is>
      </c>
      <c r="B139" t="inlineStr">
        <is>
          <t>avverkningsanmälan</t>
        </is>
      </c>
      <c r="C139" t="inlineStr">
        <is>
          <t>Avverkning för att bevara och utveckla /försöksver</t>
        </is>
      </c>
      <c r="D139" s="1" t="n">
        <v>45839</v>
      </c>
      <c r="E139" s="1" t="n">
        <v>46318</v>
      </c>
      <c r="F139" t="inlineStr">
        <is>
          <t>JÄMTLANDS LÄN</t>
        </is>
      </c>
      <c r="G139" t="inlineStr">
        <is>
          <t>STRÖMSUND</t>
        </is>
      </c>
      <c r="H139" t="inlineStr">
        <is>
          <t>SCA</t>
        </is>
      </c>
      <c r="I139" t="n">
        <v>2.8</v>
      </c>
      <c r="J139" t="n">
        <v>0</v>
      </c>
      <c r="K139" t="n">
        <v>1</v>
      </c>
      <c r="L139" t="n">
        <v>2</v>
      </c>
      <c r="M139" t="n">
        <v>1</v>
      </c>
      <c r="N139" t="n">
        <v>0</v>
      </c>
      <c r="O139" t="n">
        <v>0</v>
      </c>
      <c r="P139" t="n">
        <v>0</v>
      </c>
      <c r="Q139" t="n">
        <v>3</v>
      </c>
      <c r="R139" t="n">
        <v>1</v>
      </c>
      <c r="S139" t="n">
        <v>4</v>
      </c>
      <c r="T139" t="n">
        <v>5</v>
      </c>
      <c r="U139" t="n">
        <v>0</v>
      </c>
      <c r="V139" s="2" t="inlineStr">
        <is>
          <t>Garnlav
Gammelgransskål
Ullticka
Rävticka</t>
        </is>
      </c>
      <c r="W139">
        <f>HYPERLINK("https://klasma.github.io/Logging_2313/artfynd/A 32795-2025 artfynd.xlsx", "A 32795-2025")</f>
        <v/>
      </c>
      <c r="X139">
        <f>HYPERLINK("https://klasma.github.io/Logging_2313/kartor/A 32795-2025 karta.png", "A 32795-2025")</f>
        <v/>
      </c>
      <c r="Y139">
        <f>HYPERLINK("https://klasma.github.io/Logging_2313/kartor_geotiff/A 32795-2025 georefererad karta.tif", "A 32795-2025")</f>
        <v/>
      </c>
      <c r="AA139">
        <f>HYPERLINK("https://klasma.github.io/Logging_2313/klagomål/A 32795-2025 FSC-klagomål.docx", "A 32795-2025")</f>
        <v/>
      </c>
      <c r="AB139">
        <f>HYPERLINK("https://klasma.github.io/Logging_2313/klagomålsmail/A 32795-2025 FSC-klagomål mail.docx", "A 32795-2025")</f>
        <v/>
      </c>
      <c r="AC139">
        <f>HYPERLINK("https://klasma.github.io/Logging_2313/tillsyn/A 32795-2025 tillsynsbegäran.docx", "A 32795-2025")</f>
        <v/>
      </c>
      <c r="AD139">
        <f>HYPERLINK("https://klasma.github.io/Logging_2313/tillsynsmail/A 32795-2025 tillsynsbegäran mail.docx", "A 32795-2025")</f>
        <v/>
      </c>
    </row>
    <row r="140" ht="15" customHeight="1">
      <c r="A140" t="inlineStr">
        <is>
          <t>A 34907-2023</t>
        </is>
      </c>
      <c r="B140" t="inlineStr">
        <is>
          <t>avverkningsanmälan</t>
        </is>
      </c>
      <c r="C140" t="inlineStr">
        <is>
          <t>Föryngringsavverkning</t>
        </is>
      </c>
      <c r="D140" s="1" t="n">
        <v>45141</v>
      </c>
      <c r="E140" s="1" t="n">
        <v>46318</v>
      </c>
      <c r="F140" t="inlineStr">
        <is>
          <t>JÄMTLANDS LÄN</t>
        </is>
      </c>
      <c r="G140" t="inlineStr">
        <is>
          <t>STRÖMSUND</t>
        </is>
      </c>
      <c r="I140" t="n">
        <v>7.1</v>
      </c>
      <c r="J140" t="n">
        <v>0</v>
      </c>
      <c r="K140" t="n">
        <v>1</v>
      </c>
      <c r="L140" t="n">
        <v>1</v>
      </c>
      <c r="M140" t="n">
        <v>2</v>
      </c>
      <c r="N140" t="n">
        <v>0</v>
      </c>
      <c r="O140" t="n">
        <v>0</v>
      </c>
      <c r="P140" t="n">
        <v>0</v>
      </c>
      <c r="Q140" t="n">
        <v>3</v>
      </c>
      <c r="R140" t="n">
        <v>2</v>
      </c>
      <c r="S140" t="n">
        <v>4</v>
      </c>
      <c r="T140" t="n">
        <v>5</v>
      </c>
      <c r="U140" t="n">
        <v>5</v>
      </c>
      <c r="V140" s="2" t="inlineStr">
        <is>
          <t>Barrgråtagging
Norsk näverlav
Brunpudrad nållav
Vedticka</t>
        </is>
      </c>
      <c r="W140">
        <f>HYPERLINK("https://klasma.github.io/Logging_2313/artfynd/A 34907-2023 artfynd.xlsx", "A 34907-2023")</f>
        <v/>
      </c>
      <c r="X140">
        <f>HYPERLINK("https://klasma.github.io/Logging_2313/kartor/A 34907-2023 karta.png", "A 34907-2023")</f>
        <v/>
      </c>
      <c r="Y140">
        <f>HYPERLINK("https://klasma.github.io/Logging_2313/kartor_geotiff/A 34907-2023 georefererad karta.tif", "A 34907-2023")</f>
        <v/>
      </c>
      <c r="AA140">
        <f>HYPERLINK("https://klasma.github.io/Logging_2313/klagomål/A 34907-2023 FSC-klagomål.docx", "A 34907-2023")</f>
        <v/>
      </c>
      <c r="AB140">
        <f>HYPERLINK("https://klasma.github.io/Logging_2313/klagomålsmail/A 34907-2023 FSC-klagomål mail.docx", "A 34907-2023")</f>
        <v/>
      </c>
      <c r="AC140">
        <f>HYPERLINK("https://klasma.github.io/Logging_2313/tillsyn/A 34907-2023 tillsynsbegäran.docx", "A 34907-2023")</f>
        <v/>
      </c>
      <c r="AD140">
        <f>HYPERLINK("https://klasma.github.io/Logging_2313/tillsynsmail/A 34907-2023 tillsynsbegäran mail.docx", "A 34907-2023")</f>
        <v/>
      </c>
    </row>
    <row r="141" ht="15" customHeight="1">
      <c r="A141" t="inlineStr">
        <is>
          <t>A 58236-2025</t>
        </is>
      </c>
      <c r="B141" t="inlineStr">
        <is>
          <t>avverkningsanmälan</t>
        </is>
      </c>
      <c r="C141" t="inlineStr">
        <is>
          <t>Föryngringsavverkning</t>
        </is>
      </c>
      <c r="D141" s="1" t="n">
        <v>45985</v>
      </c>
      <c r="E141" s="1" t="n">
        <v>46318</v>
      </c>
      <c r="F141" t="inlineStr">
        <is>
          <t>JÄMTLANDS LÄN</t>
        </is>
      </c>
      <c r="G141" t="inlineStr">
        <is>
          <t>STRÖMSUND</t>
        </is>
      </c>
      <c r="H141" t="inlineStr">
        <is>
          <t>SCA</t>
        </is>
      </c>
      <c r="I141" t="n">
        <v>1.5</v>
      </c>
      <c r="J141" t="n">
        <v>0</v>
      </c>
      <c r="K141" t="n">
        <v>1</v>
      </c>
      <c r="L141" t="n">
        <v>2</v>
      </c>
      <c r="M141" t="n">
        <v>1</v>
      </c>
      <c r="N141" t="n">
        <v>0</v>
      </c>
      <c r="O141" t="n">
        <v>0</v>
      </c>
      <c r="P141" t="n">
        <v>0</v>
      </c>
      <c r="Q141" t="n">
        <v>3</v>
      </c>
      <c r="R141" t="n">
        <v>1</v>
      </c>
      <c r="S141" t="n">
        <v>4</v>
      </c>
      <c r="T141" t="n">
        <v>4</v>
      </c>
      <c r="U141" t="n">
        <v>0</v>
      </c>
      <c r="V141" s="2" t="inlineStr">
        <is>
          <t>Garnlav
Gammelgransskål
Vitgrynig nållav
Stuplav</t>
        </is>
      </c>
      <c r="W141">
        <f>HYPERLINK("https://klasma.github.io/Logging_2313/artfynd/A 58236-2025 artfynd.xlsx", "A 58236-2025")</f>
        <v/>
      </c>
      <c r="X141">
        <f>HYPERLINK("https://klasma.github.io/Logging_2313/kartor/A 58236-2025 karta.png", "A 58236-2025")</f>
        <v/>
      </c>
      <c r="Y141">
        <f>HYPERLINK("https://klasma.github.io/Logging_2313/kartor_geotiff/A 58236-2025 georefererad karta.tif", "A 58236-2025")</f>
        <v/>
      </c>
      <c r="AA141">
        <f>HYPERLINK("https://klasma.github.io/Logging_2313/klagomål/A 58236-2025 FSC-klagomål.docx", "A 58236-2025")</f>
        <v/>
      </c>
      <c r="AB141">
        <f>HYPERLINK("https://klasma.github.io/Logging_2313/klagomålsmail/A 58236-2025 FSC-klagomål mail.docx", "A 58236-2025")</f>
        <v/>
      </c>
      <c r="AC141">
        <f>HYPERLINK("https://klasma.github.io/Logging_2313/tillsyn/A 58236-2025 tillsynsbegäran.docx", "A 58236-2025")</f>
        <v/>
      </c>
      <c r="AD141">
        <f>HYPERLINK("https://klasma.github.io/Logging_2313/tillsynsmail/A 58236-2025 tillsynsbegäran mail.docx", "A 58236-2025")</f>
        <v/>
      </c>
    </row>
    <row r="142" ht="15" customHeight="1">
      <c r="A142" t="inlineStr">
        <is>
          <t>A 57047-2025</t>
        </is>
      </c>
      <c r="B142" t="inlineStr">
        <is>
          <t>avverkningsanmälan</t>
        </is>
      </c>
      <c r="C142" t="inlineStr">
        <is>
          <t>Avverkning för att bevara och utveckla /försöksver</t>
        </is>
      </c>
      <c r="D142" s="1" t="n">
        <v>45979</v>
      </c>
      <c r="E142" s="1" t="n">
        <v>46318</v>
      </c>
      <c r="F142" t="inlineStr">
        <is>
          <t>JÄMTLANDS LÄN</t>
        </is>
      </c>
      <c r="G142" t="inlineStr">
        <is>
          <t>STRÖMSUND</t>
        </is>
      </c>
      <c r="H142" t="inlineStr">
        <is>
          <t>SCA</t>
        </is>
      </c>
      <c r="I142" t="n">
        <v>5.9</v>
      </c>
      <c r="J142" t="n">
        <v>0</v>
      </c>
      <c r="K142" t="n">
        <v>0</v>
      </c>
      <c r="L142" t="n">
        <v>3</v>
      </c>
      <c r="M142" t="n">
        <v>1</v>
      </c>
      <c r="N142" t="n">
        <v>0</v>
      </c>
      <c r="O142" t="n">
        <v>0</v>
      </c>
      <c r="P142" t="n">
        <v>0</v>
      </c>
      <c r="Q142" t="n">
        <v>4</v>
      </c>
      <c r="R142" t="n">
        <v>1</v>
      </c>
      <c r="S142" t="n">
        <v>4</v>
      </c>
      <c r="T142" t="n">
        <v>8</v>
      </c>
      <c r="U142" t="n">
        <v>0</v>
      </c>
      <c r="V142" s="2" t="inlineStr">
        <is>
          <t>Garnlav
Gammelgransskål
Harticka
Vitgrynig nållav</t>
        </is>
      </c>
      <c r="W142">
        <f>HYPERLINK("https://klasma.github.io/Logging_2313/artfynd/A 57047-2025 artfynd.xlsx", "A 57047-2025")</f>
        <v/>
      </c>
      <c r="X142">
        <f>HYPERLINK("https://klasma.github.io/Logging_2313/kartor/A 57047-2025 karta.png", "A 57047-2025")</f>
        <v/>
      </c>
      <c r="Y142">
        <f>HYPERLINK("https://klasma.github.io/Logging_2313/kartor_geotiff/A 57047-2025 georefererad karta.tif", "A 57047-2025")</f>
        <v/>
      </c>
      <c r="AA142">
        <f>HYPERLINK("https://klasma.github.io/Logging_2313/klagomål/A 57047-2025 FSC-klagomål.docx", "A 57047-2025")</f>
        <v/>
      </c>
      <c r="AB142">
        <f>HYPERLINK("https://klasma.github.io/Logging_2313/klagomålsmail/A 57047-2025 FSC-klagomål mail.docx", "A 57047-2025")</f>
        <v/>
      </c>
      <c r="AC142">
        <f>HYPERLINK("https://klasma.github.io/Logging_2313/tillsyn/A 57047-2025 tillsynsbegäran.docx", "A 57047-2025")</f>
        <v/>
      </c>
      <c r="AD142">
        <f>HYPERLINK("https://klasma.github.io/Logging_2313/tillsynsmail/A 57047-2025 tillsynsbegäran mail.docx", "A 57047-2025")</f>
        <v/>
      </c>
    </row>
    <row r="143" ht="15" customHeight="1">
      <c r="A143" t="inlineStr">
        <is>
          <t>A 47165-2023</t>
        </is>
      </c>
      <c r="B143" t="inlineStr">
        <is>
          <t>avverkningsanmälan</t>
        </is>
      </c>
      <c r="C143" t="inlineStr">
        <is>
          <t>Avverkning för att bevara och utveckla /försöksver</t>
        </is>
      </c>
      <c r="D143" s="1" t="n">
        <v>45201</v>
      </c>
      <c r="E143" s="1" t="n">
        <v>46318</v>
      </c>
      <c r="F143" t="inlineStr">
        <is>
          <t>JÄMTLANDS LÄN</t>
        </is>
      </c>
      <c r="G143" t="inlineStr">
        <is>
          <t>STRÖMSUND</t>
        </is>
      </c>
      <c r="H143" t="inlineStr">
        <is>
          <t>SCA</t>
        </is>
      </c>
      <c r="I143" t="n">
        <v>9.300000000000001</v>
      </c>
      <c r="J143" t="n">
        <v>0</v>
      </c>
      <c r="K143" t="n">
        <v>0</v>
      </c>
      <c r="L143" t="n">
        <v>4</v>
      </c>
      <c r="M143" t="n">
        <v>0</v>
      </c>
      <c r="N143" t="n">
        <v>0</v>
      </c>
      <c r="O143" t="n">
        <v>0</v>
      </c>
      <c r="P143" t="n">
        <v>0</v>
      </c>
      <c r="Q143" t="n">
        <v>4</v>
      </c>
      <c r="R143" t="n">
        <v>0</v>
      </c>
      <c r="S143" t="n">
        <v>4</v>
      </c>
      <c r="T143" t="n">
        <v>4</v>
      </c>
      <c r="U143" t="n">
        <v>0</v>
      </c>
      <c r="V143" s="2" t="inlineStr">
        <is>
          <t>Lunglav
Vedtrappmossa
Violmussling
Vitgrynig nållav</t>
        </is>
      </c>
      <c r="W143">
        <f>HYPERLINK("https://klasma.github.io/Logging_2313/artfynd/A 47165-2023 artfynd.xlsx", "A 47165-2023")</f>
        <v/>
      </c>
      <c r="X143">
        <f>HYPERLINK("https://klasma.github.io/Logging_2313/kartor/A 47165-2023 karta.png", "A 47165-2023")</f>
        <v/>
      </c>
      <c r="Y143">
        <f>HYPERLINK("https://klasma.github.io/Logging_2313/kartor_geotiff/A 47165-2023 georefererad karta.tif", "A 47165-2023")</f>
        <v/>
      </c>
      <c r="AA143">
        <f>HYPERLINK("https://klasma.github.io/Logging_2313/klagomål/A 47165-2023 FSC-klagomål.docx", "A 47165-2023")</f>
        <v/>
      </c>
      <c r="AB143">
        <f>HYPERLINK("https://klasma.github.io/Logging_2313/klagomålsmail/A 47165-2023 FSC-klagomål mail.docx", "A 47165-2023")</f>
        <v/>
      </c>
      <c r="AC143">
        <f>HYPERLINK("https://klasma.github.io/Logging_2313/tillsyn/A 47165-2023 tillsynsbegäran.docx", "A 47165-2023")</f>
        <v/>
      </c>
      <c r="AD143">
        <f>HYPERLINK("https://klasma.github.io/Logging_2313/tillsynsmail/A 47165-2023 tillsynsbegäran mail.docx", "A 47165-2023")</f>
        <v/>
      </c>
    </row>
    <row r="144" ht="15" customHeight="1">
      <c r="A144" t="inlineStr">
        <is>
          <t>A 61164-2024</t>
        </is>
      </c>
      <c r="B144" t="inlineStr">
        <is>
          <t>avverkningsanmälan</t>
        </is>
      </c>
      <c r="C144" t="inlineStr">
        <is>
          <t>Avverkning för att bevara och utveckla /försöksver</t>
        </is>
      </c>
      <c r="D144" s="1" t="n">
        <v>45645</v>
      </c>
      <c r="E144" s="1" t="n">
        <v>46318</v>
      </c>
      <c r="F144" t="inlineStr">
        <is>
          <t>JÄMTLANDS LÄN</t>
        </is>
      </c>
      <c r="G144" t="inlineStr">
        <is>
          <t>STRÖMSUND</t>
        </is>
      </c>
      <c r="H144" t="inlineStr">
        <is>
          <t>SCA</t>
        </is>
      </c>
      <c r="I144" t="n">
        <v>3.3</v>
      </c>
      <c r="J144" t="n">
        <v>0</v>
      </c>
      <c r="K144" t="n">
        <v>1</v>
      </c>
      <c r="L144" t="n">
        <v>2</v>
      </c>
      <c r="M144" t="n">
        <v>1</v>
      </c>
      <c r="N144" t="n">
        <v>0</v>
      </c>
      <c r="O144" t="n">
        <v>0</v>
      </c>
      <c r="P144" t="n">
        <v>0</v>
      </c>
      <c r="Q144" t="n">
        <v>3</v>
      </c>
      <c r="R144" t="n">
        <v>1</v>
      </c>
      <c r="S144" t="n">
        <v>4</v>
      </c>
      <c r="T144" t="n">
        <v>4</v>
      </c>
      <c r="U144" t="n">
        <v>0</v>
      </c>
      <c r="V144" s="2" t="inlineStr">
        <is>
          <t>Garnlav
Gammelgransskål
Rynkskinn
Vedticka</t>
        </is>
      </c>
      <c r="W144">
        <f>HYPERLINK("https://klasma.github.io/Logging_2313/artfynd/A 61164-2024 artfynd.xlsx", "A 61164-2024")</f>
        <v/>
      </c>
      <c r="X144">
        <f>HYPERLINK("https://klasma.github.io/Logging_2313/kartor/A 61164-2024 karta.png", "A 61164-2024")</f>
        <v/>
      </c>
      <c r="Y144">
        <f>HYPERLINK("https://klasma.github.io/Logging_2313/kartor_geotiff/A 61164-2024 georefererad karta.tif", "A 61164-2024")</f>
        <v/>
      </c>
      <c r="AA144">
        <f>HYPERLINK("https://klasma.github.io/Logging_2313/klagomål/A 61164-2024 FSC-klagomål.docx", "A 61164-2024")</f>
        <v/>
      </c>
      <c r="AB144">
        <f>HYPERLINK("https://klasma.github.io/Logging_2313/klagomålsmail/A 61164-2024 FSC-klagomål mail.docx", "A 61164-2024")</f>
        <v/>
      </c>
      <c r="AC144">
        <f>HYPERLINK("https://klasma.github.io/Logging_2313/tillsyn/A 61164-2024 tillsynsbegäran.docx", "A 61164-2024")</f>
        <v/>
      </c>
      <c r="AD144">
        <f>HYPERLINK("https://klasma.github.io/Logging_2313/tillsynsmail/A 61164-2024 tillsynsbegäran mail.docx", "A 61164-2024")</f>
        <v/>
      </c>
    </row>
    <row r="145" ht="15" customHeight="1">
      <c r="A145" t="inlineStr">
        <is>
          <t>A 23632-2025</t>
        </is>
      </c>
      <c r="B145" t="inlineStr">
        <is>
          <t>avverkningsanmälan</t>
        </is>
      </c>
      <c r="C145" t="inlineStr">
        <is>
          <t>Föryngringsavverkning</t>
        </is>
      </c>
      <c r="D145" s="1" t="n">
        <v>45792</v>
      </c>
      <c r="E145" s="1" t="n">
        <v>46318</v>
      </c>
      <c r="F145" t="inlineStr">
        <is>
          <t>JÄMTLANDS LÄN</t>
        </is>
      </c>
      <c r="G145" t="inlineStr">
        <is>
          <t>STRÖMSUND</t>
        </is>
      </c>
      <c r="H145" t="inlineStr">
        <is>
          <t>SCA</t>
        </is>
      </c>
      <c r="I145" t="n">
        <v>0.5</v>
      </c>
      <c r="J145" t="n">
        <v>1</v>
      </c>
      <c r="K145" t="n">
        <v>0</v>
      </c>
      <c r="L145" t="n">
        <v>3</v>
      </c>
      <c r="M145" t="n">
        <v>1</v>
      </c>
      <c r="N145" t="n">
        <v>0</v>
      </c>
      <c r="O145" t="n">
        <v>0</v>
      </c>
      <c r="P145" t="n">
        <v>0</v>
      </c>
      <c r="Q145" t="n">
        <v>4</v>
      </c>
      <c r="R145" t="n">
        <v>1</v>
      </c>
      <c r="S145" t="n">
        <v>4</v>
      </c>
      <c r="T145" t="n">
        <v>7</v>
      </c>
      <c r="U145" t="n">
        <v>7</v>
      </c>
      <c r="V145" s="2" t="inlineStr">
        <is>
          <t>Knärot
Kolflarnlav
Ullticka
Vedskivlav</t>
        </is>
      </c>
      <c r="W145">
        <f>HYPERLINK("https://klasma.github.io/Logging_2313/artfynd/A 23632-2025 artfynd.xlsx", "A 23632-2025")</f>
        <v/>
      </c>
      <c r="X145">
        <f>HYPERLINK("https://klasma.github.io/Logging_2313/kartor/A 23632-2025 karta.png", "A 23632-2025")</f>
        <v/>
      </c>
      <c r="Y145">
        <f>HYPERLINK("https://klasma.github.io/Logging_2313/kartor_geotiff/A 23632-2025 georefererad karta.tif", "A 23632-2025")</f>
        <v/>
      </c>
      <c r="Z145">
        <f>HYPERLINK("https://klasma.github.io/Logging_2313/knärot/A 23632-2025 karta knärot.png", "A 23632-2025")</f>
        <v/>
      </c>
      <c r="AA145">
        <f>HYPERLINK("https://klasma.github.io/Logging_2313/klagomål/A 23632-2025 FSC-klagomål.docx", "A 23632-2025")</f>
        <v/>
      </c>
      <c r="AB145">
        <f>HYPERLINK("https://klasma.github.io/Logging_2313/klagomålsmail/A 23632-2025 FSC-klagomål mail.docx", "A 23632-2025")</f>
        <v/>
      </c>
      <c r="AC145">
        <f>HYPERLINK("https://klasma.github.io/Logging_2313/tillsyn/A 23632-2025 tillsynsbegäran.docx", "A 23632-2025")</f>
        <v/>
      </c>
      <c r="AD145">
        <f>HYPERLINK("https://klasma.github.io/Logging_2313/tillsynsmail/A 23632-2025 tillsynsbegäran mail.docx", "A 23632-2025")</f>
        <v/>
      </c>
    </row>
    <row r="146" ht="15" customHeight="1">
      <c r="A146" t="inlineStr">
        <is>
          <t>A 36159-2026</t>
        </is>
      </c>
      <c r="B146" t="inlineStr">
        <is>
          <t>avverkningsanmälan</t>
        </is>
      </c>
      <c r="C146" t="inlineStr">
        <is>
          <t>Föryngringsavverkning</t>
        </is>
      </c>
      <c r="D146" s="1" t="n">
        <v>46267</v>
      </c>
      <c r="E146" s="1" t="n">
        <v>46318</v>
      </c>
      <c r="F146" t="inlineStr">
        <is>
          <t>JÄMTLANDS LÄN</t>
        </is>
      </c>
      <c r="G146" t="inlineStr">
        <is>
          <t>STRÖMSUND</t>
        </is>
      </c>
      <c r="I146" t="n">
        <v>4.9</v>
      </c>
      <c r="J146" t="n">
        <v>2</v>
      </c>
      <c r="K146" t="n">
        <v>0</v>
      </c>
      <c r="L146" t="n">
        <v>2</v>
      </c>
      <c r="M146" t="n">
        <v>2</v>
      </c>
      <c r="N146" t="n">
        <v>0</v>
      </c>
      <c r="O146" t="n">
        <v>0</v>
      </c>
      <c r="P146" t="n">
        <v>0</v>
      </c>
      <c r="Q146" t="n">
        <v>4</v>
      </c>
      <c r="R146" t="n">
        <v>2</v>
      </c>
      <c r="S146" t="n">
        <v>4</v>
      </c>
      <c r="T146" t="n">
        <v>23</v>
      </c>
      <c r="U146" t="n">
        <v>23</v>
      </c>
      <c r="V146" s="2" t="inlineStr">
        <is>
          <t>Garnlav
Knärot
Tretåig hackspett
Ullticka</t>
        </is>
      </c>
      <c r="W146">
        <f>HYPERLINK("https://klasma.github.io/Logging_2313/artfynd/A 36159-2026 artfynd.xlsx", "A 36159-2026")</f>
        <v/>
      </c>
      <c r="X146">
        <f>HYPERLINK("https://klasma.github.io/Logging_2313/kartor/A 36159-2026 karta.png", "A 36159-2026")</f>
        <v/>
      </c>
      <c r="Y146">
        <f>HYPERLINK("https://klasma.github.io/Logging_2313/kartor_geotiff/A 36159-2026 georefererad karta.tif", "A 36159-2026")</f>
        <v/>
      </c>
      <c r="Z146">
        <f>HYPERLINK("https://klasma.github.io/Logging_2313/knärot/A 36159-2026 karta knärot.png", "A 36159-2026")</f>
        <v/>
      </c>
      <c r="AA146">
        <f>HYPERLINK("https://klasma.github.io/Logging_2313/klagomål/A 36159-2026 FSC-klagomål.docx", "A 36159-2026")</f>
        <v/>
      </c>
      <c r="AB146">
        <f>HYPERLINK("https://klasma.github.io/Logging_2313/klagomålsmail/A 36159-2026 FSC-klagomål mail.docx", "A 36159-2026")</f>
        <v/>
      </c>
      <c r="AC146">
        <f>HYPERLINK("https://klasma.github.io/Logging_2313/tillsyn/A 36159-2026 tillsynsbegäran.docx", "A 36159-2026")</f>
        <v/>
      </c>
      <c r="AD146">
        <f>HYPERLINK("https://klasma.github.io/Logging_2313/tillsynsmail/A 36159-2026 tillsynsbegäran mail.docx", "A 36159-2026")</f>
        <v/>
      </c>
      <c r="AE146">
        <f>HYPERLINK("https://klasma.github.io/Logging_2313/fåglar/A 36159-2026 prioriterade fågelarter.docx", "A 36159-2026")</f>
        <v/>
      </c>
    </row>
    <row r="147" ht="15" customHeight="1">
      <c r="A147" t="inlineStr">
        <is>
          <t>A 39213-2026</t>
        </is>
      </c>
      <c r="B147" t="inlineStr">
        <is>
          <t>avverkningsanmälan</t>
        </is>
      </c>
      <c r="C147" t="inlineStr">
        <is>
          <t>Föryngringsavverkning</t>
        </is>
      </c>
      <c r="D147" s="1" t="n">
        <v>46287</v>
      </c>
      <c r="E147" s="1" t="n">
        <v>46318</v>
      </c>
      <c r="F147" t="inlineStr">
        <is>
          <t>JÄMTLANDS LÄN</t>
        </is>
      </c>
      <c r="G147" t="inlineStr">
        <is>
          <t>STRÖMSUND</t>
        </is>
      </c>
      <c r="H147" t="inlineStr">
        <is>
          <t>SCA</t>
        </is>
      </c>
      <c r="I147" t="n">
        <v>2.4</v>
      </c>
      <c r="J147" t="n">
        <v>0</v>
      </c>
      <c r="K147" t="n">
        <v>0</v>
      </c>
      <c r="L147" t="n">
        <v>3</v>
      </c>
      <c r="M147" t="n">
        <v>1</v>
      </c>
      <c r="N147" t="n">
        <v>0</v>
      </c>
      <c r="O147" t="n">
        <v>0</v>
      </c>
      <c r="P147" t="n">
        <v>0</v>
      </c>
      <c r="Q147" t="n">
        <v>4</v>
      </c>
      <c r="R147" t="n">
        <v>1</v>
      </c>
      <c r="S147" t="n">
        <v>4</v>
      </c>
      <c r="T147" t="n">
        <v>4</v>
      </c>
      <c r="U147" t="n">
        <v>0</v>
      </c>
      <c r="V147" s="2" t="inlineStr">
        <is>
          <t>Garnlav
Doftskinn
Gammelgransskål
Vitgrynig nållav</t>
        </is>
      </c>
      <c r="W147">
        <f>HYPERLINK("https://klasma.github.io/Logging_2313/artfynd/A 39213-2026 artfynd.xlsx", "A 39213-2026")</f>
        <v/>
      </c>
      <c r="X147">
        <f>HYPERLINK("https://klasma.github.io/Logging_2313/kartor/A 39213-2026 karta.png", "A 39213-2026")</f>
        <v/>
      </c>
      <c r="Y147">
        <f>HYPERLINK("https://klasma.github.io/Logging_2313/kartor_geotiff/A 39213-2026 georefererad karta.tif", "A 39213-2026")</f>
        <v/>
      </c>
      <c r="AA147">
        <f>HYPERLINK("https://klasma.github.io/Logging_2313/klagomål/A 39213-2026 FSC-klagomål.docx", "A 39213-2026")</f>
        <v/>
      </c>
      <c r="AB147">
        <f>HYPERLINK("https://klasma.github.io/Logging_2313/klagomålsmail/A 39213-2026 FSC-klagomål mail.docx", "A 39213-2026")</f>
        <v/>
      </c>
      <c r="AC147">
        <f>HYPERLINK("https://klasma.github.io/Logging_2313/tillsyn/A 39213-2026 tillsynsbegäran.docx", "A 39213-2026")</f>
        <v/>
      </c>
      <c r="AD147">
        <f>HYPERLINK("https://klasma.github.io/Logging_2313/tillsynsmail/A 39213-2026 tillsynsbegäran mail.docx", "A 39213-2026")</f>
        <v/>
      </c>
    </row>
    <row r="148" ht="15" customHeight="1">
      <c r="A148" t="inlineStr">
        <is>
          <t>S 2806-2024</t>
        </is>
      </c>
      <c r="B148" t="inlineStr">
        <is>
          <t>samrådsanmälan</t>
        </is>
      </c>
      <c r="C148" t="inlineStr">
        <is>
          <t>Annan skogsbruksåtgärd</t>
        </is>
      </c>
      <c r="D148" s="1" t="n">
        <v>45488</v>
      </c>
      <c r="E148" s="1" t="n">
        <v>46318</v>
      </c>
      <c r="F148" t="inlineStr">
        <is>
          <t>JÄMTLANDS LÄN</t>
        </is>
      </c>
      <c r="G148" t="inlineStr">
        <is>
          <t>STRÖMSUND</t>
        </is>
      </c>
      <c r="I148" t="n">
        <v>2.4</v>
      </c>
      <c r="J148" t="n">
        <v>1</v>
      </c>
      <c r="K148" t="n">
        <v>2</v>
      </c>
      <c r="L148" t="n">
        <v>1</v>
      </c>
      <c r="M148" t="n">
        <v>1</v>
      </c>
      <c r="N148" t="n">
        <v>0</v>
      </c>
      <c r="O148" t="n">
        <v>0</v>
      </c>
      <c r="P148" t="n">
        <v>0</v>
      </c>
      <c r="Q148" t="n">
        <v>2</v>
      </c>
      <c r="R148" t="n">
        <v>1</v>
      </c>
      <c r="S148" t="n">
        <v>4</v>
      </c>
      <c r="T148" t="n">
        <v>6</v>
      </c>
      <c r="U148" t="n">
        <v>0</v>
      </c>
      <c r="V148" s="2" t="inlineStr">
        <is>
          <t>Knärot
Vitgrynig nållav
Mörk husmossa
Ögonpyrola</t>
        </is>
      </c>
      <c r="W148">
        <f>HYPERLINK("https://klasma.github.io/Logging_2313/artfynd/S 2806-2024 artfynd.xlsx", "S 2806-2024")</f>
        <v/>
      </c>
      <c r="X148">
        <f>HYPERLINK("https://klasma.github.io/Logging_2313/kartor/S 2806-2024 karta.png", "S 2806-2024")</f>
        <v/>
      </c>
      <c r="Y148">
        <f>HYPERLINK("https://klasma.github.io/Logging_2313/kartor_geotiff/S 2806-2024 georefererad karta.tif", "S 2806-2024")</f>
        <v/>
      </c>
      <c r="Z148">
        <f>HYPERLINK("https://klasma.github.io/Logging_2313/knärot/S 2806-2024 karta knärot.png", "S 2806-2024")</f>
        <v/>
      </c>
      <c r="AA148">
        <f>HYPERLINK("https://klasma.github.io/Logging_2313/klagomål/S 2806-2024 FSC-klagomål.docx", "S 2806-2024")</f>
        <v/>
      </c>
      <c r="AB148">
        <f>HYPERLINK("https://klasma.github.io/Logging_2313/klagomålsmail/S 2806-2024 FSC-klagomål mail.docx", "S 2806-2024")</f>
        <v/>
      </c>
      <c r="AC148">
        <f>HYPERLINK("https://klasma.github.io/Logging_2313/tillsyn/S 2806-2024 tillsynsbegäran.docx", "S 2806-2024")</f>
        <v/>
      </c>
      <c r="AD148">
        <f>HYPERLINK("https://klasma.github.io/Logging_2313/tillsynsmail/S 2806-2024 tillsynsbegäran mail.docx", "S 2806-2024")</f>
        <v/>
      </c>
    </row>
    <row r="149" ht="15" customHeight="1">
      <c r="A149" t="inlineStr">
        <is>
          <t>S 1988-2025</t>
        </is>
      </c>
      <c r="B149" t="inlineStr">
        <is>
          <t>samrådsanmälan</t>
        </is>
      </c>
      <c r="C149" t="inlineStr">
        <is>
          <t>Askåterföring</t>
        </is>
      </c>
      <c r="D149" s="1" t="n">
        <v>45832</v>
      </c>
      <c r="E149" s="1" t="n">
        <v>46318</v>
      </c>
      <c r="F149" t="inlineStr">
        <is>
          <t>JÄMTLANDS LÄN</t>
        </is>
      </c>
      <c r="G149" t="inlineStr">
        <is>
          <t>STRÖMSUND</t>
        </is>
      </c>
      <c r="I149" t="n">
        <v>338.7</v>
      </c>
      <c r="J149" t="n">
        <v>1</v>
      </c>
      <c r="K149" t="n">
        <v>0</v>
      </c>
      <c r="L149" t="n">
        <v>2</v>
      </c>
      <c r="M149" t="n">
        <v>1</v>
      </c>
      <c r="N149" t="n">
        <v>0</v>
      </c>
      <c r="O149" t="n">
        <v>0</v>
      </c>
      <c r="P149" t="n">
        <v>0</v>
      </c>
      <c r="Q149" t="n">
        <v>3</v>
      </c>
      <c r="R149" t="n">
        <v>1</v>
      </c>
      <c r="S149" t="n">
        <v>4</v>
      </c>
      <c r="T149" t="n">
        <v>4</v>
      </c>
      <c r="U149" t="n">
        <v>3</v>
      </c>
      <c r="V149" s="2" t="inlineStr">
        <is>
          <t>Garnlav
Lunglav
Violmussling
Fläcknycklar</t>
        </is>
      </c>
      <c r="W149">
        <f>HYPERLINK("https://klasma.github.io/Logging_2313/artfynd/S 1988-2025 artfynd.xlsx", "S 1988-2025")</f>
        <v/>
      </c>
      <c r="X149">
        <f>HYPERLINK("https://klasma.github.io/Logging_2313/kartor/S 1988-2025 karta.png", "S 1988-2025")</f>
        <v/>
      </c>
      <c r="Y149">
        <f>HYPERLINK("https://klasma.github.io/Logging_2313/kartor_geotiff/S 1988-2025 georefererad karta.tif", "S 1988-2025")</f>
        <v/>
      </c>
      <c r="AA149">
        <f>HYPERLINK("https://klasma.github.io/Logging_2313/klagomål/S 1988-2025 FSC-klagomål.docx", "S 1988-2025")</f>
        <v/>
      </c>
      <c r="AB149">
        <f>HYPERLINK("https://klasma.github.io/Logging_2313/klagomålsmail/S 1988-2025 FSC-klagomål mail.docx", "S 1988-2025")</f>
        <v/>
      </c>
      <c r="AC149">
        <f>HYPERLINK("https://klasma.github.io/Logging_2313/tillsyn/S 1988-2025 tillsynsbegäran.docx", "S 1988-2025")</f>
        <v/>
      </c>
      <c r="AD149">
        <f>HYPERLINK("https://klasma.github.io/Logging_2313/tillsynsmail/S 1988-2025 tillsynsbegäran mail.docx", "S 1988-2025")</f>
        <v/>
      </c>
    </row>
    <row r="150" ht="15" customHeight="1">
      <c r="A150" t="inlineStr">
        <is>
          <t>A 12386-2022</t>
        </is>
      </c>
      <c r="B150" t="inlineStr">
        <is>
          <t>avverkningsanmälan</t>
        </is>
      </c>
      <c r="C150" t="inlineStr">
        <is>
          <t>Föryngringsavverkning</t>
        </is>
      </c>
      <c r="D150" s="1" t="n">
        <v>44637</v>
      </c>
      <c r="E150" s="1" t="n">
        <v>46318</v>
      </c>
      <c r="F150" t="inlineStr">
        <is>
          <t>JÄMTLANDS LÄN</t>
        </is>
      </c>
      <c r="G150" t="inlineStr">
        <is>
          <t>STRÖMSUND</t>
        </is>
      </c>
      <c r="I150" t="n">
        <v>2.1</v>
      </c>
      <c r="J150" t="n">
        <v>1</v>
      </c>
      <c r="K150" t="n">
        <v>1</v>
      </c>
      <c r="L150" t="n">
        <v>2</v>
      </c>
      <c r="M150" t="n">
        <v>0</v>
      </c>
      <c r="N150" t="n">
        <v>0</v>
      </c>
      <c r="O150" t="n">
        <v>0</v>
      </c>
      <c r="P150" t="n">
        <v>0</v>
      </c>
      <c r="Q150" t="n">
        <v>2</v>
      </c>
      <c r="R150" t="n">
        <v>0</v>
      </c>
      <c r="S150" t="n">
        <v>3</v>
      </c>
      <c r="T150" t="n">
        <v>3</v>
      </c>
      <c r="U150" t="n">
        <v>3</v>
      </c>
      <c r="V150" s="2" t="inlineStr">
        <is>
          <t>Lunglav
Tretåig hackspett
Vedticka</t>
        </is>
      </c>
      <c r="W150">
        <f>HYPERLINK("https://klasma.github.io/Logging_2313/artfynd/A 12386-2022 artfynd.xlsx", "A 12386-2022")</f>
        <v/>
      </c>
      <c r="X150">
        <f>HYPERLINK("https://klasma.github.io/Logging_2313/kartor/A 12386-2022 karta.png", "A 12386-2022")</f>
        <v/>
      </c>
      <c r="Y150">
        <f>HYPERLINK("https://klasma.github.io/Logging_2313/kartor_geotiff/A 12386-2022 georefererad karta.tif", "A 12386-2022")</f>
        <v/>
      </c>
      <c r="AA150">
        <f>HYPERLINK("https://klasma.github.io/Logging_2313/klagomål/A 12386-2022 FSC-klagomål.docx", "A 12386-2022")</f>
        <v/>
      </c>
      <c r="AB150">
        <f>HYPERLINK("https://klasma.github.io/Logging_2313/klagomålsmail/A 12386-2022 FSC-klagomål mail.docx", "A 12386-2022")</f>
        <v/>
      </c>
      <c r="AC150">
        <f>HYPERLINK("https://klasma.github.io/Logging_2313/tillsyn/A 12386-2022 tillsynsbegäran.docx", "A 12386-2022")</f>
        <v/>
      </c>
      <c r="AD150">
        <f>HYPERLINK("https://klasma.github.io/Logging_2313/tillsynsmail/A 12386-2022 tillsynsbegäran mail.docx", "A 12386-2022")</f>
        <v/>
      </c>
      <c r="AE150">
        <f>HYPERLINK("https://klasma.github.io/Logging_2313/fåglar/A 12386-2022 prioriterade fågelarter.docx", "A 12386-2022")</f>
        <v/>
      </c>
    </row>
    <row r="151" ht="15" customHeight="1">
      <c r="A151" t="inlineStr">
        <is>
          <t>A 66475-2021</t>
        </is>
      </c>
      <c r="B151" t="inlineStr">
        <is>
          <t>avverkningsanmälan</t>
        </is>
      </c>
      <c r="C151" t="inlineStr">
        <is>
          <t>Avverkning för att bevara och utveckla /försöksver</t>
        </is>
      </c>
      <c r="D151" s="1" t="n">
        <v>44518</v>
      </c>
      <c r="E151" s="1" t="n">
        <v>46318</v>
      </c>
      <c r="F151" t="inlineStr">
        <is>
          <t>JÄMTLANDS LÄN</t>
        </is>
      </c>
      <c r="G151" t="inlineStr">
        <is>
          <t>STRÖMSUND</t>
        </is>
      </c>
      <c r="H151" t="inlineStr">
        <is>
          <t>SCA</t>
        </is>
      </c>
      <c r="I151" t="n">
        <v>3.8</v>
      </c>
      <c r="J151" t="n">
        <v>0</v>
      </c>
      <c r="K151" t="n">
        <v>2</v>
      </c>
      <c r="L151" t="n">
        <v>1</v>
      </c>
      <c r="M151" t="n">
        <v>0</v>
      </c>
      <c r="N151" t="n">
        <v>0</v>
      </c>
      <c r="O151" t="n">
        <v>0</v>
      </c>
      <c r="P151" t="n">
        <v>0</v>
      </c>
      <c r="Q151" t="n">
        <v>1</v>
      </c>
      <c r="R151" t="n">
        <v>0</v>
      </c>
      <c r="S151" t="n">
        <v>3</v>
      </c>
      <c r="T151" t="n">
        <v>3</v>
      </c>
      <c r="U151" t="n">
        <v>0</v>
      </c>
      <c r="V151" s="2" t="inlineStr">
        <is>
          <t>Vedtrappmossa
Bårdlav
Stor aspticka</t>
        </is>
      </c>
      <c r="W151">
        <f>HYPERLINK("https://klasma.github.io/Logging_2313/artfynd/A 66475-2021 artfynd.xlsx", "A 66475-2021")</f>
        <v/>
      </c>
      <c r="X151">
        <f>HYPERLINK("https://klasma.github.io/Logging_2313/kartor/A 66475-2021 karta.png", "A 66475-2021")</f>
        <v/>
      </c>
      <c r="Y151">
        <f>HYPERLINK("https://klasma.github.io/Logging_2313/kartor_geotiff/A 66475-2021 georefererad karta.tif", "A 66475-2021")</f>
        <v/>
      </c>
      <c r="AA151">
        <f>HYPERLINK("https://klasma.github.io/Logging_2313/klagomål/A 66475-2021 FSC-klagomål.docx", "A 66475-2021")</f>
        <v/>
      </c>
      <c r="AB151">
        <f>HYPERLINK("https://klasma.github.io/Logging_2313/klagomålsmail/A 66475-2021 FSC-klagomål mail.docx", "A 66475-2021")</f>
        <v/>
      </c>
      <c r="AC151">
        <f>HYPERLINK("https://klasma.github.io/Logging_2313/tillsyn/A 66475-2021 tillsynsbegäran.docx", "A 66475-2021")</f>
        <v/>
      </c>
      <c r="AD151">
        <f>HYPERLINK("https://klasma.github.io/Logging_2313/tillsynsmail/A 66475-2021 tillsynsbegäran mail.docx", "A 66475-2021")</f>
        <v/>
      </c>
    </row>
    <row r="152" ht="15" customHeight="1">
      <c r="A152" t="inlineStr">
        <is>
          <t>A 28492-2022</t>
        </is>
      </c>
      <c r="B152" t="inlineStr">
        <is>
          <t>avverkningsanmälan</t>
        </is>
      </c>
      <c r="C152" t="inlineStr">
        <is>
          <t>Avverkning för att bevara och utveckla /försöksver</t>
        </is>
      </c>
      <c r="D152" s="1" t="n">
        <v>44747</v>
      </c>
      <c r="E152" s="1" t="n">
        <v>46318</v>
      </c>
      <c r="F152" t="inlineStr">
        <is>
          <t>JÄMTLANDS LÄN</t>
        </is>
      </c>
      <c r="G152" t="inlineStr">
        <is>
          <t>STRÖMSUND</t>
        </is>
      </c>
      <c r="H152" t="inlineStr">
        <is>
          <t>SCA</t>
        </is>
      </c>
      <c r="I152" t="n">
        <v>2</v>
      </c>
      <c r="J152" t="n">
        <v>0</v>
      </c>
      <c r="K152" t="n">
        <v>1</v>
      </c>
      <c r="L152" t="n">
        <v>2</v>
      </c>
      <c r="M152" t="n">
        <v>0</v>
      </c>
      <c r="N152" t="n">
        <v>0</v>
      </c>
      <c r="O152" t="n">
        <v>0</v>
      </c>
      <c r="P152" t="n">
        <v>0</v>
      </c>
      <c r="Q152" t="n">
        <v>2</v>
      </c>
      <c r="R152" t="n">
        <v>0</v>
      </c>
      <c r="S152" t="n">
        <v>3</v>
      </c>
      <c r="T152" t="n">
        <v>3</v>
      </c>
      <c r="U152" t="n">
        <v>0</v>
      </c>
      <c r="V152" s="2" t="inlineStr">
        <is>
          <t>Lunglav
Skrovellav
Stuplav</t>
        </is>
      </c>
      <c r="W152">
        <f>HYPERLINK("https://klasma.github.io/Logging_2313/artfynd/A 28492-2022 artfynd.xlsx", "A 28492-2022")</f>
        <v/>
      </c>
      <c r="X152">
        <f>HYPERLINK("https://klasma.github.io/Logging_2313/kartor/A 28492-2022 karta.png", "A 28492-2022")</f>
        <v/>
      </c>
      <c r="Y152">
        <f>HYPERLINK("https://klasma.github.io/Logging_2313/kartor_geotiff/A 28492-2022 georefererad karta.tif", "A 28492-2022")</f>
        <v/>
      </c>
      <c r="AA152">
        <f>HYPERLINK("https://klasma.github.io/Logging_2313/klagomål/A 28492-2022 FSC-klagomål.docx", "A 28492-2022")</f>
        <v/>
      </c>
      <c r="AB152">
        <f>HYPERLINK("https://klasma.github.io/Logging_2313/klagomålsmail/A 28492-2022 FSC-klagomål mail.docx", "A 28492-2022")</f>
        <v/>
      </c>
      <c r="AC152">
        <f>HYPERLINK("https://klasma.github.io/Logging_2313/tillsyn/A 28492-2022 tillsynsbegäran.docx", "A 28492-2022")</f>
        <v/>
      </c>
      <c r="AD152">
        <f>HYPERLINK("https://klasma.github.io/Logging_2313/tillsynsmail/A 28492-2022 tillsynsbegäran mail.docx", "A 28492-2022")</f>
        <v/>
      </c>
    </row>
    <row r="153" ht="15" customHeight="1">
      <c r="A153" t="inlineStr">
        <is>
          <t>A 29550-2022</t>
        </is>
      </c>
      <c r="B153" t="inlineStr">
        <is>
          <t>avverkningsanmälan</t>
        </is>
      </c>
      <c r="C153" t="inlineStr">
        <is>
          <t>Föryngringsavverkning</t>
        </is>
      </c>
      <c r="D153" s="1" t="n">
        <v>44754</v>
      </c>
      <c r="E153" s="1" t="n">
        <v>46318</v>
      </c>
      <c r="F153" t="inlineStr">
        <is>
          <t>JÄMTLANDS LÄN</t>
        </is>
      </c>
      <c r="G153" t="inlineStr">
        <is>
          <t>STRÖMSUND</t>
        </is>
      </c>
      <c r="H153" t="inlineStr">
        <is>
          <t>Holmen skog AB</t>
        </is>
      </c>
      <c r="I153" t="n">
        <v>1.8</v>
      </c>
      <c r="J153" t="n">
        <v>2</v>
      </c>
      <c r="K153" t="n">
        <v>0</v>
      </c>
      <c r="L153" t="n">
        <v>1</v>
      </c>
      <c r="M153" t="n">
        <v>0</v>
      </c>
      <c r="N153" t="n">
        <v>0</v>
      </c>
      <c r="O153" t="n">
        <v>0</v>
      </c>
      <c r="P153" t="n">
        <v>0</v>
      </c>
      <c r="Q153" t="n">
        <v>1</v>
      </c>
      <c r="R153" t="n">
        <v>0</v>
      </c>
      <c r="S153" t="n">
        <v>3</v>
      </c>
      <c r="T153" t="n">
        <v>3</v>
      </c>
      <c r="U153" t="n">
        <v>0</v>
      </c>
      <c r="V153" s="2" t="inlineStr">
        <is>
          <t>Brunklöver
Mattlummer
Utter</t>
        </is>
      </c>
      <c r="W153">
        <f>HYPERLINK("https://klasma.github.io/Logging_2313/artfynd/A 29550-2022 artfynd.xlsx", "A 29550-2022")</f>
        <v/>
      </c>
      <c r="X153">
        <f>HYPERLINK("https://klasma.github.io/Logging_2313/kartor/A 29550-2022 karta.png", "A 29550-2022")</f>
        <v/>
      </c>
      <c r="Y153">
        <f>HYPERLINK("https://klasma.github.io/Logging_2313/kartor_geotiff/A 29550-2022 georefererad karta.tif", "A 29550-2022")</f>
        <v/>
      </c>
      <c r="AA153">
        <f>HYPERLINK("https://klasma.github.io/Logging_2313/klagomål/A 29550-2022 FSC-klagomål.docx", "A 29550-2022")</f>
        <v/>
      </c>
      <c r="AB153">
        <f>HYPERLINK("https://klasma.github.io/Logging_2313/klagomålsmail/A 29550-2022 FSC-klagomål mail.docx", "A 29550-2022")</f>
        <v/>
      </c>
      <c r="AC153">
        <f>HYPERLINK("https://klasma.github.io/Logging_2313/tillsyn/A 29550-2022 tillsynsbegäran.docx", "A 29550-2022")</f>
        <v/>
      </c>
      <c r="AD153">
        <f>HYPERLINK("https://klasma.github.io/Logging_2313/tillsynsmail/A 29550-2022 tillsynsbegäran mail.docx", "A 29550-2022")</f>
        <v/>
      </c>
    </row>
    <row r="154" ht="15" customHeight="1">
      <c r="A154" t="inlineStr">
        <is>
          <t>A 42790-2022</t>
        </is>
      </c>
      <c r="B154" t="inlineStr">
        <is>
          <t>avverkningsanmälan</t>
        </is>
      </c>
      <c r="C154" t="inlineStr">
        <is>
          <t>Föryngringsavverkning</t>
        </is>
      </c>
      <c r="D154" s="1" t="n">
        <v>44832</v>
      </c>
      <c r="E154" s="1" t="n">
        <v>46318</v>
      </c>
      <c r="F154" t="inlineStr">
        <is>
          <t>JÄMTLANDS LÄN</t>
        </is>
      </c>
      <c r="G154" t="inlineStr">
        <is>
          <t>STRÖMSUND</t>
        </is>
      </c>
      <c r="I154" t="n">
        <v>2.5</v>
      </c>
      <c r="J154" t="n">
        <v>0</v>
      </c>
      <c r="K154" t="n">
        <v>2</v>
      </c>
      <c r="L154" t="n">
        <v>0</v>
      </c>
      <c r="M154" t="n">
        <v>1</v>
      </c>
      <c r="N154" t="n">
        <v>0</v>
      </c>
      <c r="O154" t="n">
        <v>0</v>
      </c>
      <c r="P154" t="n">
        <v>0</v>
      </c>
      <c r="Q154" t="n">
        <v>1</v>
      </c>
      <c r="R154" t="n">
        <v>1</v>
      </c>
      <c r="S154" t="n">
        <v>3</v>
      </c>
      <c r="T154" t="n">
        <v>3</v>
      </c>
      <c r="U154" t="n">
        <v>3</v>
      </c>
      <c r="V154" s="2" t="inlineStr">
        <is>
          <t>Norsk näverlav
Gulnål
Kransrams</t>
        </is>
      </c>
      <c r="W154">
        <f>HYPERLINK("https://klasma.github.io/Logging_2313/artfynd/A 42790-2022 artfynd.xlsx", "A 42790-2022")</f>
        <v/>
      </c>
      <c r="X154">
        <f>HYPERLINK("https://klasma.github.io/Logging_2313/kartor/A 42790-2022 karta.png", "A 42790-2022")</f>
        <v/>
      </c>
      <c r="Y154">
        <f>HYPERLINK("https://klasma.github.io/Logging_2313/kartor_geotiff/A 42790-2022 georefererad karta.tif", "A 42790-2022")</f>
        <v/>
      </c>
      <c r="AA154">
        <f>HYPERLINK("https://klasma.github.io/Logging_2313/klagomål/A 42790-2022 FSC-klagomål.docx", "A 42790-2022")</f>
        <v/>
      </c>
      <c r="AB154">
        <f>HYPERLINK("https://klasma.github.io/Logging_2313/klagomålsmail/A 42790-2022 FSC-klagomål mail.docx", "A 42790-2022")</f>
        <v/>
      </c>
      <c r="AC154">
        <f>HYPERLINK("https://klasma.github.io/Logging_2313/tillsyn/A 42790-2022 tillsynsbegäran.docx", "A 42790-2022")</f>
        <v/>
      </c>
      <c r="AD154">
        <f>HYPERLINK("https://klasma.github.io/Logging_2313/tillsynsmail/A 42790-2022 tillsynsbegäran mail.docx", "A 42790-2022")</f>
        <v/>
      </c>
    </row>
    <row r="155" ht="15" customHeight="1">
      <c r="A155" t="inlineStr">
        <is>
          <t>A 3540-2022</t>
        </is>
      </c>
      <c r="B155" t="inlineStr">
        <is>
          <t>avverkningsanmälan</t>
        </is>
      </c>
      <c r="C155" t="inlineStr">
        <is>
          <t>Föryngringsavverkning</t>
        </is>
      </c>
      <c r="D155" s="1" t="n">
        <v>44585</v>
      </c>
      <c r="E155" s="1" t="n">
        <v>46318</v>
      </c>
      <c r="F155" t="inlineStr">
        <is>
          <t>JÄMTLANDS LÄN</t>
        </is>
      </c>
      <c r="G155" t="inlineStr">
        <is>
          <t>STRÖMSUND</t>
        </is>
      </c>
      <c r="H155" t="inlineStr">
        <is>
          <t>SCA</t>
        </is>
      </c>
      <c r="I155" t="n">
        <v>10.3</v>
      </c>
      <c r="J155" t="n">
        <v>0</v>
      </c>
      <c r="K155" t="n">
        <v>0</v>
      </c>
      <c r="L155" t="n">
        <v>3</v>
      </c>
      <c r="M155" t="n">
        <v>0</v>
      </c>
      <c r="N155" t="n">
        <v>0</v>
      </c>
      <c r="O155" t="n">
        <v>0</v>
      </c>
      <c r="P155" t="n">
        <v>0</v>
      </c>
      <c r="Q155" t="n">
        <v>3</v>
      </c>
      <c r="R155" t="n">
        <v>0</v>
      </c>
      <c r="S155" t="n">
        <v>3</v>
      </c>
      <c r="T155" t="n">
        <v>4</v>
      </c>
      <c r="U155" t="n">
        <v>0</v>
      </c>
      <c r="V155" s="2" t="inlineStr">
        <is>
          <t>Harticka
Rynkskinn
Skrovellav</t>
        </is>
      </c>
      <c r="W155">
        <f>HYPERLINK("https://klasma.github.io/Logging_2313/artfynd/A 3540-2022 artfynd.xlsx", "A 3540-2022")</f>
        <v/>
      </c>
      <c r="X155">
        <f>HYPERLINK("https://klasma.github.io/Logging_2313/kartor/A 3540-2022 karta.png", "A 3540-2022")</f>
        <v/>
      </c>
      <c r="Y155">
        <f>HYPERLINK("https://klasma.github.io/Logging_2313/kartor_geotiff/A 3540-2022 georefererad karta.tif", "A 3540-2022")</f>
        <v/>
      </c>
      <c r="AA155">
        <f>HYPERLINK("https://klasma.github.io/Logging_2313/klagomål/A 3540-2022 FSC-klagomål.docx", "A 3540-2022")</f>
        <v/>
      </c>
      <c r="AB155">
        <f>HYPERLINK("https://klasma.github.io/Logging_2313/klagomålsmail/A 3540-2022 FSC-klagomål mail.docx", "A 3540-2022")</f>
        <v/>
      </c>
      <c r="AC155">
        <f>HYPERLINK("https://klasma.github.io/Logging_2313/tillsyn/A 3540-2022 tillsynsbegäran.docx", "A 3540-2022")</f>
        <v/>
      </c>
      <c r="AD155">
        <f>HYPERLINK("https://klasma.github.io/Logging_2313/tillsynsmail/A 3540-2022 tillsynsbegäran mail.docx", "A 3540-2022")</f>
        <v/>
      </c>
    </row>
    <row r="156" ht="15" customHeight="1">
      <c r="A156" t="inlineStr">
        <is>
          <t>A 73291-2021</t>
        </is>
      </c>
      <c r="B156" t="inlineStr">
        <is>
          <t>avverkningsanmälan</t>
        </is>
      </c>
      <c r="C156" t="inlineStr">
        <is>
          <t>Avverkning för att bevara och utveckla /försöksver</t>
        </is>
      </c>
      <c r="D156" s="1" t="n">
        <v>44550</v>
      </c>
      <c r="E156" s="1" t="n">
        <v>46318</v>
      </c>
      <c r="F156" t="inlineStr">
        <is>
          <t>JÄMTLANDS LÄN</t>
        </is>
      </c>
      <c r="G156" t="inlineStr">
        <is>
          <t>STRÖMSUND</t>
        </is>
      </c>
      <c r="H156" t="inlineStr">
        <is>
          <t>SCA</t>
        </is>
      </c>
      <c r="I156" t="n">
        <v>2</v>
      </c>
      <c r="J156" t="n">
        <v>0</v>
      </c>
      <c r="K156" t="n">
        <v>1</v>
      </c>
      <c r="L156" t="n">
        <v>2</v>
      </c>
      <c r="M156" t="n">
        <v>0</v>
      </c>
      <c r="N156" t="n">
        <v>0</v>
      </c>
      <c r="O156" t="n">
        <v>0</v>
      </c>
      <c r="P156" t="n">
        <v>0</v>
      </c>
      <c r="Q156" t="n">
        <v>2</v>
      </c>
      <c r="R156" t="n">
        <v>0</v>
      </c>
      <c r="S156" t="n">
        <v>3</v>
      </c>
      <c r="T156" t="n">
        <v>3</v>
      </c>
      <c r="U156" t="n">
        <v>3</v>
      </c>
      <c r="V156" s="2" t="inlineStr">
        <is>
          <t>Vedflikmossa
Vedtrappmossa
Vedticka</t>
        </is>
      </c>
      <c r="W156">
        <f>HYPERLINK("https://klasma.github.io/Logging_2313/artfynd/A 73291-2021 artfynd.xlsx", "A 73291-2021")</f>
        <v/>
      </c>
      <c r="X156">
        <f>HYPERLINK("https://klasma.github.io/Logging_2313/kartor/A 73291-2021 karta.png", "A 73291-2021")</f>
        <v/>
      </c>
      <c r="Y156">
        <f>HYPERLINK("https://klasma.github.io/Logging_2313/kartor_geotiff/A 73291-2021 georefererad karta.tif", "A 73291-2021")</f>
        <v/>
      </c>
      <c r="AA156">
        <f>HYPERLINK("https://klasma.github.io/Logging_2313/klagomål/A 73291-2021 FSC-klagomål.docx", "A 73291-2021")</f>
        <v/>
      </c>
      <c r="AB156">
        <f>HYPERLINK("https://klasma.github.io/Logging_2313/klagomålsmail/A 73291-2021 FSC-klagomål mail.docx", "A 73291-2021")</f>
        <v/>
      </c>
      <c r="AC156">
        <f>HYPERLINK("https://klasma.github.io/Logging_2313/tillsyn/A 73291-2021 tillsynsbegäran.docx", "A 73291-2021")</f>
        <v/>
      </c>
      <c r="AD156">
        <f>HYPERLINK("https://klasma.github.io/Logging_2313/tillsynsmail/A 73291-2021 tillsynsbegäran mail.docx", "A 73291-2021")</f>
        <v/>
      </c>
    </row>
    <row r="157" ht="15" customHeight="1">
      <c r="A157" t="inlineStr">
        <is>
          <t>A 29301-2022</t>
        </is>
      </c>
      <c r="B157" t="inlineStr">
        <is>
          <t>avverkningsanmälan</t>
        </is>
      </c>
      <c r="C157" t="inlineStr">
        <is>
          <t>Avverkning för att bevara och utveckla /försöksver</t>
        </is>
      </c>
      <c r="D157" s="1" t="n">
        <v>44750</v>
      </c>
      <c r="E157" s="1" t="n">
        <v>46318</v>
      </c>
      <c r="F157" t="inlineStr">
        <is>
          <t>JÄMTLANDS LÄN</t>
        </is>
      </c>
      <c r="G157" t="inlineStr">
        <is>
          <t>STRÖMSUND</t>
        </is>
      </c>
      <c r="H157" t="inlineStr">
        <is>
          <t>SCA</t>
        </is>
      </c>
      <c r="I157" t="n">
        <v>6.8</v>
      </c>
      <c r="J157" t="n">
        <v>0</v>
      </c>
      <c r="K157" t="n">
        <v>1</v>
      </c>
      <c r="L157" t="n">
        <v>1</v>
      </c>
      <c r="M157" t="n">
        <v>1</v>
      </c>
      <c r="N157" t="n">
        <v>0</v>
      </c>
      <c r="O157" t="n">
        <v>0</v>
      </c>
      <c r="P157" t="n">
        <v>0</v>
      </c>
      <c r="Q157" t="n">
        <v>2</v>
      </c>
      <c r="R157" t="n">
        <v>1</v>
      </c>
      <c r="S157" t="n">
        <v>3</v>
      </c>
      <c r="T157" t="n">
        <v>3</v>
      </c>
      <c r="U157" t="n">
        <v>0</v>
      </c>
      <c r="V157" s="2" t="inlineStr">
        <is>
          <t>Garnlav
Vitgrynig nållav
Källmossa</t>
        </is>
      </c>
      <c r="W157">
        <f>HYPERLINK("https://klasma.github.io/Logging_2313/artfynd/A 29301-2022 artfynd.xlsx", "A 29301-2022")</f>
        <v/>
      </c>
      <c r="X157">
        <f>HYPERLINK("https://klasma.github.io/Logging_2313/kartor/A 29301-2022 karta.png", "A 29301-2022")</f>
        <v/>
      </c>
      <c r="Y157">
        <f>HYPERLINK("https://klasma.github.io/Logging_2313/kartor_geotiff/A 29301-2022 georefererad karta.tif", "A 29301-2022")</f>
        <v/>
      </c>
      <c r="AA157">
        <f>HYPERLINK("https://klasma.github.io/Logging_2313/klagomål/A 29301-2022 FSC-klagomål.docx", "A 29301-2022")</f>
        <v/>
      </c>
      <c r="AB157">
        <f>HYPERLINK("https://klasma.github.io/Logging_2313/klagomålsmail/A 29301-2022 FSC-klagomål mail.docx", "A 29301-2022")</f>
        <v/>
      </c>
      <c r="AC157">
        <f>HYPERLINK("https://klasma.github.io/Logging_2313/tillsyn/A 29301-2022 tillsynsbegäran.docx", "A 29301-2022")</f>
        <v/>
      </c>
      <c r="AD157">
        <f>HYPERLINK("https://klasma.github.io/Logging_2313/tillsynsmail/A 29301-2022 tillsynsbegäran mail.docx", "A 29301-2022")</f>
        <v/>
      </c>
    </row>
    <row r="158" ht="15" customHeight="1">
      <c r="A158" t="inlineStr">
        <is>
          <t>A 25038-2022</t>
        </is>
      </c>
      <c r="B158" t="inlineStr">
        <is>
          <t>avverkningsanmälan</t>
        </is>
      </c>
      <c r="C158" t="inlineStr">
        <is>
          <t>Avverkning för att bevara och utveckla /försöksver</t>
        </is>
      </c>
      <c r="D158" s="1" t="n">
        <v>44728</v>
      </c>
      <c r="E158" s="1" t="n">
        <v>46318</v>
      </c>
      <c r="F158" t="inlineStr">
        <is>
          <t>JÄMTLANDS LÄN</t>
        </is>
      </c>
      <c r="G158" t="inlineStr">
        <is>
          <t>STRÖMSUND</t>
        </is>
      </c>
      <c r="H158" t="inlineStr">
        <is>
          <t>SCA</t>
        </is>
      </c>
      <c r="I158" t="n">
        <v>7.7</v>
      </c>
      <c r="J158" t="n">
        <v>1</v>
      </c>
      <c r="K158" t="n">
        <v>0</v>
      </c>
      <c r="L158" t="n">
        <v>0</v>
      </c>
      <c r="M158" t="n">
        <v>3</v>
      </c>
      <c r="N158" t="n">
        <v>0</v>
      </c>
      <c r="O158" t="n">
        <v>0</v>
      </c>
      <c r="P158" t="n">
        <v>0</v>
      </c>
      <c r="Q158" t="n">
        <v>3</v>
      </c>
      <c r="R158" t="n">
        <v>3</v>
      </c>
      <c r="S158" t="n">
        <v>3</v>
      </c>
      <c r="T158" t="n">
        <v>5</v>
      </c>
      <c r="U158" t="n">
        <v>4</v>
      </c>
      <c r="V158" s="2" t="inlineStr">
        <is>
          <t>Garnlav
Gräddporing
Knärot</t>
        </is>
      </c>
      <c r="W158">
        <f>HYPERLINK("https://klasma.github.io/Logging_2313/artfynd/A 25038-2022 artfynd.xlsx", "A 25038-2022")</f>
        <v/>
      </c>
      <c r="X158">
        <f>HYPERLINK("https://klasma.github.io/Logging_2313/kartor/A 25038-2022 karta.png", "A 25038-2022")</f>
        <v/>
      </c>
      <c r="Y158">
        <f>HYPERLINK("https://klasma.github.io/Logging_2313/kartor_geotiff/A 25038-2022 georefererad karta.tif", "A 25038-2022")</f>
        <v/>
      </c>
      <c r="Z158">
        <f>HYPERLINK("https://klasma.github.io/Logging_2313/knärot/A 25038-2022 karta knärot.png", "A 25038-2022")</f>
        <v/>
      </c>
      <c r="AA158">
        <f>HYPERLINK("https://klasma.github.io/Logging_2313/klagomål/A 25038-2022 FSC-klagomål.docx", "A 25038-2022")</f>
        <v/>
      </c>
      <c r="AB158">
        <f>HYPERLINK("https://klasma.github.io/Logging_2313/klagomålsmail/A 25038-2022 FSC-klagomål mail.docx", "A 25038-2022")</f>
        <v/>
      </c>
      <c r="AC158">
        <f>HYPERLINK("https://klasma.github.io/Logging_2313/tillsyn/A 25038-2022 tillsynsbegäran.docx", "A 25038-2022")</f>
        <v/>
      </c>
      <c r="AD158">
        <f>HYPERLINK("https://klasma.github.io/Logging_2313/tillsynsmail/A 25038-2022 tillsynsbegäran mail.docx", "A 25038-2022")</f>
        <v/>
      </c>
    </row>
    <row r="159" ht="15" customHeight="1">
      <c r="A159" t="inlineStr">
        <is>
          <t>A 61385-2022</t>
        </is>
      </c>
      <c r="B159" t="inlineStr">
        <is>
          <t>avverkningsanmälan</t>
        </is>
      </c>
      <c r="C159" t="inlineStr">
        <is>
          <t>Föryngringsavverkning</t>
        </is>
      </c>
      <c r="D159" s="1" t="n">
        <v>44915</v>
      </c>
      <c r="E159" s="1" t="n">
        <v>46318</v>
      </c>
      <c r="F159" t="inlineStr">
        <is>
          <t>JÄMTLANDS LÄN</t>
        </is>
      </c>
      <c r="G159" t="inlineStr">
        <is>
          <t>STRÖMSUND</t>
        </is>
      </c>
      <c r="I159" t="n">
        <v>2.6</v>
      </c>
      <c r="J159" t="n">
        <v>1</v>
      </c>
      <c r="K159" t="n">
        <v>2</v>
      </c>
      <c r="L159" t="n">
        <v>1</v>
      </c>
      <c r="M159" t="n">
        <v>0</v>
      </c>
      <c r="N159" t="n">
        <v>0</v>
      </c>
      <c r="O159" t="n">
        <v>0</v>
      </c>
      <c r="P159" t="n">
        <v>0</v>
      </c>
      <c r="Q159" t="n">
        <v>1</v>
      </c>
      <c r="R159" t="n">
        <v>0</v>
      </c>
      <c r="S159" t="n">
        <v>3</v>
      </c>
      <c r="T159" t="n">
        <v>8</v>
      </c>
      <c r="U159" t="n">
        <v>0</v>
      </c>
      <c r="V159" s="2" t="inlineStr">
        <is>
          <t>Orange taggsvamp
Grönkulla
Svart trolldruva</t>
        </is>
      </c>
      <c r="W159">
        <f>HYPERLINK("https://klasma.github.io/Logging_2313/artfynd/A 61385-2022 artfynd.xlsx", "A 61385-2022")</f>
        <v/>
      </c>
      <c r="X159">
        <f>HYPERLINK("https://klasma.github.io/Logging_2313/kartor/A 61385-2022 karta.png", "A 61385-2022")</f>
        <v/>
      </c>
      <c r="Y159">
        <f>HYPERLINK("https://klasma.github.io/Logging_2313/kartor_geotiff/A 61385-2022 georefererad karta.tif", "A 61385-2022")</f>
        <v/>
      </c>
      <c r="AA159">
        <f>HYPERLINK("https://klasma.github.io/Logging_2313/klagomål/A 61385-2022 FSC-klagomål.docx", "A 61385-2022")</f>
        <v/>
      </c>
      <c r="AB159">
        <f>HYPERLINK("https://klasma.github.io/Logging_2313/klagomålsmail/A 61385-2022 FSC-klagomål mail.docx", "A 61385-2022")</f>
        <v/>
      </c>
      <c r="AC159">
        <f>HYPERLINK("https://klasma.github.io/Logging_2313/tillsyn/A 61385-2022 tillsynsbegäran.docx", "A 61385-2022")</f>
        <v/>
      </c>
      <c r="AD159">
        <f>HYPERLINK("https://klasma.github.io/Logging_2313/tillsynsmail/A 61385-2022 tillsynsbegäran mail.docx", "A 61385-2022")</f>
        <v/>
      </c>
    </row>
    <row r="160" ht="15" customHeight="1">
      <c r="A160" t="inlineStr">
        <is>
          <t>A 46621-2022</t>
        </is>
      </c>
      <c r="B160" t="inlineStr">
        <is>
          <t>avverkningsanmälan</t>
        </is>
      </c>
      <c r="C160" t="inlineStr">
        <is>
          <t>Föryngringsavverkning</t>
        </is>
      </c>
      <c r="D160" s="1" t="n">
        <v>44848</v>
      </c>
      <c r="E160" s="1" t="n">
        <v>46318</v>
      </c>
      <c r="F160" t="inlineStr">
        <is>
          <t>JÄMTLANDS LÄN</t>
        </is>
      </c>
      <c r="G160" t="inlineStr">
        <is>
          <t>STRÖMSUND</t>
        </is>
      </c>
      <c r="H160" t="inlineStr">
        <is>
          <t>SCA</t>
        </is>
      </c>
      <c r="I160" t="n">
        <v>6.8</v>
      </c>
      <c r="J160" t="n">
        <v>1</v>
      </c>
      <c r="K160" t="n">
        <v>0</v>
      </c>
      <c r="L160" t="n">
        <v>2</v>
      </c>
      <c r="M160" t="n">
        <v>1</v>
      </c>
      <c r="N160" t="n">
        <v>0</v>
      </c>
      <c r="O160" t="n">
        <v>0</v>
      </c>
      <c r="P160" t="n">
        <v>0</v>
      </c>
      <c r="Q160" t="n">
        <v>3</v>
      </c>
      <c r="R160" t="n">
        <v>1</v>
      </c>
      <c r="S160" t="n">
        <v>3</v>
      </c>
      <c r="T160" t="n">
        <v>4</v>
      </c>
      <c r="U160" t="n">
        <v>0</v>
      </c>
      <c r="V160" s="2" t="inlineStr">
        <is>
          <t>Garnlav
Lavskrika
Ullticka</t>
        </is>
      </c>
      <c r="W160">
        <f>HYPERLINK("https://klasma.github.io/Logging_2313/artfynd/A 46621-2022 artfynd.xlsx", "A 46621-2022")</f>
        <v/>
      </c>
      <c r="X160">
        <f>HYPERLINK("https://klasma.github.io/Logging_2313/kartor/A 46621-2022 karta.png", "A 46621-2022")</f>
        <v/>
      </c>
      <c r="Y160">
        <f>HYPERLINK("https://klasma.github.io/Logging_2313/kartor_geotiff/A 46621-2022 georefererad karta.tif", "A 46621-2022")</f>
        <v/>
      </c>
      <c r="AA160">
        <f>HYPERLINK("https://klasma.github.io/Logging_2313/klagomål/A 46621-2022 FSC-klagomål.docx", "A 46621-2022")</f>
        <v/>
      </c>
      <c r="AB160">
        <f>HYPERLINK("https://klasma.github.io/Logging_2313/klagomålsmail/A 46621-2022 FSC-klagomål mail.docx", "A 46621-2022")</f>
        <v/>
      </c>
      <c r="AC160">
        <f>HYPERLINK("https://klasma.github.io/Logging_2313/tillsyn/A 46621-2022 tillsynsbegäran.docx", "A 46621-2022")</f>
        <v/>
      </c>
      <c r="AD160">
        <f>HYPERLINK("https://klasma.github.io/Logging_2313/tillsynsmail/A 46621-2022 tillsynsbegäran mail.docx", "A 46621-2022")</f>
        <v/>
      </c>
      <c r="AE160">
        <f>HYPERLINK("https://klasma.github.io/Logging_2313/fåglar/A 46621-2022 prioriterade fågelarter.docx", "A 46621-2022")</f>
        <v/>
      </c>
    </row>
    <row r="161" ht="15" customHeight="1">
      <c r="A161" t="inlineStr">
        <is>
          <t>A 46341-2022</t>
        </is>
      </c>
      <c r="B161" t="inlineStr">
        <is>
          <t>avverkningsanmälan</t>
        </is>
      </c>
      <c r="C161" t="inlineStr">
        <is>
          <t>Föryngringsavverkning</t>
        </is>
      </c>
      <c r="D161" s="1" t="n">
        <v>44847</v>
      </c>
      <c r="E161" s="1" t="n">
        <v>46318</v>
      </c>
      <c r="F161" t="inlineStr">
        <is>
          <t>JÄMTLANDS LÄN</t>
        </is>
      </c>
      <c r="G161" t="inlineStr">
        <is>
          <t>STRÖMSUND</t>
        </is>
      </c>
      <c r="H161" t="inlineStr">
        <is>
          <t>SCA</t>
        </is>
      </c>
      <c r="I161" t="n">
        <v>3.2</v>
      </c>
      <c r="J161" t="n">
        <v>1</v>
      </c>
      <c r="K161" t="n">
        <v>0</v>
      </c>
      <c r="L161" t="n">
        <v>1</v>
      </c>
      <c r="M161" t="n">
        <v>2</v>
      </c>
      <c r="N161" t="n">
        <v>0</v>
      </c>
      <c r="O161" t="n">
        <v>0</v>
      </c>
      <c r="P161" t="n">
        <v>0</v>
      </c>
      <c r="Q161" t="n">
        <v>3</v>
      </c>
      <c r="R161" t="n">
        <v>2</v>
      </c>
      <c r="S161" t="n">
        <v>3</v>
      </c>
      <c r="T161" t="n">
        <v>4</v>
      </c>
      <c r="U161" t="n">
        <v>1</v>
      </c>
      <c r="V161" s="2" t="inlineStr">
        <is>
          <t>Goliatmusseron
Knärot
Rosenticka</t>
        </is>
      </c>
      <c r="W161">
        <f>HYPERLINK("https://klasma.github.io/Logging_2313/artfynd/A 46341-2022 artfynd.xlsx", "A 46341-2022")</f>
        <v/>
      </c>
      <c r="X161">
        <f>HYPERLINK("https://klasma.github.io/Logging_2313/kartor/A 46341-2022 karta.png", "A 46341-2022")</f>
        <v/>
      </c>
      <c r="Y161">
        <f>HYPERLINK("https://klasma.github.io/Logging_2313/kartor_geotiff/A 46341-2022 georefererad karta.tif", "A 46341-2022")</f>
        <v/>
      </c>
      <c r="Z161">
        <f>HYPERLINK("https://klasma.github.io/Logging_2313/knärot/A 46341-2022 karta knärot.png", "A 46341-2022")</f>
        <v/>
      </c>
      <c r="AA161">
        <f>HYPERLINK("https://klasma.github.io/Logging_2313/klagomål/A 46341-2022 FSC-klagomål.docx", "A 46341-2022")</f>
        <v/>
      </c>
      <c r="AB161">
        <f>HYPERLINK("https://klasma.github.io/Logging_2313/klagomålsmail/A 46341-2022 FSC-klagomål mail.docx", "A 46341-2022")</f>
        <v/>
      </c>
      <c r="AC161">
        <f>HYPERLINK("https://klasma.github.io/Logging_2313/tillsyn/A 46341-2022 tillsynsbegäran.docx", "A 46341-2022")</f>
        <v/>
      </c>
      <c r="AD161">
        <f>HYPERLINK("https://klasma.github.io/Logging_2313/tillsynsmail/A 46341-2022 tillsynsbegäran mail.docx", "A 46341-2022")</f>
        <v/>
      </c>
    </row>
    <row r="162" ht="15" customHeight="1">
      <c r="A162" t="inlineStr">
        <is>
          <t>A 32908-2023</t>
        </is>
      </c>
      <c r="B162" t="inlineStr">
        <is>
          <t>avverkningsanmälan</t>
        </is>
      </c>
      <c r="C162" t="inlineStr">
        <is>
          <t>Avverkning för att bevara och utveckla /försöksver</t>
        </is>
      </c>
      <c r="D162" s="1" t="n">
        <v>45124</v>
      </c>
      <c r="E162" s="1" t="n">
        <v>46318</v>
      </c>
      <c r="F162" t="inlineStr">
        <is>
          <t>JÄMTLANDS LÄN</t>
        </is>
      </c>
      <c r="G162" t="inlineStr">
        <is>
          <t>STRÖMSUND</t>
        </is>
      </c>
      <c r="H162" t="inlineStr">
        <is>
          <t>SCA</t>
        </is>
      </c>
      <c r="I162" t="n">
        <v>9.800000000000001</v>
      </c>
      <c r="J162" t="n">
        <v>1</v>
      </c>
      <c r="K162" t="n">
        <v>0</v>
      </c>
      <c r="L162" t="n">
        <v>1</v>
      </c>
      <c r="M162" t="n">
        <v>1</v>
      </c>
      <c r="N162" t="n">
        <v>0</v>
      </c>
      <c r="O162" t="n">
        <v>0</v>
      </c>
      <c r="P162" t="n">
        <v>0</v>
      </c>
      <c r="Q162" t="n">
        <v>2</v>
      </c>
      <c r="R162" t="n">
        <v>1</v>
      </c>
      <c r="S162" t="n">
        <v>3</v>
      </c>
      <c r="T162" t="n">
        <v>5</v>
      </c>
      <c r="U162" t="n">
        <v>5</v>
      </c>
      <c r="V162" s="2" t="inlineStr">
        <is>
          <t>Garnlav
Rosenticka
Revlummer</t>
        </is>
      </c>
      <c r="W162">
        <f>HYPERLINK("https://klasma.github.io/Logging_2313/artfynd/A 32908-2023 artfynd.xlsx", "A 32908-2023")</f>
        <v/>
      </c>
      <c r="X162">
        <f>HYPERLINK("https://klasma.github.io/Logging_2313/kartor/A 32908-2023 karta.png", "A 32908-2023")</f>
        <v/>
      </c>
      <c r="Y162">
        <f>HYPERLINK("https://klasma.github.io/Logging_2313/kartor_geotiff/A 32908-2023 georefererad karta.tif", "A 32908-2023")</f>
        <v/>
      </c>
      <c r="AA162">
        <f>HYPERLINK("https://klasma.github.io/Logging_2313/klagomål/A 32908-2023 FSC-klagomål.docx", "A 32908-2023")</f>
        <v/>
      </c>
      <c r="AB162">
        <f>HYPERLINK("https://klasma.github.io/Logging_2313/klagomålsmail/A 32908-2023 FSC-klagomål mail.docx", "A 32908-2023")</f>
        <v/>
      </c>
      <c r="AC162">
        <f>HYPERLINK("https://klasma.github.io/Logging_2313/tillsyn/A 32908-2023 tillsynsbegäran.docx", "A 32908-2023")</f>
        <v/>
      </c>
      <c r="AD162">
        <f>HYPERLINK("https://klasma.github.io/Logging_2313/tillsynsmail/A 32908-2023 tillsynsbegäran mail.docx", "A 32908-2023")</f>
        <v/>
      </c>
    </row>
    <row r="163" ht="15" customHeight="1">
      <c r="A163" t="inlineStr">
        <is>
          <t>A 29537-2025</t>
        </is>
      </c>
      <c r="B163" t="inlineStr">
        <is>
          <t>avverkningsanmälan</t>
        </is>
      </c>
      <c r="C163" t="inlineStr">
        <is>
          <t>Föryngringsavverkning</t>
        </is>
      </c>
      <c r="D163" s="1" t="n">
        <v>45825</v>
      </c>
      <c r="E163" s="1" t="n">
        <v>46318</v>
      </c>
      <c r="F163" t="inlineStr">
        <is>
          <t>JÄMTLANDS LÄN</t>
        </is>
      </c>
      <c r="G163" t="inlineStr">
        <is>
          <t>STRÖMSUND</t>
        </is>
      </c>
      <c r="H163" t="inlineStr">
        <is>
          <t>SCA</t>
        </is>
      </c>
      <c r="I163" t="n">
        <v>5.4</v>
      </c>
      <c r="J163" t="n">
        <v>0</v>
      </c>
      <c r="K163" t="n">
        <v>0</v>
      </c>
      <c r="L163" t="n">
        <v>2</v>
      </c>
      <c r="M163" t="n">
        <v>1</v>
      </c>
      <c r="N163" t="n">
        <v>0</v>
      </c>
      <c r="O163" t="n">
        <v>0</v>
      </c>
      <c r="P163" t="n">
        <v>0</v>
      </c>
      <c r="Q163" t="n">
        <v>3</v>
      </c>
      <c r="R163" t="n">
        <v>1</v>
      </c>
      <c r="S163" t="n">
        <v>3</v>
      </c>
      <c r="T163" t="n">
        <v>3</v>
      </c>
      <c r="U163" t="n">
        <v>0</v>
      </c>
      <c r="V163" s="2" t="inlineStr">
        <is>
          <t>Läderdoftande fingersvamp
Mörk kolflarnlav
Puderspindling</t>
        </is>
      </c>
      <c r="W163">
        <f>HYPERLINK("https://klasma.github.io/Logging_2313/artfynd/A 29537-2025 artfynd.xlsx", "A 29537-2025")</f>
        <v/>
      </c>
      <c r="X163">
        <f>HYPERLINK("https://klasma.github.io/Logging_2313/kartor/A 29537-2025 karta.png", "A 29537-2025")</f>
        <v/>
      </c>
      <c r="Y163">
        <f>HYPERLINK("https://klasma.github.io/Logging_2313/kartor_geotiff/A 29537-2025 georefererad karta.tif", "A 29537-2025")</f>
        <v/>
      </c>
      <c r="AA163">
        <f>HYPERLINK("https://klasma.github.io/Logging_2313/klagomål/A 29537-2025 FSC-klagomål.docx", "A 29537-2025")</f>
        <v/>
      </c>
      <c r="AB163">
        <f>HYPERLINK("https://klasma.github.io/Logging_2313/klagomålsmail/A 29537-2025 FSC-klagomål mail.docx", "A 29537-2025")</f>
        <v/>
      </c>
      <c r="AC163">
        <f>HYPERLINK("https://klasma.github.io/Logging_2313/tillsyn/A 29537-2025 tillsynsbegäran.docx", "A 29537-2025")</f>
        <v/>
      </c>
      <c r="AD163">
        <f>HYPERLINK("https://klasma.github.io/Logging_2313/tillsynsmail/A 29537-2025 tillsynsbegäran mail.docx", "A 29537-2025")</f>
        <v/>
      </c>
    </row>
    <row r="164" ht="15" customHeight="1">
      <c r="A164" t="inlineStr">
        <is>
          <t>A 31712-2025</t>
        </is>
      </c>
      <c r="B164" t="inlineStr">
        <is>
          <t>avverkningsanmälan</t>
        </is>
      </c>
      <c r="C164" t="inlineStr">
        <is>
          <t>Föryngringsavverkning</t>
        </is>
      </c>
      <c r="D164" s="1" t="n">
        <v>45834</v>
      </c>
      <c r="E164" s="1" t="n">
        <v>46318</v>
      </c>
      <c r="F164" t="inlineStr">
        <is>
          <t>JÄMTLANDS LÄN</t>
        </is>
      </c>
      <c r="G164" t="inlineStr">
        <is>
          <t>STRÖMSUND</t>
        </is>
      </c>
      <c r="H164" t="inlineStr">
        <is>
          <t>SCA</t>
        </is>
      </c>
      <c r="I164" t="n">
        <v>10.8</v>
      </c>
      <c r="J164" t="n">
        <v>0</v>
      </c>
      <c r="K164" t="n">
        <v>1</v>
      </c>
      <c r="L164" t="n">
        <v>1</v>
      </c>
      <c r="M164" t="n">
        <v>1</v>
      </c>
      <c r="N164" t="n">
        <v>0</v>
      </c>
      <c r="O164" t="n">
        <v>0</v>
      </c>
      <c r="P164" t="n">
        <v>0</v>
      </c>
      <c r="Q164" t="n">
        <v>2</v>
      </c>
      <c r="R164" t="n">
        <v>1</v>
      </c>
      <c r="S164" t="n">
        <v>3</v>
      </c>
      <c r="T164" t="n">
        <v>3</v>
      </c>
      <c r="U164" t="n">
        <v>2</v>
      </c>
      <c r="V164" s="2" t="inlineStr">
        <is>
          <t>Gränsticka
Skrovellav
Bårdlav</t>
        </is>
      </c>
      <c r="W164">
        <f>HYPERLINK("https://klasma.github.io/Logging_2313/artfynd/A 31712-2025 artfynd.xlsx", "A 31712-2025")</f>
        <v/>
      </c>
      <c r="X164">
        <f>HYPERLINK("https://klasma.github.io/Logging_2313/kartor/A 31712-2025 karta.png", "A 31712-2025")</f>
        <v/>
      </c>
      <c r="Y164">
        <f>HYPERLINK("https://klasma.github.io/Logging_2313/kartor_geotiff/A 31712-2025 georefererad karta.tif", "A 31712-2025")</f>
        <v/>
      </c>
      <c r="AA164">
        <f>HYPERLINK("https://klasma.github.io/Logging_2313/klagomål/A 31712-2025 FSC-klagomål.docx", "A 31712-2025")</f>
        <v/>
      </c>
      <c r="AB164">
        <f>HYPERLINK("https://klasma.github.io/Logging_2313/klagomålsmail/A 31712-2025 FSC-klagomål mail.docx", "A 31712-2025")</f>
        <v/>
      </c>
      <c r="AC164">
        <f>HYPERLINK("https://klasma.github.io/Logging_2313/tillsyn/A 31712-2025 tillsynsbegäran.docx", "A 31712-2025")</f>
        <v/>
      </c>
      <c r="AD164">
        <f>HYPERLINK("https://klasma.github.io/Logging_2313/tillsynsmail/A 31712-2025 tillsynsbegäran mail.docx", "A 31712-2025")</f>
        <v/>
      </c>
    </row>
    <row r="165" ht="15" customHeight="1">
      <c r="A165" t="inlineStr">
        <is>
          <t>A 61417-2021</t>
        </is>
      </c>
      <c r="B165" t="inlineStr">
        <is>
          <t>avverkningsanmälan</t>
        </is>
      </c>
      <c r="C165" t="inlineStr">
        <is>
          <t>Avverkning för att bevara och utveckla /försöksver</t>
        </is>
      </c>
      <c r="D165" s="1" t="n">
        <v>44500</v>
      </c>
      <c r="E165" s="1" t="n">
        <v>46318</v>
      </c>
      <c r="F165" t="inlineStr">
        <is>
          <t>JÄMTLANDS LÄN</t>
        </is>
      </c>
      <c r="G165" t="inlineStr">
        <is>
          <t>STRÖMSUND</t>
        </is>
      </c>
      <c r="H165" t="inlineStr">
        <is>
          <t>SCA</t>
        </is>
      </c>
      <c r="I165" t="n">
        <v>13.8</v>
      </c>
      <c r="J165" t="n">
        <v>0</v>
      </c>
      <c r="K165" t="n">
        <v>0</v>
      </c>
      <c r="L165" t="n">
        <v>2</v>
      </c>
      <c r="M165" t="n">
        <v>1</v>
      </c>
      <c r="N165" t="n">
        <v>0</v>
      </c>
      <c r="O165" t="n">
        <v>0</v>
      </c>
      <c r="P165" t="n">
        <v>0</v>
      </c>
      <c r="Q165" t="n">
        <v>3</v>
      </c>
      <c r="R165" t="n">
        <v>1</v>
      </c>
      <c r="S165" t="n">
        <v>3</v>
      </c>
      <c r="T165" t="n">
        <v>5</v>
      </c>
      <c r="U165" t="n">
        <v>0</v>
      </c>
      <c r="V165" s="2" t="inlineStr">
        <is>
          <t>Gräddporing
Dvärgbägarlav
Nordtagging</t>
        </is>
      </c>
      <c r="W165">
        <f>HYPERLINK("https://klasma.github.io/Logging_2313/artfynd/A 61417-2021 artfynd.xlsx", "A 61417-2021")</f>
        <v/>
      </c>
      <c r="X165">
        <f>HYPERLINK("https://klasma.github.io/Logging_2313/kartor/A 61417-2021 karta.png", "A 61417-2021")</f>
        <v/>
      </c>
      <c r="Y165">
        <f>HYPERLINK("https://klasma.github.io/Logging_2313/kartor_geotiff/A 61417-2021 georefererad karta.tif", "A 61417-2021")</f>
        <v/>
      </c>
      <c r="AA165">
        <f>HYPERLINK("https://klasma.github.io/Logging_2313/klagomål/A 61417-2021 FSC-klagomål.docx", "A 61417-2021")</f>
        <v/>
      </c>
      <c r="AB165">
        <f>HYPERLINK("https://klasma.github.io/Logging_2313/klagomålsmail/A 61417-2021 FSC-klagomål mail.docx", "A 61417-2021")</f>
        <v/>
      </c>
      <c r="AC165">
        <f>HYPERLINK("https://klasma.github.io/Logging_2313/tillsyn/A 61417-2021 tillsynsbegäran.docx", "A 61417-2021")</f>
        <v/>
      </c>
      <c r="AD165">
        <f>HYPERLINK("https://klasma.github.io/Logging_2313/tillsynsmail/A 61417-2021 tillsynsbegäran mail.docx", "A 61417-2021")</f>
        <v/>
      </c>
    </row>
    <row r="166" ht="15" customHeight="1">
      <c r="A166" t="inlineStr">
        <is>
          <t>A 33055-2025</t>
        </is>
      </c>
      <c r="B166" t="inlineStr">
        <is>
          <t>avverkningsanmälan</t>
        </is>
      </c>
      <c r="C166" t="inlineStr">
        <is>
          <t>Föryngringsavverkning</t>
        </is>
      </c>
      <c r="D166" s="1" t="n">
        <v>45840</v>
      </c>
      <c r="E166" s="1" t="n">
        <v>46318</v>
      </c>
      <c r="F166" t="inlineStr">
        <is>
          <t>JÄMTLANDS LÄN</t>
        </is>
      </c>
      <c r="G166" t="inlineStr">
        <is>
          <t>STRÖMSUND</t>
        </is>
      </c>
      <c r="H166" t="inlineStr">
        <is>
          <t>SCA</t>
        </is>
      </c>
      <c r="I166" t="n">
        <v>2.2</v>
      </c>
      <c r="J166" t="n">
        <v>0</v>
      </c>
      <c r="K166" t="n">
        <v>0</v>
      </c>
      <c r="L166" t="n">
        <v>2</v>
      </c>
      <c r="M166" t="n">
        <v>1</v>
      </c>
      <c r="N166" t="n">
        <v>0</v>
      </c>
      <c r="O166" t="n">
        <v>0</v>
      </c>
      <c r="P166" t="n">
        <v>0</v>
      </c>
      <c r="Q166" t="n">
        <v>3</v>
      </c>
      <c r="R166" t="n">
        <v>1</v>
      </c>
      <c r="S166" t="n">
        <v>3</v>
      </c>
      <c r="T166" t="n">
        <v>3</v>
      </c>
      <c r="U166" t="n">
        <v>3</v>
      </c>
      <c r="V166" s="2" t="inlineStr">
        <is>
          <t>Fläckporing
Lunglav
Vedtrappmossa</t>
        </is>
      </c>
      <c r="W166">
        <f>HYPERLINK("https://klasma.github.io/Logging_2313/artfynd/A 33055-2025 artfynd.xlsx", "A 33055-2025")</f>
        <v/>
      </c>
      <c r="X166">
        <f>HYPERLINK("https://klasma.github.io/Logging_2313/kartor/A 33055-2025 karta.png", "A 33055-2025")</f>
        <v/>
      </c>
      <c r="Y166">
        <f>HYPERLINK("https://klasma.github.io/Logging_2313/kartor_geotiff/A 33055-2025 georefererad karta.tif", "A 33055-2025")</f>
        <v/>
      </c>
      <c r="AA166">
        <f>HYPERLINK("https://klasma.github.io/Logging_2313/klagomål/A 33055-2025 FSC-klagomål.docx", "A 33055-2025")</f>
        <v/>
      </c>
      <c r="AB166">
        <f>HYPERLINK("https://klasma.github.io/Logging_2313/klagomålsmail/A 33055-2025 FSC-klagomål mail.docx", "A 33055-2025")</f>
        <v/>
      </c>
      <c r="AC166">
        <f>HYPERLINK("https://klasma.github.io/Logging_2313/tillsyn/A 33055-2025 tillsynsbegäran.docx", "A 33055-2025")</f>
        <v/>
      </c>
      <c r="AD166">
        <f>HYPERLINK("https://klasma.github.io/Logging_2313/tillsynsmail/A 33055-2025 tillsynsbegäran mail.docx", "A 33055-2025")</f>
        <v/>
      </c>
    </row>
    <row r="167" ht="15" customHeight="1">
      <c r="A167" t="inlineStr">
        <is>
          <t>A 40010-2025</t>
        </is>
      </c>
      <c r="B167" t="inlineStr">
        <is>
          <t>avverkningsanmälan</t>
        </is>
      </c>
      <c r="C167" t="inlineStr">
        <is>
          <t>Avverkning för att bevara och utveckla /försöksver</t>
        </is>
      </c>
      <c r="D167" s="1" t="n">
        <v>45894</v>
      </c>
      <c r="E167" s="1" t="n">
        <v>46318</v>
      </c>
      <c r="F167" t="inlineStr">
        <is>
          <t>JÄMTLANDS LÄN</t>
        </is>
      </c>
      <c r="G167" t="inlineStr">
        <is>
          <t>STRÖMSUND</t>
        </is>
      </c>
      <c r="H167" t="inlineStr">
        <is>
          <t>SCA</t>
        </is>
      </c>
      <c r="I167" t="n">
        <v>1.9</v>
      </c>
      <c r="J167" t="n">
        <v>2</v>
      </c>
      <c r="K167" t="n">
        <v>0</v>
      </c>
      <c r="L167" t="n">
        <v>2</v>
      </c>
      <c r="M167" t="n">
        <v>0</v>
      </c>
      <c r="N167" t="n">
        <v>0</v>
      </c>
      <c r="O167" t="n">
        <v>0</v>
      </c>
      <c r="P167" t="n">
        <v>0</v>
      </c>
      <c r="Q167" t="n">
        <v>2</v>
      </c>
      <c r="R167" t="n">
        <v>0</v>
      </c>
      <c r="S167" t="n">
        <v>3</v>
      </c>
      <c r="T167" t="n">
        <v>3</v>
      </c>
      <c r="U167" t="n">
        <v>0</v>
      </c>
      <c r="V167" s="2" t="inlineStr">
        <is>
          <t>Tretåig hackspett
Vitgrynig nållav
Skogsrör</t>
        </is>
      </c>
      <c r="W167">
        <f>HYPERLINK("https://klasma.github.io/Logging_2313/artfynd/A 40010-2025 artfynd.xlsx", "A 40010-2025")</f>
        <v/>
      </c>
      <c r="X167">
        <f>HYPERLINK("https://klasma.github.io/Logging_2313/kartor/A 40010-2025 karta.png", "A 40010-2025")</f>
        <v/>
      </c>
      <c r="Y167">
        <f>HYPERLINK("https://klasma.github.io/Logging_2313/kartor_geotiff/A 40010-2025 georefererad karta.tif", "A 40010-2025")</f>
        <v/>
      </c>
      <c r="AA167">
        <f>HYPERLINK("https://klasma.github.io/Logging_2313/klagomål/A 40010-2025 FSC-klagomål.docx", "A 40010-2025")</f>
        <v/>
      </c>
      <c r="AB167">
        <f>HYPERLINK("https://klasma.github.io/Logging_2313/klagomålsmail/A 40010-2025 FSC-klagomål mail.docx", "A 40010-2025")</f>
        <v/>
      </c>
      <c r="AC167">
        <f>HYPERLINK("https://klasma.github.io/Logging_2313/tillsyn/A 40010-2025 tillsynsbegäran.docx", "A 40010-2025")</f>
        <v/>
      </c>
      <c r="AD167">
        <f>HYPERLINK("https://klasma.github.io/Logging_2313/tillsynsmail/A 40010-2025 tillsynsbegäran mail.docx", "A 40010-2025")</f>
        <v/>
      </c>
      <c r="AE167">
        <f>HYPERLINK("https://klasma.github.io/Logging_2313/fåglar/A 40010-2025 prioriterade fågelarter.docx", "A 40010-2025")</f>
        <v/>
      </c>
    </row>
    <row r="168" ht="15" customHeight="1">
      <c r="A168" t="inlineStr">
        <is>
          <t>A 34509-2025</t>
        </is>
      </c>
      <c r="B168" t="inlineStr">
        <is>
          <t>avverkningsanmälan</t>
        </is>
      </c>
      <c r="C168" t="inlineStr">
        <is>
          <t>Föryngringsavverkning</t>
        </is>
      </c>
      <c r="D168" s="1" t="n">
        <v>45847</v>
      </c>
      <c r="E168" s="1" t="n">
        <v>46318</v>
      </c>
      <c r="F168" t="inlineStr">
        <is>
          <t>JÄMTLANDS LÄN</t>
        </is>
      </c>
      <c r="G168" t="inlineStr">
        <is>
          <t>STRÖMSUND</t>
        </is>
      </c>
      <c r="H168" t="inlineStr">
        <is>
          <t>Holmen skog AB</t>
        </is>
      </c>
      <c r="I168" t="n">
        <v>4.4</v>
      </c>
      <c r="J168" t="n">
        <v>0</v>
      </c>
      <c r="K168" t="n">
        <v>2</v>
      </c>
      <c r="L168" t="n">
        <v>1</v>
      </c>
      <c r="M168" t="n">
        <v>0</v>
      </c>
      <c r="N168" t="n">
        <v>0</v>
      </c>
      <c r="O168" t="n">
        <v>0</v>
      </c>
      <c r="P168" t="n">
        <v>0</v>
      </c>
      <c r="Q168" t="n">
        <v>1</v>
      </c>
      <c r="R168" t="n">
        <v>0</v>
      </c>
      <c r="S168" t="n">
        <v>3</v>
      </c>
      <c r="T168" t="n">
        <v>4</v>
      </c>
      <c r="U168" t="n">
        <v>4</v>
      </c>
      <c r="V168" s="2" t="inlineStr">
        <is>
          <t>Lunglav
Källmossor
Stuplav</t>
        </is>
      </c>
      <c r="W168">
        <f>HYPERLINK("https://klasma.github.io/Logging_2313/artfynd/A 34509-2025 artfynd.xlsx", "A 34509-2025")</f>
        <v/>
      </c>
      <c r="X168">
        <f>HYPERLINK("https://klasma.github.io/Logging_2313/kartor/A 34509-2025 karta.png", "A 34509-2025")</f>
        <v/>
      </c>
      <c r="Y168">
        <f>HYPERLINK("https://klasma.github.io/Logging_2313/kartor_geotiff/A 34509-2025 georefererad karta.tif", "A 34509-2025")</f>
        <v/>
      </c>
      <c r="AA168">
        <f>HYPERLINK("https://klasma.github.io/Logging_2313/klagomål/A 34509-2025 FSC-klagomål.docx", "A 34509-2025")</f>
        <v/>
      </c>
      <c r="AB168">
        <f>HYPERLINK("https://klasma.github.io/Logging_2313/klagomålsmail/A 34509-2025 FSC-klagomål mail.docx", "A 34509-2025")</f>
        <v/>
      </c>
      <c r="AC168">
        <f>HYPERLINK("https://klasma.github.io/Logging_2313/tillsyn/A 34509-2025 tillsynsbegäran.docx", "A 34509-2025")</f>
        <v/>
      </c>
      <c r="AD168">
        <f>HYPERLINK("https://klasma.github.io/Logging_2313/tillsynsmail/A 34509-2025 tillsynsbegäran mail.docx", "A 34509-2025")</f>
        <v/>
      </c>
    </row>
    <row r="169" ht="15" customHeight="1">
      <c r="A169" t="inlineStr">
        <is>
          <t>A 38023-2025</t>
        </is>
      </c>
      <c r="B169" t="inlineStr">
        <is>
          <t>avverkningsanmälan</t>
        </is>
      </c>
      <c r="C169" t="inlineStr">
        <is>
          <t>Avverkning för att bevara och utveckla /försöksver</t>
        </is>
      </c>
      <c r="D169" s="1" t="n">
        <v>45882</v>
      </c>
      <c r="E169" s="1" t="n">
        <v>46318</v>
      </c>
      <c r="F169" t="inlineStr">
        <is>
          <t>JÄMTLANDS LÄN</t>
        </is>
      </c>
      <c r="G169" t="inlineStr">
        <is>
          <t>STRÖMSUND</t>
        </is>
      </c>
      <c r="H169" t="inlineStr">
        <is>
          <t>SCA</t>
        </is>
      </c>
      <c r="I169" t="n">
        <v>3.1</v>
      </c>
      <c r="J169" t="n">
        <v>0</v>
      </c>
      <c r="K169" t="n">
        <v>0</v>
      </c>
      <c r="L169" t="n">
        <v>2</v>
      </c>
      <c r="M169" t="n">
        <v>1</v>
      </c>
      <c r="N169" t="n">
        <v>0</v>
      </c>
      <c r="O169" t="n">
        <v>0</v>
      </c>
      <c r="P169" t="n">
        <v>0</v>
      </c>
      <c r="Q169" t="n">
        <v>3</v>
      </c>
      <c r="R169" t="n">
        <v>1</v>
      </c>
      <c r="S169" t="n">
        <v>3</v>
      </c>
      <c r="T169" t="n">
        <v>3</v>
      </c>
      <c r="U169" t="n">
        <v>0</v>
      </c>
      <c r="V169" s="2" t="inlineStr">
        <is>
          <t>Vitskaftad svartspik
Rödbrun blekspik
Vitgrynig nållav</t>
        </is>
      </c>
      <c r="W169">
        <f>HYPERLINK("https://klasma.github.io/Logging_2313/artfynd/A 38023-2025 artfynd.xlsx", "A 38023-2025")</f>
        <v/>
      </c>
      <c r="X169">
        <f>HYPERLINK("https://klasma.github.io/Logging_2313/kartor/A 38023-2025 karta.png", "A 38023-2025")</f>
        <v/>
      </c>
      <c r="Y169">
        <f>HYPERLINK("https://klasma.github.io/Logging_2313/kartor_geotiff/A 38023-2025 georefererad karta.tif", "A 38023-2025")</f>
        <v/>
      </c>
      <c r="AA169">
        <f>HYPERLINK("https://klasma.github.io/Logging_2313/klagomål/A 38023-2025 FSC-klagomål.docx", "A 38023-2025")</f>
        <v/>
      </c>
      <c r="AB169">
        <f>HYPERLINK("https://klasma.github.io/Logging_2313/klagomålsmail/A 38023-2025 FSC-klagomål mail.docx", "A 38023-2025")</f>
        <v/>
      </c>
      <c r="AC169">
        <f>HYPERLINK("https://klasma.github.io/Logging_2313/tillsyn/A 38023-2025 tillsynsbegäran.docx", "A 38023-2025")</f>
        <v/>
      </c>
      <c r="AD169">
        <f>HYPERLINK("https://klasma.github.io/Logging_2313/tillsynsmail/A 38023-2025 tillsynsbegäran mail.docx", "A 38023-2025")</f>
        <v/>
      </c>
    </row>
    <row r="170" ht="15" customHeight="1">
      <c r="A170" t="inlineStr">
        <is>
          <t>A 10065-2023</t>
        </is>
      </c>
      <c r="B170" t="inlineStr">
        <is>
          <t>avverkningsanmälan</t>
        </is>
      </c>
      <c r="C170" t="inlineStr">
        <is>
          <t>Föryngringsavverkning</t>
        </is>
      </c>
      <c r="D170" s="1" t="n">
        <v>44985</v>
      </c>
      <c r="E170" s="1" t="n">
        <v>46318</v>
      </c>
      <c r="F170" t="inlineStr">
        <is>
          <t>JÄMTLANDS LÄN</t>
        </is>
      </c>
      <c r="G170" t="inlineStr">
        <is>
          <t>STRÖMSUND</t>
        </is>
      </c>
      <c r="I170" t="n">
        <v>0.6</v>
      </c>
      <c r="J170" t="n">
        <v>1</v>
      </c>
      <c r="K170" t="n">
        <v>2</v>
      </c>
      <c r="L170" t="n">
        <v>1</v>
      </c>
      <c r="M170" t="n">
        <v>0</v>
      </c>
      <c r="N170" t="n">
        <v>0</v>
      </c>
      <c r="O170" t="n">
        <v>0</v>
      </c>
      <c r="P170" t="n">
        <v>0</v>
      </c>
      <c r="Q170" t="n">
        <v>1</v>
      </c>
      <c r="R170" t="n">
        <v>0</v>
      </c>
      <c r="S170" t="n">
        <v>3</v>
      </c>
      <c r="T170" t="n">
        <v>8</v>
      </c>
      <c r="U170" t="n">
        <v>0</v>
      </c>
      <c r="V170" s="2" t="inlineStr">
        <is>
          <t>Orange taggsvamp
Grönkulla
Svart trolldruva</t>
        </is>
      </c>
      <c r="W170">
        <f>HYPERLINK("https://klasma.github.io/Logging_2313/artfynd/A 10065-2023 artfynd.xlsx", "A 10065-2023")</f>
        <v/>
      </c>
      <c r="X170">
        <f>HYPERLINK("https://klasma.github.io/Logging_2313/kartor/A 10065-2023 karta.png", "A 10065-2023")</f>
        <v/>
      </c>
      <c r="Y170">
        <f>HYPERLINK("https://klasma.github.io/Logging_2313/kartor_geotiff/A 10065-2023 georefererad karta.tif", "A 10065-2023")</f>
        <v/>
      </c>
      <c r="AA170">
        <f>HYPERLINK("https://klasma.github.io/Logging_2313/klagomål/A 10065-2023 FSC-klagomål.docx", "A 10065-2023")</f>
        <v/>
      </c>
      <c r="AB170">
        <f>HYPERLINK("https://klasma.github.io/Logging_2313/klagomålsmail/A 10065-2023 FSC-klagomål mail.docx", "A 10065-2023")</f>
        <v/>
      </c>
      <c r="AC170">
        <f>HYPERLINK("https://klasma.github.io/Logging_2313/tillsyn/A 10065-2023 tillsynsbegäran.docx", "A 10065-2023")</f>
        <v/>
      </c>
      <c r="AD170">
        <f>HYPERLINK("https://klasma.github.io/Logging_2313/tillsynsmail/A 10065-2023 tillsynsbegäran mail.docx", "A 10065-2023")</f>
        <v/>
      </c>
    </row>
    <row r="171" ht="15" customHeight="1">
      <c r="A171" t="inlineStr">
        <is>
          <t>A 1187-2023</t>
        </is>
      </c>
      <c r="B171" t="inlineStr">
        <is>
          <t>avverkningsanmälan</t>
        </is>
      </c>
      <c r="C171" t="inlineStr">
        <is>
          <t>Föryngringsavverkning</t>
        </is>
      </c>
      <c r="D171" s="1" t="n">
        <v>44930</v>
      </c>
      <c r="E171" s="1" t="n">
        <v>46318</v>
      </c>
      <c r="F171" t="inlineStr">
        <is>
          <t>JÄMTLANDS LÄN</t>
        </is>
      </c>
      <c r="G171" t="inlineStr">
        <is>
          <t>STRÖMSUND</t>
        </is>
      </c>
      <c r="I171" t="n">
        <v>11.5</v>
      </c>
      <c r="J171" t="n">
        <v>1</v>
      </c>
      <c r="K171" t="n">
        <v>0</v>
      </c>
      <c r="L171" t="n">
        <v>2</v>
      </c>
      <c r="M171" t="n">
        <v>0</v>
      </c>
      <c r="N171" t="n">
        <v>0</v>
      </c>
      <c r="O171" t="n">
        <v>0</v>
      </c>
      <c r="P171" t="n">
        <v>0</v>
      </c>
      <c r="Q171" t="n">
        <v>2</v>
      </c>
      <c r="R171" t="n">
        <v>0</v>
      </c>
      <c r="S171" t="n">
        <v>3</v>
      </c>
      <c r="T171" t="n">
        <v>3</v>
      </c>
      <c r="U171" t="n">
        <v>0</v>
      </c>
      <c r="V171" s="2" t="inlineStr">
        <is>
          <t>Skarp dropptaggsvamp
Vitgrynig nållav
Spillkråka</t>
        </is>
      </c>
      <c r="W171">
        <f>HYPERLINK("https://klasma.github.io/Logging_2313/artfynd/A 1187-2023 artfynd.xlsx", "A 1187-2023")</f>
        <v/>
      </c>
      <c r="X171">
        <f>HYPERLINK("https://klasma.github.io/Logging_2313/kartor/A 1187-2023 karta.png", "A 1187-2023")</f>
        <v/>
      </c>
      <c r="Y171">
        <f>HYPERLINK("https://klasma.github.io/Logging_2313/kartor_geotiff/A 1187-2023 georefererad karta.tif", "A 1187-2023")</f>
        <v/>
      </c>
      <c r="AA171">
        <f>HYPERLINK("https://klasma.github.io/Logging_2313/klagomål/A 1187-2023 FSC-klagomål.docx", "A 1187-2023")</f>
        <v/>
      </c>
      <c r="AB171">
        <f>HYPERLINK("https://klasma.github.io/Logging_2313/klagomålsmail/A 1187-2023 FSC-klagomål mail.docx", "A 1187-2023")</f>
        <v/>
      </c>
      <c r="AC171">
        <f>HYPERLINK("https://klasma.github.io/Logging_2313/tillsyn/A 1187-2023 tillsynsbegäran.docx", "A 1187-2023")</f>
        <v/>
      </c>
      <c r="AD171">
        <f>HYPERLINK("https://klasma.github.io/Logging_2313/tillsynsmail/A 1187-2023 tillsynsbegäran mail.docx", "A 1187-2023")</f>
        <v/>
      </c>
      <c r="AE171">
        <f>HYPERLINK("https://klasma.github.io/Logging_2313/fåglar/A 1187-2023 prioriterade fågelarter.docx", "A 1187-2023")</f>
        <v/>
      </c>
    </row>
    <row r="172" ht="15" customHeight="1">
      <c r="A172" t="inlineStr">
        <is>
          <t>A 21629-2024</t>
        </is>
      </c>
      <c r="B172" t="inlineStr">
        <is>
          <t>avverkningsanmälan</t>
        </is>
      </c>
      <c r="C172" t="inlineStr">
        <is>
          <t>Föryngringsavverkning</t>
        </is>
      </c>
      <c r="D172" s="1" t="n">
        <v>45442</v>
      </c>
      <c r="E172" s="1" t="n">
        <v>46318</v>
      </c>
      <c r="F172" t="inlineStr">
        <is>
          <t>JÄMTLANDS LÄN</t>
        </is>
      </c>
      <c r="G172" t="inlineStr">
        <is>
          <t>STRÖMSUND</t>
        </is>
      </c>
      <c r="H172" t="inlineStr">
        <is>
          <t>Holmen skog AB</t>
        </is>
      </c>
      <c r="I172" t="n">
        <v>1.1</v>
      </c>
      <c r="J172" t="n">
        <v>1</v>
      </c>
      <c r="K172" t="n">
        <v>0</v>
      </c>
      <c r="L172" t="n">
        <v>2</v>
      </c>
      <c r="M172" t="n">
        <v>0</v>
      </c>
      <c r="N172" t="n">
        <v>0</v>
      </c>
      <c r="O172" t="n">
        <v>0</v>
      </c>
      <c r="P172" t="n">
        <v>0</v>
      </c>
      <c r="Q172" t="n">
        <v>2</v>
      </c>
      <c r="R172" t="n">
        <v>0</v>
      </c>
      <c r="S172" t="n">
        <v>3</v>
      </c>
      <c r="T172" t="n">
        <v>3</v>
      </c>
      <c r="U172" t="n">
        <v>2</v>
      </c>
      <c r="V172" s="2" t="inlineStr">
        <is>
          <t>Blå taggsvamp
Talltaggsvamp
Utter</t>
        </is>
      </c>
      <c r="W172">
        <f>HYPERLINK("https://klasma.github.io/Logging_2313/artfynd/A 21629-2024 artfynd.xlsx", "A 21629-2024")</f>
        <v/>
      </c>
      <c r="X172">
        <f>HYPERLINK("https://klasma.github.io/Logging_2313/kartor/A 21629-2024 karta.png", "A 21629-2024")</f>
        <v/>
      </c>
      <c r="Y172">
        <f>HYPERLINK("https://klasma.github.io/Logging_2313/kartor_geotiff/A 21629-2024 georefererad karta.tif", "A 21629-2024")</f>
        <v/>
      </c>
      <c r="AA172">
        <f>HYPERLINK("https://klasma.github.io/Logging_2313/klagomål/A 21629-2024 FSC-klagomål.docx", "A 21629-2024")</f>
        <v/>
      </c>
      <c r="AB172">
        <f>HYPERLINK("https://klasma.github.io/Logging_2313/klagomålsmail/A 21629-2024 FSC-klagomål mail.docx", "A 21629-2024")</f>
        <v/>
      </c>
      <c r="AC172">
        <f>HYPERLINK("https://klasma.github.io/Logging_2313/tillsyn/A 21629-2024 tillsynsbegäran.docx", "A 21629-2024")</f>
        <v/>
      </c>
      <c r="AD172">
        <f>HYPERLINK("https://klasma.github.io/Logging_2313/tillsynsmail/A 21629-2024 tillsynsbegäran mail.docx", "A 21629-2024")</f>
        <v/>
      </c>
    </row>
    <row r="173" ht="15" customHeight="1">
      <c r="A173" t="inlineStr">
        <is>
          <t>A 52866-2025</t>
        </is>
      </c>
      <c r="B173" t="inlineStr">
        <is>
          <t>avverkningsanmälan</t>
        </is>
      </c>
      <c r="C173" t="inlineStr">
        <is>
          <t>Föryngringsavverkning</t>
        </is>
      </c>
      <c r="D173" s="1" t="n">
        <v>45957</v>
      </c>
      <c r="E173" s="1" t="n">
        <v>46318</v>
      </c>
      <c r="F173" t="inlineStr">
        <is>
          <t>JÄMTLANDS LÄN</t>
        </is>
      </c>
      <c r="G173" t="inlineStr">
        <is>
          <t>STRÖMSUND</t>
        </is>
      </c>
      <c r="H173" t="inlineStr">
        <is>
          <t>SCA</t>
        </is>
      </c>
      <c r="I173" t="n">
        <v>3.3</v>
      </c>
      <c r="J173" t="n">
        <v>3</v>
      </c>
      <c r="K173" t="n">
        <v>0</v>
      </c>
      <c r="L173" t="n">
        <v>0</v>
      </c>
      <c r="M173" t="n">
        <v>1</v>
      </c>
      <c r="N173" t="n">
        <v>0</v>
      </c>
      <c r="O173" t="n">
        <v>0</v>
      </c>
      <c r="P173" t="n">
        <v>0</v>
      </c>
      <c r="Q173" t="n">
        <v>1</v>
      </c>
      <c r="R173" t="n">
        <v>1</v>
      </c>
      <c r="S173" t="n">
        <v>3</v>
      </c>
      <c r="T173" t="n">
        <v>8</v>
      </c>
      <c r="U173" t="n">
        <v>8</v>
      </c>
      <c r="V173" s="2" t="inlineStr">
        <is>
          <t>Violett guldvinge
Mattlummer
Fläcknycklar</t>
        </is>
      </c>
      <c r="W173">
        <f>HYPERLINK("https://klasma.github.io/Logging_2313/artfynd/A 52866-2025 artfynd.xlsx", "A 52866-2025")</f>
        <v/>
      </c>
      <c r="X173">
        <f>HYPERLINK("https://klasma.github.io/Logging_2313/kartor/A 52866-2025 karta.png", "A 52866-2025")</f>
        <v/>
      </c>
      <c r="Y173">
        <f>HYPERLINK("https://klasma.github.io/Logging_2313/kartor_geotiff/A 52866-2025 georefererad karta.tif", "A 52866-2025")</f>
        <v/>
      </c>
      <c r="AA173">
        <f>HYPERLINK("https://klasma.github.io/Logging_2313/klagomål/A 52866-2025 FSC-klagomål.docx", "A 52866-2025")</f>
        <v/>
      </c>
      <c r="AB173">
        <f>HYPERLINK("https://klasma.github.io/Logging_2313/klagomålsmail/A 52866-2025 FSC-klagomål mail.docx", "A 52866-2025")</f>
        <v/>
      </c>
      <c r="AC173">
        <f>HYPERLINK("https://klasma.github.io/Logging_2313/tillsyn/A 52866-2025 tillsynsbegäran.docx", "A 52866-2025")</f>
        <v/>
      </c>
      <c r="AD173">
        <f>HYPERLINK("https://klasma.github.io/Logging_2313/tillsynsmail/A 52866-2025 tillsynsbegäran mail.docx", "A 52866-2025")</f>
        <v/>
      </c>
    </row>
    <row r="174" ht="15" customHeight="1">
      <c r="A174" t="inlineStr">
        <is>
          <t>A 59523-2023</t>
        </is>
      </c>
      <c r="B174" t="inlineStr">
        <is>
          <t>avverkningsanmälan</t>
        </is>
      </c>
      <c r="C174" t="inlineStr">
        <is>
          <t>Avverkning för att bevara och utveckla /försöksver</t>
        </is>
      </c>
      <c r="D174" s="1" t="n">
        <v>45254</v>
      </c>
      <c r="E174" s="1" t="n">
        <v>46318</v>
      </c>
      <c r="F174" t="inlineStr">
        <is>
          <t>JÄMTLANDS LÄN</t>
        </is>
      </c>
      <c r="G174" t="inlineStr">
        <is>
          <t>STRÖMSUND</t>
        </is>
      </c>
      <c r="H174" t="inlineStr">
        <is>
          <t>Holmen skog AB</t>
        </is>
      </c>
      <c r="I174" t="n">
        <v>51.2</v>
      </c>
      <c r="J174" t="n">
        <v>1</v>
      </c>
      <c r="K174" t="n">
        <v>0</v>
      </c>
      <c r="L174" t="n">
        <v>3</v>
      </c>
      <c r="M174" t="n">
        <v>0</v>
      </c>
      <c r="N174" t="n">
        <v>0</v>
      </c>
      <c r="O174" t="n">
        <v>0</v>
      </c>
      <c r="P174" t="n">
        <v>0</v>
      </c>
      <c r="Q174" t="n">
        <v>3</v>
      </c>
      <c r="R174" t="n">
        <v>0</v>
      </c>
      <c r="S174" t="n">
        <v>3</v>
      </c>
      <c r="T174" t="n">
        <v>3</v>
      </c>
      <c r="U174" t="n">
        <v>3</v>
      </c>
      <c r="V174" s="2" t="inlineStr">
        <is>
          <t>Kolflarnlav
Lunglav
Tretåig hackspett</t>
        </is>
      </c>
      <c r="W174">
        <f>HYPERLINK("https://klasma.github.io/Logging_2313/artfynd/A 59523-2023 artfynd.xlsx", "A 59523-2023")</f>
        <v/>
      </c>
      <c r="X174">
        <f>HYPERLINK("https://klasma.github.io/Logging_2313/kartor/A 59523-2023 karta.png", "A 59523-2023")</f>
        <v/>
      </c>
      <c r="Y174">
        <f>HYPERLINK("https://klasma.github.io/Logging_2313/kartor_geotiff/A 59523-2023 georefererad karta.tif", "A 59523-2023")</f>
        <v/>
      </c>
      <c r="AA174">
        <f>HYPERLINK("https://klasma.github.io/Logging_2313/klagomål/A 59523-2023 FSC-klagomål.docx", "A 59523-2023")</f>
        <v/>
      </c>
      <c r="AB174">
        <f>HYPERLINK("https://klasma.github.io/Logging_2313/klagomålsmail/A 59523-2023 FSC-klagomål mail.docx", "A 59523-2023")</f>
        <v/>
      </c>
      <c r="AC174">
        <f>HYPERLINK("https://klasma.github.io/Logging_2313/tillsyn/A 59523-2023 tillsynsbegäran.docx", "A 59523-2023")</f>
        <v/>
      </c>
      <c r="AD174">
        <f>HYPERLINK("https://klasma.github.io/Logging_2313/tillsynsmail/A 59523-2023 tillsynsbegäran mail.docx", "A 59523-2023")</f>
        <v/>
      </c>
      <c r="AE174">
        <f>HYPERLINK("https://klasma.github.io/Logging_2313/fåglar/A 59523-2023 prioriterade fågelarter.docx", "A 59523-2023")</f>
        <v/>
      </c>
    </row>
    <row r="175" ht="15" customHeight="1">
      <c r="A175" t="inlineStr">
        <is>
          <t>A 56437-2023</t>
        </is>
      </c>
      <c r="B175" t="inlineStr">
        <is>
          <t>avverkningsanmälan</t>
        </is>
      </c>
      <c r="C175" t="inlineStr">
        <is>
          <t>Föryngringsavverkning</t>
        </is>
      </c>
      <c r="D175" s="1" t="n">
        <v>45237</v>
      </c>
      <c r="E175" s="1" t="n">
        <v>46318</v>
      </c>
      <c r="F175" t="inlineStr">
        <is>
          <t>JÄMTLANDS LÄN</t>
        </is>
      </c>
      <c r="G175" t="inlineStr">
        <is>
          <t>STRÖMSUND</t>
        </is>
      </c>
      <c r="I175" t="n">
        <v>35.8</v>
      </c>
      <c r="J175" t="n">
        <v>3</v>
      </c>
      <c r="K175" t="n">
        <v>0</v>
      </c>
      <c r="L175" t="n">
        <v>2</v>
      </c>
      <c r="M175" t="n">
        <v>0</v>
      </c>
      <c r="N175" t="n">
        <v>0</v>
      </c>
      <c r="O175" t="n">
        <v>0</v>
      </c>
      <c r="P175" t="n">
        <v>0</v>
      </c>
      <c r="Q175" t="n">
        <v>2</v>
      </c>
      <c r="R175" t="n">
        <v>0</v>
      </c>
      <c r="S175" t="n">
        <v>3</v>
      </c>
      <c r="T175" t="n">
        <v>5</v>
      </c>
      <c r="U175" t="n">
        <v>0</v>
      </c>
      <c r="V175" s="2" t="inlineStr">
        <is>
          <t>Järnsparv
Rödvingetrast
Buskmus</t>
        </is>
      </c>
      <c r="W175">
        <f>HYPERLINK("https://klasma.github.io/Logging_2313/artfynd/A 56437-2023 artfynd.xlsx", "A 56437-2023")</f>
        <v/>
      </c>
      <c r="X175">
        <f>HYPERLINK("https://klasma.github.io/Logging_2313/kartor/A 56437-2023 karta.png", "A 56437-2023")</f>
        <v/>
      </c>
      <c r="Y175">
        <f>HYPERLINK("https://klasma.github.io/Logging_2313/kartor_geotiff/A 56437-2023 georefererad karta.tif", "A 56437-2023")</f>
        <v/>
      </c>
      <c r="AA175">
        <f>HYPERLINK("https://klasma.github.io/Logging_2313/klagomål/A 56437-2023 FSC-klagomål.docx", "A 56437-2023")</f>
        <v/>
      </c>
      <c r="AB175">
        <f>HYPERLINK("https://klasma.github.io/Logging_2313/klagomålsmail/A 56437-2023 FSC-klagomål mail.docx", "A 56437-2023")</f>
        <v/>
      </c>
      <c r="AC175">
        <f>HYPERLINK("https://klasma.github.io/Logging_2313/tillsyn/A 56437-2023 tillsynsbegäran.docx", "A 56437-2023")</f>
        <v/>
      </c>
      <c r="AD175">
        <f>HYPERLINK("https://klasma.github.io/Logging_2313/tillsynsmail/A 56437-2023 tillsynsbegäran mail.docx", "A 56437-2023")</f>
        <v/>
      </c>
      <c r="AE175">
        <f>HYPERLINK("https://klasma.github.io/Logging_2313/fåglar/A 56437-2023 prioriterade fågelarter.docx", "A 56437-2023")</f>
        <v/>
      </c>
    </row>
    <row r="176" ht="15" customHeight="1">
      <c r="A176" t="inlineStr">
        <is>
          <t>A 57619-2023</t>
        </is>
      </c>
      <c r="B176" t="inlineStr">
        <is>
          <t>avverkningsanmälan</t>
        </is>
      </c>
      <c r="C176" t="inlineStr">
        <is>
          <t>Föryngringsavverkning</t>
        </is>
      </c>
      <c r="D176" s="1" t="n">
        <v>45243</v>
      </c>
      <c r="E176" s="1" t="n">
        <v>46318</v>
      </c>
      <c r="F176" t="inlineStr">
        <is>
          <t>JÄMTLANDS LÄN</t>
        </is>
      </c>
      <c r="G176" t="inlineStr">
        <is>
          <t>STRÖMSUND</t>
        </is>
      </c>
      <c r="H176" t="inlineStr">
        <is>
          <t>SCA</t>
        </is>
      </c>
      <c r="I176" t="n">
        <v>17</v>
      </c>
      <c r="J176" t="n">
        <v>0</v>
      </c>
      <c r="K176" t="n">
        <v>0</v>
      </c>
      <c r="L176" t="n">
        <v>2</v>
      </c>
      <c r="M176" t="n">
        <v>1</v>
      </c>
      <c r="N176" t="n">
        <v>0</v>
      </c>
      <c r="O176" t="n">
        <v>0</v>
      </c>
      <c r="P176" t="n">
        <v>0</v>
      </c>
      <c r="Q176" t="n">
        <v>3</v>
      </c>
      <c r="R176" t="n">
        <v>1</v>
      </c>
      <c r="S176" t="n">
        <v>3</v>
      </c>
      <c r="T176" t="n">
        <v>4</v>
      </c>
      <c r="U176" t="n">
        <v>0</v>
      </c>
      <c r="V176" s="2" t="inlineStr">
        <is>
          <t>Gränsticka
Gammelgransskål
Harticka</t>
        </is>
      </c>
      <c r="W176">
        <f>HYPERLINK("https://klasma.github.io/Logging_2313/artfynd/A 57619-2023 artfynd.xlsx", "A 57619-2023")</f>
        <v/>
      </c>
      <c r="X176">
        <f>HYPERLINK("https://klasma.github.io/Logging_2313/kartor/A 57619-2023 karta.png", "A 57619-2023")</f>
        <v/>
      </c>
      <c r="Y176">
        <f>HYPERLINK("https://klasma.github.io/Logging_2313/kartor_geotiff/A 57619-2023 georefererad karta.tif", "A 57619-2023")</f>
        <v/>
      </c>
      <c r="AA176">
        <f>HYPERLINK("https://klasma.github.io/Logging_2313/klagomål/A 57619-2023 FSC-klagomål.docx", "A 57619-2023")</f>
        <v/>
      </c>
      <c r="AB176">
        <f>HYPERLINK("https://klasma.github.io/Logging_2313/klagomålsmail/A 57619-2023 FSC-klagomål mail.docx", "A 57619-2023")</f>
        <v/>
      </c>
      <c r="AC176">
        <f>HYPERLINK("https://klasma.github.io/Logging_2313/tillsyn/A 57619-2023 tillsynsbegäran.docx", "A 57619-2023")</f>
        <v/>
      </c>
      <c r="AD176">
        <f>HYPERLINK("https://klasma.github.io/Logging_2313/tillsynsmail/A 57619-2023 tillsynsbegäran mail.docx", "A 57619-2023")</f>
        <v/>
      </c>
    </row>
    <row r="177" ht="15" customHeight="1">
      <c r="A177" t="inlineStr">
        <is>
          <t>A 37786-2022</t>
        </is>
      </c>
      <c r="B177" t="inlineStr">
        <is>
          <t>avverkningsanmälan</t>
        </is>
      </c>
      <c r="C177" t="inlineStr">
        <is>
          <t>Föryngringsavverkning</t>
        </is>
      </c>
      <c r="D177" s="1" t="n">
        <v>44810</v>
      </c>
      <c r="E177" s="1" t="n">
        <v>46318</v>
      </c>
      <c r="F177" t="inlineStr">
        <is>
          <t>JÄMTLANDS LÄN</t>
        </is>
      </c>
      <c r="G177" t="inlineStr">
        <is>
          <t>STRÖMSUND</t>
        </is>
      </c>
      <c r="I177" t="n">
        <v>2.3</v>
      </c>
      <c r="J177" t="n">
        <v>1</v>
      </c>
      <c r="K177" t="n">
        <v>2</v>
      </c>
      <c r="L177" t="n">
        <v>1</v>
      </c>
      <c r="M177" t="n">
        <v>0</v>
      </c>
      <c r="N177" t="n">
        <v>0</v>
      </c>
      <c r="O177" t="n">
        <v>0</v>
      </c>
      <c r="P177" t="n">
        <v>0</v>
      </c>
      <c r="Q177" t="n">
        <v>1</v>
      </c>
      <c r="R177" t="n">
        <v>0</v>
      </c>
      <c r="S177" t="n">
        <v>3</v>
      </c>
      <c r="T177" t="n">
        <v>6</v>
      </c>
      <c r="U177" t="n">
        <v>0</v>
      </c>
      <c r="V177" s="2" t="inlineStr">
        <is>
          <t>Orange taggsvamp
Grönkulla
Svart trolldruva</t>
        </is>
      </c>
      <c r="W177">
        <f>HYPERLINK("https://klasma.github.io/Logging_2313/artfynd/A 37786-2022 artfynd.xlsx", "A 37786-2022")</f>
        <v/>
      </c>
      <c r="X177">
        <f>HYPERLINK("https://klasma.github.io/Logging_2313/kartor/A 37786-2022 karta.png", "A 37786-2022")</f>
        <v/>
      </c>
      <c r="Y177">
        <f>HYPERLINK("https://klasma.github.io/Logging_2313/kartor_geotiff/A 37786-2022 georefererad karta.tif", "A 37786-2022")</f>
        <v/>
      </c>
      <c r="AA177">
        <f>HYPERLINK("https://klasma.github.io/Logging_2313/klagomål/A 37786-2022 FSC-klagomål.docx", "A 37786-2022")</f>
        <v/>
      </c>
      <c r="AB177">
        <f>HYPERLINK("https://klasma.github.io/Logging_2313/klagomålsmail/A 37786-2022 FSC-klagomål mail.docx", "A 37786-2022")</f>
        <v/>
      </c>
      <c r="AC177">
        <f>HYPERLINK("https://klasma.github.io/Logging_2313/tillsyn/A 37786-2022 tillsynsbegäran.docx", "A 37786-2022")</f>
        <v/>
      </c>
      <c r="AD177">
        <f>HYPERLINK("https://klasma.github.io/Logging_2313/tillsynsmail/A 37786-2022 tillsynsbegäran mail.docx", "A 37786-2022")</f>
        <v/>
      </c>
    </row>
    <row r="178" ht="15" customHeight="1">
      <c r="A178" t="inlineStr">
        <is>
          <t>A 54637-2025</t>
        </is>
      </c>
      <c r="B178" t="inlineStr">
        <is>
          <t>avverkningsanmälan</t>
        </is>
      </c>
      <c r="C178" t="inlineStr">
        <is>
          <t>Föryngringsavverkning</t>
        </is>
      </c>
      <c r="D178" s="1" t="n">
        <v>45966</v>
      </c>
      <c r="E178" s="1" t="n">
        <v>46318</v>
      </c>
      <c r="F178" t="inlineStr">
        <is>
          <t>JÄMTLANDS LÄN</t>
        </is>
      </c>
      <c r="G178" t="inlineStr">
        <is>
          <t>STRÖMSUND</t>
        </is>
      </c>
      <c r="I178" t="n">
        <v>4.1</v>
      </c>
      <c r="J178" t="n">
        <v>0</v>
      </c>
      <c r="K178" t="n">
        <v>0</v>
      </c>
      <c r="L178" t="n">
        <v>2</v>
      </c>
      <c r="M178" t="n">
        <v>1</v>
      </c>
      <c r="N178" t="n">
        <v>0</v>
      </c>
      <c r="O178" t="n">
        <v>0</v>
      </c>
      <c r="P178" t="n">
        <v>0</v>
      </c>
      <c r="Q178" t="n">
        <v>3</v>
      </c>
      <c r="R178" t="n">
        <v>1</v>
      </c>
      <c r="S178" t="n">
        <v>3</v>
      </c>
      <c r="T178" t="n">
        <v>3</v>
      </c>
      <c r="U178" t="n">
        <v>1</v>
      </c>
      <c r="V178" s="2" t="inlineStr">
        <is>
          <t>Garnlav
Harticka
Vitgrynig nållav</t>
        </is>
      </c>
      <c r="W178">
        <f>HYPERLINK("https://klasma.github.io/Logging_2313/artfynd/A 54637-2025 artfynd.xlsx", "A 54637-2025")</f>
        <v/>
      </c>
      <c r="X178">
        <f>HYPERLINK("https://klasma.github.io/Logging_2313/kartor/A 54637-2025 karta.png", "A 54637-2025")</f>
        <v/>
      </c>
      <c r="Y178">
        <f>HYPERLINK("https://klasma.github.io/Logging_2313/kartor_geotiff/A 54637-2025 georefererad karta.tif", "A 54637-2025")</f>
        <v/>
      </c>
      <c r="AA178">
        <f>HYPERLINK("https://klasma.github.io/Logging_2313/klagomål/A 54637-2025 FSC-klagomål.docx", "A 54637-2025")</f>
        <v/>
      </c>
      <c r="AB178">
        <f>HYPERLINK("https://klasma.github.io/Logging_2313/klagomålsmail/A 54637-2025 FSC-klagomål mail.docx", "A 54637-2025")</f>
        <v/>
      </c>
      <c r="AC178">
        <f>HYPERLINK("https://klasma.github.io/Logging_2313/tillsyn/A 54637-2025 tillsynsbegäran.docx", "A 54637-2025")</f>
        <v/>
      </c>
      <c r="AD178">
        <f>HYPERLINK("https://klasma.github.io/Logging_2313/tillsynsmail/A 54637-2025 tillsynsbegäran mail.docx", "A 54637-2025")</f>
        <v/>
      </c>
    </row>
    <row r="179" ht="15" customHeight="1">
      <c r="A179" t="inlineStr">
        <is>
          <t>A 14290-2022</t>
        </is>
      </c>
      <c r="B179" t="inlineStr">
        <is>
          <t>avverkningsanmälan</t>
        </is>
      </c>
      <c r="C179" t="inlineStr">
        <is>
          <t>Föryngringsavverkning</t>
        </is>
      </c>
      <c r="D179" s="1" t="n">
        <v>44651</v>
      </c>
      <c r="E179" s="1" t="n">
        <v>46318</v>
      </c>
      <c r="F179" t="inlineStr">
        <is>
          <t>JÄMTLANDS LÄN</t>
        </is>
      </c>
      <c r="G179" t="inlineStr">
        <is>
          <t>STRÖMSUND</t>
        </is>
      </c>
      <c r="H179" t="inlineStr">
        <is>
          <t>SCA</t>
        </is>
      </c>
      <c r="I179" t="n">
        <v>0.3</v>
      </c>
      <c r="J179" t="n">
        <v>1</v>
      </c>
      <c r="K179" t="n">
        <v>0</v>
      </c>
      <c r="L179" t="n">
        <v>1</v>
      </c>
      <c r="M179" t="n">
        <v>2</v>
      </c>
      <c r="N179" t="n">
        <v>0</v>
      </c>
      <c r="O179" t="n">
        <v>0</v>
      </c>
      <c r="P179" t="n">
        <v>0</v>
      </c>
      <c r="Q179" t="n">
        <v>3</v>
      </c>
      <c r="R179" t="n">
        <v>2</v>
      </c>
      <c r="S179" t="n">
        <v>3</v>
      </c>
      <c r="T179" t="n">
        <v>3</v>
      </c>
      <c r="U179" t="n">
        <v>3</v>
      </c>
      <c r="V179" s="2" t="inlineStr">
        <is>
          <t>Garnlav
Knärot
Vedtrappmossa</t>
        </is>
      </c>
      <c r="W179">
        <f>HYPERLINK("https://klasma.github.io/Logging_2313/artfynd/A 14290-2022 artfynd.xlsx", "A 14290-2022")</f>
        <v/>
      </c>
      <c r="X179">
        <f>HYPERLINK("https://klasma.github.io/Logging_2313/kartor/A 14290-2022 karta.png", "A 14290-2022")</f>
        <v/>
      </c>
      <c r="Y179">
        <f>HYPERLINK("https://klasma.github.io/Logging_2313/kartor_geotiff/A 14290-2022 georefererad karta.tif", "A 14290-2022")</f>
        <v/>
      </c>
      <c r="Z179">
        <f>HYPERLINK("https://klasma.github.io/Logging_2313/knärot/A 14290-2022 karta knärot.png", "A 14290-2022")</f>
        <v/>
      </c>
      <c r="AA179">
        <f>HYPERLINK("https://klasma.github.io/Logging_2313/klagomål/A 14290-2022 FSC-klagomål.docx", "A 14290-2022")</f>
        <v/>
      </c>
      <c r="AB179">
        <f>HYPERLINK("https://klasma.github.io/Logging_2313/klagomålsmail/A 14290-2022 FSC-klagomål mail.docx", "A 14290-2022")</f>
        <v/>
      </c>
      <c r="AC179">
        <f>HYPERLINK("https://klasma.github.io/Logging_2313/tillsyn/A 14290-2022 tillsynsbegäran.docx", "A 14290-2022")</f>
        <v/>
      </c>
      <c r="AD179">
        <f>HYPERLINK("https://klasma.github.io/Logging_2313/tillsynsmail/A 14290-2022 tillsynsbegäran mail.docx", "A 14290-2022")</f>
        <v/>
      </c>
    </row>
    <row r="180" ht="15" customHeight="1">
      <c r="A180" t="inlineStr">
        <is>
          <t>A 46745-2025</t>
        </is>
      </c>
      <c r="B180" t="inlineStr">
        <is>
          <t>avverkningsanmälan</t>
        </is>
      </c>
      <c r="C180" t="inlineStr">
        <is>
          <t>Avverkning för annat ändamål</t>
        </is>
      </c>
      <c r="D180" s="1" t="n">
        <v>45926</v>
      </c>
      <c r="E180" s="1" t="n">
        <v>46318</v>
      </c>
      <c r="F180" t="inlineStr">
        <is>
          <t>JÄMTLANDS LÄN</t>
        </is>
      </c>
      <c r="G180" t="inlineStr">
        <is>
          <t>STRÖMSUND</t>
        </is>
      </c>
      <c r="I180" t="n">
        <v>1.4</v>
      </c>
      <c r="J180" t="n">
        <v>2</v>
      </c>
      <c r="K180" t="n">
        <v>0</v>
      </c>
      <c r="L180" t="n">
        <v>2</v>
      </c>
      <c r="M180" t="n">
        <v>0</v>
      </c>
      <c r="N180" t="n">
        <v>0</v>
      </c>
      <c r="O180" t="n">
        <v>0</v>
      </c>
      <c r="P180" t="n">
        <v>0</v>
      </c>
      <c r="Q180" t="n">
        <v>2</v>
      </c>
      <c r="R180" t="n">
        <v>0</v>
      </c>
      <c r="S180" t="n">
        <v>3</v>
      </c>
      <c r="T180" t="n">
        <v>3</v>
      </c>
      <c r="U180" t="n">
        <v>0</v>
      </c>
      <c r="V180" s="2" t="inlineStr">
        <is>
          <t>Harticka
Tretåig hackspett
Spillkråka</t>
        </is>
      </c>
      <c r="W180">
        <f>HYPERLINK("https://klasma.github.io/Logging_2313/artfynd/A 46745-2025 artfynd.xlsx", "A 46745-2025")</f>
        <v/>
      </c>
      <c r="X180">
        <f>HYPERLINK("https://klasma.github.io/Logging_2313/kartor/A 46745-2025 karta.png", "A 46745-2025")</f>
        <v/>
      </c>
      <c r="Y180">
        <f>HYPERLINK("https://klasma.github.io/Logging_2313/kartor_geotiff/A 46745-2025 georefererad karta.tif", "A 46745-2025")</f>
        <v/>
      </c>
      <c r="AA180">
        <f>HYPERLINK("https://klasma.github.io/Logging_2313/klagomål/A 46745-2025 FSC-klagomål.docx", "A 46745-2025")</f>
        <v/>
      </c>
      <c r="AB180">
        <f>HYPERLINK("https://klasma.github.io/Logging_2313/klagomålsmail/A 46745-2025 FSC-klagomål mail.docx", "A 46745-2025")</f>
        <v/>
      </c>
      <c r="AC180">
        <f>HYPERLINK("https://klasma.github.io/Logging_2313/tillsyn/A 46745-2025 tillsynsbegäran.docx", "A 46745-2025")</f>
        <v/>
      </c>
      <c r="AD180">
        <f>HYPERLINK("https://klasma.github.io/Logging_2313/tillsynsmail/A 46745-2025 tillsynsbegäran mail.docx", "A 46745-2025")</f>
        <v/>
      </c>
      <c r="AE180">
        <f>HYPERLINK("https://klasma.github.io/Logging_2313/fåglar/A 46745-2025 prioriterade fågelarter.docx", "A 46745-2025")</f>
        <v/>
      </c>
    </row>
    <row r="181" ht="15" customHeight="1">
      <c r="A181" t="inlineStr">
        <is>
          <t>A 43161-2022</t>
        </is>
      </c>
      <c r="B181" t="inlineStr">
        <is>
          <t>avverkningsanmälan</t>
        </is>
      </c>
      <c r="C181" t="inlineStr">
        <is>
          <t>Avverkning för att bevara och utveckla /försöksver</t>
        </is>
      </c>
      <c r="D181" s="1" t="n">
        <v>44833</v>
      </c>
      <c r="E181" s="1" t="n">
        <v>46318</v>
      </c>
      <c r="F181" t="inlineStr">
        <is>
          <t>JÄMTLANDS LÄN</t>
        </is>
      </c>
      <c r="G181" t="inlineStr">
        <is>
          <t>STRÖMSUND</t>
        </is>
      </c>
      <c r="H181" t="inlineStr">
        <is>
          <t>SCA</t>
        </is>
      </c>
      <c r="I181" t="n">
        <v>5.5</v>
      </c>
      <c r="J181" t="n">
        <v>0</v>
      </c>
      <c r="K181" t="n">
        <v>1</v>
      </c>
      <c r="L181" t="n">
        <v>2</v>
      </c>
      <c r="M181" t="n">
        <v>0</v>
      </c>
      <c r="N181" t="n">
        <v>0</v>
      </c>
      <c r="O181" t="n">
        <v>0</v>
      </c>
      <c r="P181" t="n">
        <v>0</v>
      </c>
      <c r="Q181" t="n">
        <v>2</v>
      </c>
      <c r="R181" t="n">
        <v>0</v>
      </c>
      <c r="S181" t="n">
        <v>3</v>
      </c>
      <c r="T181" t="n">
        <v>3</v>
      </c>
      <c r="U181" t="n">
        <v>0</v>
      </c>
      <c r="V181" s="2" t="inlineStr">
        <is>
          <t>Harticka
Lunglav
Kransrams</t>
        </is>
      </c>
      <c r="W181">
        <f>HYPERLINK("https://klasma.github.io/Logging_2313/artfynd/A 43161-2022 artfynd.xlsx", "A 43161-2022")</f>
        <v/>
      </c>
      <c r="X181">
        <f>HYPERLINK("https://klasma.github.io/Logging_2313/kartor/A 43161-2022 karta.png", "A 43161-2022")</f>
        <v/>
      </c>
      <c r="Y181">
        <f>HYPERLINK("https://klasma.github.io/Logging_2313/kartor_geotiff/A 43161-2022 georefererad karta.tif", "A 43161-2022")</f>
        <v/>
      </c>
      <c r="AA181">
        <f>HYPERLINK("https://klasma.github.io/Logging_2313/klagomål/A 43161-2022 FSC-klagomål.docx", "A 43161-2022")</f>
        <v/>
      </c>
      <c r="AB181">
        <f>HYPERLINK("https://klasma.github.io/Logging_2313/klagomålsmail/A 43161-2022 FSC-klagomål mail.docx", "A 43161-2022")</f>
        <v/>
      </c>
      <c r="AC181">
        <f>HYPERLINK("https://klasma.github.io/Logging_2313/tillsyn/A 43161-2022 tillsynsbegäran.docx", "A 43161-2022")</f>
        <v/>
      </c>
      <c r="AD181">
        <f>HYPERLINK("https://klasma.github.io/Logging_2313/tillsynsmail/A 43161-2022 tillsynsbegäran mail.docx", "A 43161-2022")</f>
        <v/>
      </c>
    </row>
    <row r="182" ht="15" customHeight="1">
      <c r="A182" t="inlineStr">
        <is>
          <t>A 57333-2025</t>
        </is>
      </c>
      <c r="B182" t="inlineStr">
        <is>
          <t>avverkningsanmälan</t>
        </is>
      </c>
      <c r="C182" t="inlineStr">
        <is>
          <t>Avverkning för att bevara och utveckla /försöksver</t>
        </is>
      </c>
      <c r="D182" s="1" t="n">
        <v>45980</v>
      </c>
      <c r="E182" s="1" t="n">
        <v>46318</v>
      </c>
      <c r="F182" t="inlineStr">
        <is>
          <t>JÄMTLANDS LÄN</t>
        </is>
      </c>
      <c r="G182" t="inlineStr">
        <is>
          <t>STRÖMSUND</t>
        </is>
      </c>
      <c r="H182" t="inlineStr">
        <is>
          <t>SCA</t>
        </is>
      </c>
      <c r="I182" t="n">
        <v>3.6</v>
      </c>
      <c r="J182" t="n">
        <v>0</v>
      </c>
      <c r="K182" t="n">
        <v>1</v>
      </c>
      <c r="L182" t="n">
        <v>1</v>
      </c>
      <c r="M182" t="n">
        <v>1</v>
      </c>
      <c r="N182" t="n">
        <v>0</v>
      </c>
      <c r="O182" t="n">
        <v>0</v>
      </c>
      <c r="P182" t="n">
        <v>0</v>
      </c>
      <c r="Q182" t="n">
        <v>2</v>
      </c>
      <c r="R182" t="n">
        <v>1</v>
      </c>
      <c r="S182" t="n">
        <v>3</v>
      </c>
      <c r="T182" t="n">
        <v>3</v>
      </c>
      <c r="U182" t="n">
        <v>0</v>
      </c>
      <c r="V182" s="2" t="inlineStr">
        <is>
          <t>Garnlav
Lunglav
Stuplav</t>
        </is>
      </c>
      <c r="W182">
        <f>HYPERLINK("https://klasma.github.io/Logging_2313/artfynd/A 57333-2025 artfynd.xlsx", "A 57333-2025")</f>
        <v/>
      </c>
      <c r="X182">
        <f>HYPERLINK("https://klasma.github.io/Logging_2313/kartor/A 57333-2025 karta.png", "A 57333-2025")</f>
        <v/>
      </c>
      <c r="Y182">
        <f>HYPERLINK("https://klasma.github.io/Logging_2313/kartor_geotiff/A 57333-2025 georefererad karta.tif", "A 57333-2025")</f>
        <v/>
      </c>
      <c r="AA182">
        <f>HYPERLINK("https://klasma.github.io/Logging_2313/klagomål/A 57333-2025 FSC-klagomål.docx", "A 57333-2025")</f>
        <v/>
      </c>
      <c r="AB182">
        <f>HYPERLINK("https://klasma.github.io/Logging_2313/klagomålsmail/A 57333-2025 FSC-klagomål mail.docx", "A 57333-2025")</f>
        <v/>
      </c>
      <c r="AC182">
        <f>HYPERLINK("https://klasma.github.io/Logging_2313/tillsyn/A 57333-2025 tillsynsbegäran.docx", "A 57333-2025")</f>
        <v/>
      </c>
      <c r="AD182">
        <f>HYPERLINK("https://klasma.github.io/Logging_2313/tillsynsmail/A 57333-2025 tillsynsbegäran mail.docx", "A 57333-2025")</f>
        <v/>
      </c>
    </row>
    <row r="183" ht="15" customHeight="1">
      <c r="A183" t="inlineStr">
        <is>
          <t>A 57390-2023</t>
        </is>
      </c>
      <c r="B183" t="inlineStr">
        <is>
          <t>avverkningsanmälan</t>
        </is>
      </c>
      <c r="C183" t="inlineStr">
        <is>
          <t>Föryngringsavverkning</t>
        </is>
      </c>
      <c r="D183" s="1" t="n">
        <v>45245</v>
      </c>
      <c r="E183" s="1" t="n">
        <v>46318</v>
      </c>
      <c r="F183" t="inlineStr">
        <is>
          <t>JÄMTLANDS LÄN</t>
        </is>
      </c>
      <c r="G183" t="inlineStr">
        <is>
          <t>STRÖMSUND</t>
        </is>
      </c>
      <c r="I183" t="n">
        <v>4.8</v>
      </c>
      <c r="J183" t="n">
        <v>0</v>
      </c>
      <c r="K183" t="n">
        <v>2</v>
      </c>
      <c r="L183" t="n">
        <v>1</v>
      </c>
      <c r="M183" t="n">
        <v>0</v>
      </c>
      <c r="N183" t="n">
        <v>0</v>
      </c>
      <c r="O183" t="n">
        <v>0</v>
      </c>
      <c r="P183" t="n">
        <v>0</v>
      </c>
      <c r="Q183" t="n">
        <v>1</v>
      </c>
      <c r="R183" t="n">
        <v>0</v>
      </c>
      <c r="S183" t="n">
        <v>3</v>
      </c>
      <c r="T183" t="n">
        <v>11</v>
      </c>
      <c r="U183" t="n">
        <v>0</v>
      </c>
      <c r="V183" s="2" t="inlineStr">
        <is>
          <t>Lunglav
Svart trolldruva
Svavelriska</t>
        </is>
      </c>
      <c r="W183">
        <f>HYPERLINK("https://klasma.github.io/Logging_2313/artfynd/A 57390-2023 artfynd.xlsx", "A 57390-2023")</f>
        <v/>
      </c>
      <c r="X183">
        <f>HYPERLINK("https://klasma.github.io/Logging_2313/kartor/A 57390-2023 karta.png", "A 57390-2023")</f>
        <v/>
      </c>
      <c r="Y183">
        <f>HYPERLINK("https://klasma.github.io/Logging_2313/kartor_geotiff/A 57390-2023 georefererad karta.tif", "A 57390-2023")</f>
        <v/>
      </c>
      <c r="AA183">
        <f>HYPERLINK("https://klasma.github.io/Logging_2313/klagomål/A 57390-2023 FSC-klagomål.docx", "A 57390-2023")</f>
        <v/>
      </c>
      <c r="AB183">
        <f>HYPERLINK("https://klasma.github.io/Logging_2313/klagomålsmail/A 57390-2023 FSC-klagomål mail.docx", "A 57390-2023")</f>
        <v/>
      </c>
      <c r="AC183">
        <f>HYPERLINK("https://klasma.github.io/Logging_2313/tillsyn/A 57390-2023 tillsynsbegäran.docx", "A 57390-2023")</f>
        <v/>
      </c>
      <c r="AD183">
        <f>HYPERLINK("https://klasma.github.io/Logging_2313/tillsynsmail/A 57390-2023 tillsynsbegäran mail.docx", "A 57390-2023")</f>
        <v/>
      </c>
    </row>
    <row r="184" ht="15" customHeight="1">
      <c r="A184" t="inlineStr">
        <is>
          <t>A 10323-2022</t>
        </is>
      </c>
      <c r="B184" t="inlineStr">
        <is>
          <t>avverkningsanmälan</t>
        </is>
      </c>
      <c r="C184" t="inlineStr">
        <is>
          <t>Avverkning för att bevara och utveckla /försöksver</t>
        </is>
      </c>
      <c r="D184" s="1" t="n">
        <v>44622</v>
      </c>
      <c r="E184" s="1" t="n">
        <v>46318</v>
      </c>
      <c r="F184" t="inlineStr">
        <is>
          <t>JÄMTLANDS LÄN</t>
        </is>
      </c>
      <c r="G184" t="inlineStr">
        <is>
          <t>STRÖMSUND</t>
        </is>
      </c>
      <c r="H184" t="inlineStr">
        <is>
          <t>SCA</t>
        </is>
      </c>
      <c r="I184" t="n">
        <v>6.2</v>
      </c>
      <c r="J184" t="n">
        <v>1</v>
      </c>
      <c r="K184" t="n">
        <v>0</v>
      </c>
      <c r="L184" t="n">
        <v>2</v>
      </c>
      <c r="M184" t="n">
        <v>1</v>
      </c>
      <c r="N184" t="n">
        <v>0</v>
      </c>
      <c r="O184" t="n">
        <v>0</v>
      </c>
      <c r="P184" t="n">
        <v>0</v>
      </c>
      <c r="Q184" t="n">
        <v>3</v>
      </c>
      <c r="R184" t="n">
        <v>1</v>
      </c>
      <c r="S184" t="n">
        <v>3</v>
      </c>
      <c r="T184" t="n">
        <v>3</v>
      </c>
      <c r="U184" t="n">
        <v>3</v>
      </c>
      <c r="V184" s="2" t="inlineStr">
        <is>
          <t>Knärot
Lunglav
Skrovellav</t>
        </is>
      </c>
      <c r="W184">
        <f>HYPERLINK("https://klasma.github.io/Logging_2313/artfynd/A 10323-2022 artfynd.xlsx", "A 10323-2022")</f>
        <v/>
      </c>
      <c r="X184">
        <f>HYPERLINK("https://klasma.github.io/Logging_2313/kartor/A 10323-2022 karta.png", "A 10323-2022")</f>
        <v/>
      </c>
      <c r="Y184">
        <f>HYPERLINK("https://klasma.github.io/Logging_2313/kartor_geotiff/A 10323-2022 georefererad karta.tif", "A 10323-2022")</f>
        <v/>
      </c>
      <c r="Z184">
        <f>HYPERLINK("https://klasma.github.io/Logging_2313/knärot/A 10323-2022 karta knärot.png", "A 10323-2022")</f>
        <v/>
      </c>
      <c r="AA184">
        <f>HYPERLINK("https://klasma.github.io/Logging_2313/klagomål/A 10323-2022 FSC-klagomål.docx", "A 10323-2022")</f>
        <v/>
      </c>
      <c r="AB184">
        <f>HYPERLINK("https://klasma.github.io/Logging_2313/klagomålsmail/A 10323-2022 FSC-klagomål mail.docx", "A 10323-2022")</f>
        <v/>
      </c>
      <c r="AC184">
        <f>HYPERLINK("https://klasma.github.io/Logging_2313/tillsyn/A 10323-2022 tillsynsbegäran.docx", "A 10323-2022")</f>
        <v/>
      </c>
      <c r="AD184">
        <f>HYPERLINK("https://klasma.github.io/Logging_2313/tillsynsmail/A 10323-2022 tillsynsbegäran mail.docx", "A 10323-2022")</f>
        <v/>
      </c>
    </row>
    <row r="185" ht="15" customHeight="1">
      <c r="A185" t="inlineStr">
        <is>
          <t>A 58235-2025</t>
        </is>
      </c>
      <c r="B185" t="inlineStr">
        <is>
          <t>avverkningsanmälan</t>
        </is>
      </c>
      <c r="C185" t="inlineStr">
        <is>
          <t>Föryngringsavverkning</t>
        </is>
      </c>
      <c r="D185" s="1" t="n">
        <v>45985</v>
      </c>
      <c r="E185" s="1" t="n">
        <v>46318</v>
      </c>
      <c r="F185" t="inlineStr">
        <is>
          <t>JÄMTLANDS LÄN</t>
        </is>
      </c>
      <c r="G185" t="inlineStr">
        <is>
          <t>STRÖMSUND</t>
        </is>
      </c>
      <c r="H185" t="inlineStr">
        <is>
          <t>SCA</t>
        </is>
      </c>
      <c r="I185" t="n">
        <v>1</v>
      </c>
      <c r="J185" t="n">
        <v>0</v>
      </c>
      <c r="K185" t="n">
        <v>0</v>
      </c>
      <c r="L185" t="n">
        <v>2</v>
      </c>
      <c r="M185" t="n">
        <v>1</v>
      </c>
      <c r="N185" t="n">
        <v>0</v>
      </c>
      <c r="O185" t="n">
        <v>0</v>
      </c>
      <c r="P185" t="n">
        <v>0</v>
      </c>
      <c r="Q185" t="n">
        <v>3</v>
      </c>
      <c r="R185" t="n">
        <v>1</v>
      </c>
      <c r="S185" t="n">
        <v>3</v>
      </c>
      <c r="T185" t="n">
        <v>3</v>
      </c>
      <c r="U185" t="n">
        <v>0</v>
      </c>
      <c r="V185" s="2" t="inlineStr">
        <is>
          <t>Garnlav
Gammelgransskål
Vitgrynig nållav</t>
        </is>
      </c>
      <c r="W185">
        <f>HYPERLINK("https://klasma.github.io/Logging_2313/artfynd/A 58235-2025 artfynd.xlsx", "A 58235-2025")</f>
        <v/>
      </c>
      <c r="X185">
        <f>HYPERLINK("https://klasma.github.io/Logging_2313/kartor/A 58235-2025 karta.png", "A 58235-2025")</f>
        <v/>
      </c>
      <c r="Y185">
        <f>HYPERLINK("https://klasma.github.io/Logging_2313/kartor_geotiff/A 58235-2025 georefererad karta.tif", "A 58235-2025")</f>
        <v/>
      </c>
      <c r="AA185">
        <f>HYPERLINK("https://klasma.github.io/Logging_2313/klagomål/A 58235-2025 FSC-klagomål.docx", "A 58235-2025")</f>
        <v/>
      </c>
      <c r="AB185">
        <f>HYPERLINK("https://klasma.github.io/Logging_2313/klagomålsmail/A 58235-2025 FSC-klagomål mail.docx", "A 58235-2025")</f>
        <v/>
      </c>
      <c r="AC185">
        <f>HYPERLINK("https://klasma.github.io/Logging_2313/tillsyn/A 58235-2025 tillsynsbegäran.docx", "A 58235-2025")</f>
        <v/>
      </c>
      <c r="AD185">
        <f>HYPERLINK("https://klasma.github.io/Logging_2313/tillsynsmail/A 58235-2025 tillsynsbegäran mail.docx", "A 58235-2025")</f>
        <v/>
      </c>
    </row>
    <row r="186" ht="15" customHeight="1">
      <c r="A186" t="inlineStr">
        <is>
          <t>A 62012-2025</t>
        </is>
      </c>
      <c r="B186" t="inlineStr">
        <is>
          <t>avverkningsanmälan</t>
        </is>
      </c>
      <c r="C186" t="inlineStr">
        <is>
          <t>Föryngringsavverkning</t>
        </is>
      </c>
      <c r="D186" s="1" t="n">
        <v>46003</v>
      </c>
      <c r="E186" s="1" t="n">
        <v>46318</v>
      </c>
      <c r="F186" t="inlineStr">
        <is>
          <t>JÄMTLANDS LÄN</t>
        </is>
      </c>
      <c r="G186" t="inlineStr">
        <is>
          <t>STRÖMSUND</t>
        </is>
      </c>
      <c r="H186" t="inlineStr">
        <is>
          <t>SCA</t>
        </is>
      </c>
      <c r="I186" t="n">
        <v>2.3</v>
      </c>
      <c r="J186" t="n">
        <v>0</v>
      </c>
      <c r="K186" t="n">
        <v>0</v>
      </c>
      <c r="L186" t="n">
        <v>2</v>
      </c>
      <c r="M186" t="n">
        <v>1</v>
      </c>
      <c r="N186" t="n">
        <v>0</v>
      </c>
      <c r="O186" t="n">
        <v>0</v>
      </c>
      <c r="P186" t="n">
        <v>0</v>
      </c>
      <c r="Q186" t="n">
        <v>3</v>
      </c>
      <c r="R186" t="n">
        <v>1</v>
      </c>
      <c r="S186" t="n">
        <v>3</v>
      </c>
      <c r="T186" t="n">
        <v>6</v>
      </c>
      <c r="U186" t="n">
        <v>0</v>
      </c>
      <c r="V186" s="2" t="inlineStr">
        <is>
          <t>Garnlav
Lunglav
Skrovellav</t>
        </is>
      </c>
      <c r="W186">
        <f>HYPERLINK("https://klasma.github.io/Logging_2313/artfynd/A 62012-2025 artfynd.xlsx", "A 62012-2025")</f>
        <v/>
      </c>
      <c r="X186">
        <f>HYPERLINK("https://klasma.github.io/Logging_2313/kartor/A 62012-2025 karta.png", "A 62012-2025")</f>
        <v/>
      </c>
      <c r="Y186">
        <f>HYPERLINK("https://klasma.github.io/Logging_2313/kartor_geotiff/A 62012-2025 georefererad karta.tif", "A 62012-2025")</f>
        <v/>
      </c>
      <c r="AA186">
        <f>HYPERLINK("https://klasma.github.io/Logging_2313/klagomål/A 62012-2025 FSC-klagomål.docx", "A 62012-2025")</f>
        <v/>
      </c>
      <c r="AB186">
        <f>HYPERLINK("https://klasma.github.io/Logging_2313/klagomålsmail/A 62012-2025 FSC-klagomål mail.docx", "A 62012-2025")</f>
        <v/>
      </c>
      <c r="AC186">
        <f>HYPERLINK("https://klasma.github.io/Logging_2313/tillsyn/A 62012-2025 tillsynsbegäran.docx", "A 62012-2025")</f>
        <v/>
      </c>
      <c r="AD186">
        <f>HYPERLINK("https://klasma.github.io/Logging_2313/tillsynsmail/A 62012-2025 tillsynsbegäran mail.docx", "A 62012-2025")</f>
        <v/>
      </c>
    </row>
    <row r="187" ht="15" customHeight="1">
      <c r="A187" t="inlineStr">
        <is>
          <t>A 23659-2026</t>
        </is>
      </c>
      <c r="B187" t="inlineStr">
        <is>
          <t>avverkningsanmälan</t>
        </is>
      </c>
      <c r="C187" t="inlineStr">
        <is>
          <t>Avverkning för att bevara och utveckla /försöksver</t>
        </is>
      </c>
      <c r="D187" s="1" t="n">
        <v>46164</v>
      </c>
      <c r="E187" s="1" t="n">
        <v>46318</v>
      </c>
      <c r="F187" t="inlineStr">
        <is>
          <t>JÄMTLANDS LÄN</t>
        </is>
      </c>
      <c r="G187" t="inlineStr">
        <is>
          <t>STRÖMSUND</t>
        </is>
      </c>
      <c r="H187" t="inlineStr">
        <is>
          <t>SCA</t>
        </is>
      </c>
      <c r="I187" t="n">
        <v>2.6</v>
      </c>
      <c r="J187" t="n">
        <v>1</v>
      </c>
      <c r="K187" t="n">
        <v>0</v>
      </c>
      <c r="L187" t="n">
        <v>2</v>
      </c>
      <c r="M187" t="n">
        <v>1</v>
      </c>
      <c r="N187" t="n">
        <v>0</v>
      </c>
      <c r="O187" t="n">
        <v>0</v>
      </c>
      <c r="P187" t="n">
        <v>0</v>
      </c>
      <c r="Q187" t="n">
        <v>3</v>
      </c>
      <c r="R187" t="n">
        <v>1</v>
      </c>
      <c r="S187" t="n">
        <v>3</v>
      </c>
      <c r="T187" t="n">
        <v>4</v>
      </c>
      <c r="U187" t="n">
        <v>0</v>
      </c>
      <c r="V187" s="2" t="inlineStr">
        <is>
          <t>Knärot
Lunglav
Skrovellav</t>
        </is>
      </c>
      <c r="W187">
        <f>HYPERLINK("https://klasma.github.io/Logging_2313/artfynd/A 23659-2026 artfynd.xlsx", "A 23659-2026")</f>
        <v/>
      </c>
      <c r="X187">
        <f>HYPERLINK("https://klasma.github.io/Logging_2313/kartor/A 23659-2026 karta.png", "A 23659-2026")</f>
        <v/>
      </c>
      <c r="Y187">
        <f>HYPERLINK("https://klasma.github.io/Logging_2313/kartor_geotiff/A 23659-2026 georefererad karta.tif", "A 23659-2026")</f>
        <v/>
      </c>
      <c r="Z187">
        <f>HYPERLINK("https://klasma.github.io/Logging_2313/knärot/A 23659-2026 karta knärot.png", "A 23659-2026")</f>
        <v/>
      </c>
      <c r="AA187">
        <f>HYPERLINK("https://klasma.github.io/Logging_2313/klagomål/A 23659-2026 FSC-klagomål.docx", "A 23659-2026")</f>
        <v/>
      </c>
      <c r="AB187">
        <f>HYPERLINK("https://klasma.github.io/Logging_2313/klagomålsmail/A 23659-2026 FSC-klagomål mail.docx", "A 23659-2026")</f>
        <v/>
      </c>
      <c r="AC187">
        <f>HYPERLINK("https://klasma.github.io/Logging_2313/tillsyn/A 23659-2026 tillsynsbegäran.docx", "A 23659-2026")</f>
        <v/>
      </c>
      <c r="AD187">
        <f>HYPERLINK("https://klasma.github.io/Logging_2313/tillsynsmail/A 23659-2026 tillsynsbegäran mail.docx", "A 23659-2026")</f>
        <v/>
      </c>
    </row>
    <row r="188" ht="15" customHeight="1">
      <c r="A188" t="inlineStr">
        <is>
          <t>A 32651-2024</t>
        </is>
      </c>
      <c r="B188" t="inlineStr">
        <is>
          <t>avverkningsanmälan</t>
        </is>
      </c>
      <c r="C188" t="inlineStr">
        <is>
          <t>Avverkning för att bevara och utveckla /försöksver</t>
        </is>
      </c>
      <c r="D188" s="1" t="n">
        <v>45513</v>
      </c>
      <c r="E188" s="1" t="n">
        <v>46318</v>
      </c>
      <c r="F188" t="inlineStr">
        <is>
          <t>JÄMTLANDS LÄN</t>
        </is>
      </c>
      <c r="G188" t="inlineStr">
        <is>
          <t>STRÖMSUND</t>
        </is>
      </c>
      <c r="H188" t="inlineStr">
        <is>
          <t>SCA</t>
        </is>
      </c>
      <c r="I188" t="n">
        <v>2.8</v>
      </c>
      <c r="J188" t="n">
        <v>0</v>
      </c>
      <c r="K188" t="n">
        <v>2</v>
      </c>
      <c r="L188" t="n">
        <v>1</v>
      </c>
      <c r="M188" t="n">
        <v>0</v>
      </c>
      <c r="N188" t="n">
        <v>0</v>
      </c>
      <c r="O188" t="n">
        <v>0</v>
      </c>
      <c r="P188" t="n">
        <v>0</v>
      </c>
      <c r="Q188" t="n">
        <v>1</v>
      </c>
      <c r="R188" t="n">
        <v>0</v>
      </c>
      <c r="S188" t="n">
        <v>3</v>
      </c>
      <c r="T188" t="n">
        <v>4</v>
      </c>
      <c r="U188" t="n">
        <v>0</v>
      </c>
      <c r="V188" s="2" t="inlineStr">
        <is>
          <t>Lunglav
Luddlav
Stuplav</t>
        </is>
      </c>
      <c r="W188">
        <f>HYPERLINK("https://klasma.github.io/Logging_2313/artfynd/A 32651-2024 artfynd.xlsx", "A 32651-2024")</f>
        <v/>
      </c>
      <c r="X188">
        <f>HYPERLINK("https://klasma.github.io/Logging_2313/kartor/A 32651-2024 karta.png", "A 32651-2024")</f>
        <v/>
      </c>
      <c r="Y188">
        <f>HYPERLINK("https://klasma.github.io/Logging_2313/kartor_geotiff/A 32651-2024 georefererad karta.tif", "A 32651-2024")</f>
        <v/>
      </c>
      <c r="AA188">
        <f>HYPERLINK("https://klasma.github.io/Logging_2313/klagomål/A 32651-2024 FSC-klagomål.docx", "A 32651-2024")</f>
        <v/>
      </c>
      <c r="AB188">
        <f>HYPERLINK("https://klasma.github.io/Logging_2313/klagomålsmail/A 32651-2024 FSC-klagomål mail.docx", "A 32651-2024")</f>
        <v/>
      </c>
      <c r="AC188">
        <f>HYPERLINK("https://klasma.github.io/Logging_2313/tillsyn/A 32651-2024 tillsynsbegäran.docx", "A 32651-2024")</f>
        <v/>
      </c>
      <c r="AD188">
        <f>HYPERLINK("https://klasma.github.io/Logging_2313/tillsynsmail/A 32651-2024 tillsynsbegäran mail.docx", "A 32651-2024")</f>
        <v/>
      </c>
    </row>
    <row r="189" ht="15" customHeight="1">
      <c r="A189" t="inlineStr">
        <is>
          <t>A 9922-2024</t>
        </is>
      </c>
      <c r="B189" t="inlineStr">
        <is>
          <t>avverkningsanmälan</t>
        </is>
      </c>
      <c r="C189" t="inlineStr">
        <is>
          <t>Föryngringsavverkning</t>
        </is>
      </c>
      <c r="D189" s="1" t="n">
        <v>45363</v>
      </c>
      <c r="E189" s="1" t="n">
        <v>46318</v>
      </c>
      <c r="F189" t="inlineStr">
        <is>
          <t>JÄMTLANDS LÄN</t>
        </is>
      </c>
      <c r="G189" t="inlineStr">
        <is>
          <t>STRÖMSUND</t>
        </is>
      </c>
      <c r="H189" t="inlineStr">
        <is>
          <t>Holmen skog AB</t>
        </is>
      </c>
      <c r="I189" t="n">
        <v>10.8</v>
      </c>
      <c r="J189" t="n">
        <v>0</v>
      </c>
      <c r="K189" t="n">
        <v>0</v>
      </c>
      <c r="L189" t="n">
        <v>3</v>
      </c>
      <c r="M189" t="n">
        <v>0</v>
      </c>
      <c r="N189" t="n">
        <v>0</v>
      </c>
      <c r="O189" t="n">
        <v>0</v>
      </c>
      <c r="P189" t="n">
        <v>0</v>
      </c>
      <c r="Q189" t="n">
        <v>3</v>
      </c>
      <c r="R189" t="n">
        <v>0</v>
      </c>
      <c r="S189" t="n">
        <v>3</v>
      </c>
      <c r="T189" t="n">
        <v>4</v>
      </c>
      <c r="U189" t="n">
        <v>0</v>
      </c>
      <c r="V189" s="2" t="inlineStr">
        <is>
          <t>Dropptaggsvamp
Kolflarnlav
Vaddporing</t>
        </is>
      </c>
      <c r="W189">
        <f>HYPERLINK("https://klasma.github.io/Logging_2313/artfynd/A 9922-2024 artfynd.xlsx", "A 9922-2024")</f>
        <v/>
      </c>
      <c r="X189">
        <f>HYPERLINK("https://klasma.github.io/Logging_2313/kartor/A 9922-2024 karta.png", "A 9922-2024")</f>
        <v/>
      </c>
      <c r="Y189">
        <f>HYPERLINK("https://klasma.github.io/Logging_2313/kartor_geotiff/A 9922-2024 georefererad karta.tif", "A 9922-2024")</f>
        <v/>
      </c>
      <c r="AA189">
        <f>HYPERLINK("https://klasma.github.io/Logging_2313/klagomål/A 9922-2024 FSC-klagomål.docx", "A 9922-2024")</f>
        <v/>
      </c>
      <c r="AB189">
        <f>HYPERLINK("https://klasma.github.io/Logging_2313/klagomålsmail/A 9922-2024 FSC-klagomål mail.docx", "A 9922-2024")</f>
        <v/>
      </c>
      <c r="AC189">
        <f>HYPERLINK("https://klasma.github.io/Logging_2313/tillsyn/A 9922-2024 tillsynsbegäran.docx", "A 9922-2024")</f>
        <v/>
      </c>
      <c r="AD189">
        <f>HYPERLINK("https://klasma.github.io/Logging_2313/tillsynsmail/A 9922-2024 tillsynsbegäran mail.docx", "A 9922-2024")</f>
        <v/>
      </c>
    </row>
    <row r="190" ht="15" customHeight="1">
      <c r="A190" t="inlineStr">
        <is>
          <t>A 40107-2023</t>
        </is>
      </c>
      <c r="B190" t="inlineStr">
        <is>
          <t>avverkningsanmälan</t>
        </is>
      </c>
      <c r="C190" t="inlineStr">
        <is>
          <t>Föryngringsavverkning</t>
        </is>
      </c>
      <c r="D190" s="1" t="n">
        <v>45168</v>
      </c>
      <c r="E190" s="1" t="n">
        <v>46318</v>
      </c>
      <c r="F190" t="inlineStr">
        <is>
          <t>JÄMTLANDS LÄN</t>
        </is>
      </c>
      <c r="G190" t="inlineStr">
        <is>
          <t>STRÖMSUND</t>
        </is>
      </c>
      <c r="H190" t="inlineStr">
        <is>
          <t>SCA</t>
        </is>
      </c>
      <c r="I190" t="n">
        <v>4.6</v>
      </c>
      <c r="J190" t="n">
        <v>1</v>
      </c>
      <c r="K190" t="n">
        <v>1</v>
      </c>
      <c r="L190" t="n">
        <v>2</v>
      </c>
      <c r="M190" t="n">
        <v>0</v>
      </c>
      <c r="N190" t="n">
        <v>0</v>
      </c>
      <c r="O190" t="n">
        <v>0</v>
      </c>
      <c r="P190" t="n">
        <v>0</v>
      </c>
      <c r="Q190" t="n">
        <v>2</v>
      </c>
      <c r="R190" t="n">
        <v>0</v>
      </c>
      <c r="S190" t="n">
        <v>3</v>
      </c>
      <c r="T190" t="n">
        <v>3</v>
      </c>
      <c r="U190" t="n">
        <v>0</v>
      </c>
      <c r="V190" s="2" t="inlineStr">
        <is>
          <t>Gammelgransskål
Ullticka
Korallrot</t>
        </is>
      </c>
      <c r="W190">
        <f>HYPERLINK("https://klasma.github.io/Logging_2313/artfynd/A 40107-2023 artfynd.xlsx", "A 40107-2023")</f>
        <v/>
      </c>
      <c r="X190">
        <f>HYPERLINK("https://klasma.github.io/Logging_2313/kartor/A 40107-2023 karta.png", "A 40107-2023")</f>
        <v/>
      </c>
      <c r="Y190">
        <f>HYPERLINK("https://klasma.github.io/Logging_2313/kartor_geotiff/A 40107-2023 georefererad karta.tif", "A 40107-2023")</f>
        <v/>
      </c>
      <c r="AA190">
        <f>HYPERLINK("https://klasma.github.io/Logging_2313/klagomål/A 40107-2023 FSC-klagomål.docx", "A 40107-2023")</f>
        <v/>
      </c>
      <c r="AB190">
        <f>HYPERLINK("https://klasma.github.io/Logging_2313/klagomålsmail/A 40107-2023 FSC-klagomål mail.docx", "A 40107-2023")</f>
        <v/>
      </c>
      <c r="AC190">
        <f>HYPERLINK("https://klasma.github.io/Logging_2313/tillsyn/A 40107-2023 tillsynsbegäran.docx", "A 40107-2023")</f>
        <v/>
      </c>
      <c r="AD190">
        <f>HYPERLINK("https://klasma.github.io/Logging_2313/tillsynsmail/A 40107-2023 tillsynsbegäran mail.docx", "A 40107-2023")</f>
        <v/>
      </c>
    </row>
    <row r="191" ht="15" customHeight="1">
      <c r="A191" t="inlineStr">
        <is>
          <t>A 2716-2025</t>
        </is>
      </c>
      <c r="B191" t="inlineStr">
        <is>
          <t>avverkningsanmälan</t>
        </is>
      </c>
      <c r="C191" t="inlineStr">
        <is>
          <t>Avverkning för att bevara och utveckla /försöksver</t>
        </is>
      </c>
      <c r="D191" s="1" t="n">
        <v>45677</v>
      </c>
      <c r="E191" s="1" t="n">
        <v>46318</v>
      </c>
      <c r="F191" t="inlineStr">
        <is>
          <t>JÄMTLANDS LÄN</t>
        </is>
      </c>
      <c r="G191" t="inlineStr">
        <is>
          <t>STRÖMSUND</t>
        </is>
      </c>
      <c r="H191" t="inlineStr">
        <is>
          <t>SCA</t>
        </is>
      </c>
      <c r="I191" t="n">
        <v>3.6</v>
      </c>
      <c r="J191" t="n">
        <v>0</v>
      </c>
      <c r="K191" t="n">
        <v>0</v>
      </c>
      <c r="L191" t="n">
        <v>3</v>
      </c>
      <c r="M191" t="n">
        <v>0</v>
      </c>
      <c r="N191" t="n">
        <v>0</v>
      </c>
      <c r="O191" t="n">
        <v>0</v>
      </c>
      <c r="P191" t="n">
        <v>0</v>
      </c>
      <c r="Q191" t="n">
        <v>3</v>
      </c>
      <c r="R191" t="n">
        <v>0</v>
      </c>
      <c r="S191" t="n">
        <v>3</v>
      </c>
      <c r="T191" t="n">
        <v>3</v>
      </c>
      <c r="U191" t="n">
        <v>0</v>
      </c>
      <c r="V191" s="2" t="inlineStr">
        <is>
          <t>Dvärgbägarlav
Vaddporing
Vedskivlav</t>
        </is>
      </c>
      <c r="W191">
        <f>HYPERLINK("https://klasma.github.io/Logging_2313/artfynd/A 2716-2025 artfynd.xlsx", "A 2716-2025")</f>
        <v/>
      </c>
      <c r="X191">
        <f>HYPERLINK("https://klasma.github.io/Logging_2313/kartor/A 2716-2025 karta.png", "A 2716-2025")</f>
        <v/>
      </c>
      <c r="Y191">
        <f>HYPERLINK("https://klasma.github.io/Logging_2313/kartor_geotiff/A 2716-2025 georefererad karta.tif", "A 2716-2025")</f>
        <v/>
      </c>
      <c r="AA191">
        <f>HYPERLINK("https://klasma.github.io/Logging_2313/klagomål/A 2716-2025 FSC-klagomål.docx", "A 2716-2025")</f>
        <v/>
      </c>
      <c r="AB191">
        <f>HYPERLINK("https://klasma.github.io/Logging_2313/klagomålsmail/A 2716-2025 FSC-klagomål mail.docx", "A 2716-2025")</f>
        <v/>
      </c>
      <c r="AC191">
        <f>HYPERLINK("https://klasma.github.io/Logging_2313/tillsyn/A 2716-2025 tillsynsbegäran.docx", "A 2716-2025")</f>
        <v/>
      </c>
      <c r="AD191">
        <f>HYPERLINK("https://klasma.github.io/Logging_2313/tillsynsmail/A 2716-2025 tillsynsbegäran mail.docx", "A 2716-2025")</f>
        <v/>
      </c>
    </row>
    <row r="192" ht="15" customHeight="1">
      <c r="A192" t="inlineStr">
        <is>
          <t>A 12018-2022</t>
        </is>
      </c>
      <c r="B192" t="inlineStr">
        <is>
          <t>avverkningsanmälan</t>
        </is>
      </c>
      <c r="C192" t="inlineStr">
        <is>
          <t>Föryngringsavverkning</t>
        </is>
      </c>
      <c r="D192" s="1" t="n">
        <v>44635</v>
      </c>
      <c r="E192" s="1" t="n">
        <v>46318</v>
      </c>
      <c r="F192" t="inlineStr">
        <is>
          <t>JÄMTLANDS LÄN</t>
        </is>
      </c>
      <c r="G192" t="inlineStr">
        <is>
          <t>STRÖMSUND</t>
        </is>
      </c>
      <c r="H192" t="inlineStr">
        <is>
          <t>SCA</t>
        </is>
      </c>
      <c r="I192" t="n">
        <v>2.5</v>
      </c>
      <c r="J192" t="n">
        <v>1</v>
      </c>
      <c r="K192" t="n">
        <v>1</v>
      </c>
      <c r="L192" t="n">
        <v>1</v>
      </c>
      <c r="M192" t="n">
        <v>0</v>
      </c>
      <c r="N192" t="n">
        <v>0</v>
      </c>
      <c r="O192" t="n">
        <v>0</v>
      </c>
      <c r="P192" t="n">
        <v>0</v>
      </c>
      <c r="Q192" t="n">
        <v>1</v>
      </c>
      <c r="R192" t="n">
        <v>0</v>
      </c>
      <c r="S192" t="n">
        <v>3</v>
      </c>
      <c r="T192" t="n">
        <v>3</v>
      </c>
      <c r="U192" t="n">
        <v>1</v>
      </c>
      <c r="V192" s="2" t="inlineStr">
        <is>
          <t>Brunklöver
Stuplav
Fläcknycklar</t>
        </is>
      </c>
      <c r="W192">
        <f>HYPERLINK("https://klasma.github.io/Logging_2313/artfynd/A 12018-2022 artfynd.xlsx", "A 12018-2022")</f>
        <v/>
      </c>
      <c r="X192">
        <f>HYPERLINK("https://klasma.github.io/Logging_2313/kartor/A 12018-2022 karta.png", "A 12018-2022")</f>
        <v/>
      </c>
      <c r="Y192">
        <f>HYPERLINK("https://klasma.github.io/Logging_2313/kartor_geotiff/A 12018-2022 georefererad karta.tif", "A 12018-2022")</f>
        <v/>
      </c>
      <c r="AA192">
        <f>HYPERLINK("https://klasma.github.io/Logging_2313/klagomål/A 12018-2022 FSC-klagomål.docx", "A 12018-2022")</f>
        <v/>
      </c>
      <c r="AB192">
        <f>HYPERLINK("https://klasma.github.io/Logging_2313/klagomålsmail/A 12018-2022 FSC-klagomål mail.docx", "A 12018-2022")</f>
        <v/>
      </c>
      <c r="AC192">
        <f>HYPERLINK("https://klasma.github.io/Logging_2313/tillsyn/A 12018-2022 tillsynsbegäran.docx", "A 12018-2022")</f>
        <v/>
      </c>
      <c r="AD192">
        <f>HYPERLINK("https://klasma.github.io/Logging_2313/tillsynsmail/A 12018-2022 tillsynsbegäran mail.docx", "A 12018-2022")</f>
        <v/>
      </c>
    </row>
    <row r="193" ht="15" customHeight="1">
      <c r="A193" t="inlineStr">
        <is>
          <t>A 27233-2026</t>
        </is>
      </c>
      <c r="B193" t="inlineStr">
        <is>
          <t>avverkningsanmälan</t>
        </is>
      </c>
      <c r="C193" t="inlineStr">
        <is>
          <t>Avverkning för att bevara och utveckla /försöksver</t>
        </is>
      </c>
      <c r="D193" s="1" t="n">
        <v>46188</v>
      </c>
      <c r="E193" s="1" t="n">
        <v>46318</v>
      </c>
      <c r="F193" t="inlineStr">
        <is>
          <t>JÄMTLANDS LÄN</t>
        </is>
      </c>
      <c r="G193" t="inlineStr">
        <is>
          <t>STRÖMSUND</t>
        </is>
      </c>
      <c r="H193" t="inlineStr">
        <is>
          <t>SCA</t>
        </is>
      </c>
      <c r="I193" t="n">
        <v>5</v>
      </c>
      <c r="J193" t="n">
        <v>0</v>
      </c>
      <c r="K193" t="n">
        <v>0</v>
      </c>
      <c r="L193" t="n">
        <v>2</v>
      </c>
      <c r="M193" t="n">
        <v>1</v>
      </c>
      <c r="N193" t="n">
        <v>0</v>
      </c>
      <c r="O193" t="n">
        <v>0</v>
      </c>
      <c r="P193" t="n">
        <v>0</v>
      </c>
      <c r="Q193" t="n">
        <v>3</v>
      </c>
      <c r="R193" t="n">
        <v>1</v>
      </c>
      <c r="S193" t="n">
        <v>3</v>
      </c>
      <c r="T193" t="n">
        <v>3</v>
      </c>
      <c r="U193" t="n">
        <v>0</v>
      </c>
      <c r="V193" s="2" t="inlineStr">
        <is>
          <t>Gränsticka
Gammelgransskål
Skrovellav</t>
        </is>
      </c>
      <c r="W193">
        <f>HYPERLINK("https://klasma.github.io/Logging_2313/artfynd/A 27233-2026 artfynd.xlsx", "A 27233-2026")</f>
        <v/>
      </c>
      <c r="X193">
        <f>HYPERLINK("https://klasma.github.io/Logging_2313/kartor/A 27233-2026 karta.png", "A 27233-2026")</f>
        <v/>
      </c>
      <c r="Y193">
        <f>HYPERLINK("https://klasma.github.io/Logging_2313/kartor_geotiff/A 27233-2026 georefererad karta.tif", "A 27233-2026")</f>
        <v/>
      </c>
      <c r="AA193">
        <f>HYPERLINK("https://klasma.github.io/Logging_2313/klagomål/A 27233-2026 FSC-klagomål.docx", "A 27233-2026")</f>
        <v/>
      </c>
      <c r="AB193">
        <f>HYPERLINK("https://klasma.github.io/Logging_2313/klagomålsmail/A 27233-2026 FSC-klagomål mail.docx", "A 27233-2026")</f>
        <v/>
      </c>
      <c r="AC193">
        <f>HYPERLINK("https://klasma.github.io/Logging_2313/tillsyn/A 27233-2026 tillsynsbegäran.docx", "A 27233-2026")</f>
        <v/>
      </c>
      <c r="AD193">
        <f>HYPERLINK("https://klasma.github.io/Logging_2313/tillsynsmail/A 27233-2026 tillsynsbegäran mail.docx", "A 27233-2026")</f>
        <v/>
      </c>
    </row>
    <row r="194" ht="15" customHeight="1">
      <c r="A194" t="inlineStr">
        <is>
          <t>A 24952-2025</t>
        </is>
      </c>
      <c r="B194" t="inlineStr">
        <is>
          <t>avverkningsanmälan</t>
        </is>
      </c>
      <c r="C194" t="inlineStr">
        <is>
          <t>Föryngringsavverkning</t>
        </is>
      </c>
      <c r="D194" s="1" t="n">
        <v>45799</v>
      </c>
      <c r="E194" s="1" t="n">
        <v>46318</v>
      </c>
      <c r="F194" t="inlineStr">
        <is>
          <t>JÄMTLANDS LÄN</t>
        </is>
      </c>
      <c r="G194" t="inlineStr">
        <is>
          <t>STRÖMSUND</t>
        </is>
      </c>
      <c r="H194" t="inlineStr">
        <is>
          <t>SCA</t>
        </is>
      </c>
      <c r="I194" t="n">
        <v>1.8</v>
      </c>
      <c r="J194" t="n">
        <v>0</v>
      </c>
      <c r="K194" t="n">
        <v>0</v>
      </c>
      <c r="L194" t="n">
        <v>2</v>
      </c>
      <c r="M194" t="n">
        <v>1</v>
      </c>
      <c r="N194" t="n">
        <v>0</v>
      </c>
      <c r="O194" t="n">
        <v>0</v>
      </c>
      <c r="P194" t="n">
        <v>0</v>
      </c>
      <c r="Q194" t="n">
        <v>3</v>
      </c>
      <c r="R194" t="n">
        <v>1</v>
      </c>
      <c r="S194" t="n">
        <v>3</v>
      </c>
      <c r="T194" t="n">
        <v>3</v>
      </c>
      <c r="U194" t="n">
        <v>0</v>
      </c>
      <c r="V194" s="2" t="inlineStr">
        <is>
          <t>Skrovlig taggsvamp
Blå taggsvamp
Skarp dropptaggsvamp</t>
        </is>
      </c>
      <c r="W194">
        <f>HYPERLINK("https://klasma.github.io/Logging_2313/artfynd/A 24952-2025 artfynd.xlsx", "A 24952-2025")</f>
        <v/>
      </c>
      <c r="X194">
        <f>HYPERLINK("https://klasma.github.io/Logging_2313/kartor/A 24952-2025 karta.png", "A 24952-2025")</f>
        <v/>
      </c>
      <c r="Y194">
        <f>HYPERLINK("https://klasma.github.io/Logging_2313/kartor_geotiff/A 24952-2025 georefererad karta.tif", "A 24952-2025")</f>
        <v/>
      </c>
      <c r="AA194">
        <f>HYPERLINK("https://klasma.github.io/Logging_2313/klagomål/A 24952-2025 FSC-klagomål.docx", "A 24952-2025")</f>
        <v/>
      </c>
      <c r="AB194">
        <f>HYPERLINK("https://klasma.github.io/Logging_2313/klagomålsmail/A 24952-2025 FSC-klagomål mail.docx", "A 24952-2025")</f>
        <v/>
      </c>
      <c r="AC194">
        <f>HYPERLINK("https://klasma.github.io/Logging_2313/tillsyn/A 24952-2025 tillsynsbegäran.docx", "A 24952-2025")</f>
        <v/>
      </c>
      <c r="AD194">
        <f>HYPERLINK("https://klasma.github.io/Logging_2313/tillsynsmail/A 24952-2025 tillsynsbegäran mail.docx", "A 24952-2025")</f>
        <v/>
      </c>
    </row>
    <row r="195" ht="15" customHeight="1">
      <c r="A195" t="inlineStr">
        <is>
          <t>A 53043-2023</t>
        </is>
      </c>
      <c r="B195" t="inlineStr">
        <is>
          <t>avverkningsanmälan</t>
        </is>
      </c>
      <c r="C195" t="inlineStr">
        <is>
          <t>Föryngringsavverkning</t>
        </is>
      </c>
      <c r="D195" s="1" t="n">
        <v>45226</v>
      </c>
      <c r="E195" s="1" t="n">
        <v>46318</v>
      </c>
      <c r="F195" t="inlineStr">
        <is>
          <t>JÄMTLANDS LÄN</t>
        </is>
      </c>
      <c r="G195" t="inlineStr">
        <is>
          <t>STRÖMSUND</t>
        </is>
      </c>
      <c r="H195" t="inlineStr">
        <is>
          <t>SCA</t>
        </is>
      </c>
      <c r="I195" t="n">
        <v>1.1</v>
      </c>
      <c r="J195" t="n">
        <v>1</v>
      </c>
      <c r="K195" t="n">
        <v>0</v>
      </c>
      <c r="L195" t="n">
        <v>2</v>
      </c>
      <c r="M195" t="n">
        <v>0</v>
      </c>
      <c r="N195" t="n">
        <v>0</v>
      </c>
      <c r="O195" t="n">
        <v>0</v>
      </c>
      <c r="P195" t="n">
        <v>0</v>
      </c>
      <c r="Q195" t="n">
        <v>2</v>
      </c>
      <c r="R195" t="n">
        <v>0</v>
      </c>
      <c r="S195" t="n">
        <v>3</v>
      </c>
      <c r="T195" t="n">
        <v>3</v>
      </c>
      <c r="U195" t="n">
        <v>0</v>
      </c>
      <c r="V195" s="2" t="inlineStr">
        <is>
          <t>Blanksvart spiklav
Lunglav
Spillkråka</t>
        </is>
      </c>
      <c r="W195">
        <f>HYPERLINK("https://klasma.github.io/Logging_2313/artfynd/A 53043-2023 artfynd.xlsx", "A 53043-2023")</f>
        <v/>
      </c>
      <c r="X195">
        <f>HYPERLINK("https://klasma.github.io/Logging_2313/kartor/A 53043-2023 karta.png", "A 53043-2023")</f>
        <v/>
      </c>
      <c r="Y195">
        <f>HYPERLINK("https://klasma.github.io/Logging_2313/kartor_geotiff/A 53043-2023 georefererad karta.tif", "A 53043-2023")</f>
        <v/>
      </c>
      <c r="AA195">
        <f>HYPERLINK("https://klasma.github.io/Logging_2313/klagomål/A 53043-2023 FSC-klagomål.docx", "A 53043-2023")</f>
        <v/>
      </c>
      <c r="AB195">
        <f>HYPERLINK("https://klasma.github.io/Logging_2313/klagomålsmail/A 53043-2023 FSC-klagomål mail.docx", "A 53043-2023")</f>
        <v/>
      </c>
      <c r="AC195">
        <f>HYPERLINK("https://klasma.github.io/Logging_2313/tillsyn/A 53043-2023 tillsynsbegäran.docx", "A 53043-2023")</f>
        <v/>
      </c>
      <c r="AD195">
        <f>HYPERLINK("https://klasma.github.io/Logging_2313/tillsynsmail/A 53043-2023 tillsynsbegäran mail.docx", "A 53043-2023")</f>
        <v/>
      </c>
      <c r="AE195">
        <f>HYPERLINK("https://klasma.github.io/Logging_2313/fåglar/A 53043-2023 prioriterade fågelarter.docx", "A 53043-2023")</f>
        <v/>
      </c>
    </row>
    <row r="196" ht="15" customHeight="1">
      <c r="A196" t="inlineStr">
        <is>
          <t>A 34784-2025</t>
        </is>
      </c>
      <c r="B196" t="inlineStr">
        <is>
          <t>avverkningsanmälan</t>
        </is>
      </c>
      <c r="C196" t="inlineStr">
        <is>
          <t>Föryngringsavverkning</t>
        </is>
      </c>
      <c r="D196" s="1" t="n">
        <v>45848</v>
      </c>
      <c r="E196" s="1" t="n">
        <v>46318</v>
      </c>
      <c r="F196" t="inlineStr">
        <is>
          <t>JÄMTLANDS LÄN</t>
        </is>
      </c>
      <c r="G196" t="inlineStr">
        <is>
          <t>STRÖMSUND</t>
        </is>
      </c>
      <c r="H196" t="inlineStr">
        <is>
          <t>SCA</t>
        </is>
      </c>
      <c r="I196" t="n">
        <v>13.7</v>
      </c>
      <c r="J196" t="n">
        <v>1</v>
      </c>
      <c r="K196" t="n">
        <v>0</v>
      </c>
      <c r="L196" t="n">
        <v>2</v>
      </c>
      <c r="M196" t="n">
        <v>1</v>
      </c>
      <c r="N196" t="n">
        <v>0</v>
      </c>
      <c r="O196" t="n">
        <v>0</v>
      </c>
      <c r="P196" t="n">
        <v>0</v>
      </c>
      <c r="Q196" t="n">
        <v>3</v>
      </c>
      <c r="R196" t="n">
        <v>1</v>
      </c>
      <c r="S196" t="n">
        <v>3</v>
      </c>
      <c r="T196" t="n">
        <v>14</v>
      </c>
      <c r="U196" t="n">
        <v>11</v>
      </c>
      <c r="V196" s="2" t="inlineStr">
        <is>
          <t>Garnlav
Lunglav
Tretåig hackspett</t>
        </is>
      </c>
      <c r="W196">
        <f>HYPERLINK("https://klasma.github.io/Logging_2313/artfynd/A 34784-2025 artfynd.xlsx", "A 34784-2025")</f>
        <v/>
      </c>
      <c r="X196">
        <f>HYPERLINK("https://klasma.github.io/Logging_2313/kartor/A 34784-2025 karta.png", "A 34784-2025")</f>
        <v/>
      </c>
      <c r="Y196">
        <f>HYPERLINK("https://klasma.github.io/Logging_2313/kartor_geotiff/A 34784-2025 georefererad karta.tif", "A 34784-2025")</f>
        <v/>
      </c>
      <c r="AA196">
        <f>HYPERLINK("https://klasma.github.io/Logging_2313/klagomål/A 34784-2025 FSC-klagomål.docx", "A 34784-2025")</f>
        <v/>
      </c>
      <c r="AB196">
        <f>HYPERLINK("https://klasma.github.io/Logging_2313/klagomålsmail/A 34784-2025 FSC-klagomål mail.docx", "A 34784-2025")</f>
        <v/>
      </c>
      <c r="AC196">
        <f>HYPERLINK("https://klasma.github.io/Logging_2313/tillsyn/A 34784-2025 tillsynsbegäran.docx", "A 34784-2025")</f>
        <v/>
      </c>
      <c r="AD196">
        <f>HYPERLINK("https://klasma.github.io/Logging_2313/tillsynsmail/A 34784-2025 tillsynsbegäran mail.docx", "A 34784-2025")</f>
        <v/>
      </c>
      <c r="AE196">
        <f>HYPERLINK("https://klasma.github.io/Logging_2313/fåglar/A 34784-2025 prioriterade fågelarter.docx", "A 34784-2025")</f>
        <v/>
      </c>
    </row>
    <row r="197" ht="15" customHeight="1">
      <c r="A197" t="inlineStr">
        <is>
          <t>A 14155-2024</t>
        </is>
      </c>
      <c r="B197" t="inlineStr">
        <is>
          <t>avverkningsanmälan</t>
        </is>
      </c>
      <c r="C197" t="inlineStr">
        <is>
          <t>Föryngringsavverkning</t>
        </is>
      </c>
      <c r="D197" s="1" t="n">
        <v>45392</v>
      </c>
      <c r="E197" s="1" t="n">
        <v>46318</v>
      </c>
      <c r="F197" t="inlineStr">
        <is>
          <t>JÄMTLANDS LÄN</t>
        </is>
      </c>
      <c r="G197" t="inlineStr">
        <is>
          <t>STRÖMSUND</t>
        </is>
      </c>
      <c r="I197" t="n">
        <v>2.4</v>
      </c>
      <c r="J197" t="n">
        <v>1</v>
      </c>
      <c r="K197" t="n">
        <v>0</v>
      </c>
      <c r="L197" t="n">
        <v>2</v>
      </c>
      <c r="M197" t="n">
        <v>1</v>
      </c>
      <c r="N197" t="n">
        <v>0</v>
      </c>
      <c r="O197" t="n">
        <v>0</v>
      </c>
      <c r="P197" t="n">
        <v>0</v>
      </c>
      <c r="Q197" t="n">
        <v>3</v>
      </c>
      <c r="R197" t="n">
        <v>1</v>
      </c>
      <c r="S197" t="n">
        <v>3</v>
      </c>
      <c r="T197" t="n">
        <v>7</v>
      </c>
      <c r="U197" t="n">
        <v>6</v>
      </c>
      <c r="V197" s="2" t="inlineStr">
        <is>
          <t>Garnlav
Tretåig hackspett
Vitgrynig nållav</t>
        </is>
      </c>
      <c r="W197">
        <f>HYPERLINK("https://klasma.github.io/Logging_2313/artfynd/A 14155-2024 artfynd.xlsx", "A 14155-2024")</f>
        <v/>
      </c>
      <c r="X197">
        <f>HYPERLINK("https://klasma.github.io/Logging_2313/kartor/A 14155-2024 karta.png", "A 14155-2024")</f>
        <v/>
      </c>
      <c r="Y197">
        <f>HYPERLINK("https://klasma.github.io/Logging_2313/kartor_geotiff/A 14155-2024 georefererad karta.tif", "A 14155-2024")</f>
        <v/>
      </c>
      <c r="AA197">
        <f>HYPERLINK("https://klasma.github.io/Logging_2313/klagomål/A 14155-2024 FSC-klagomål.docx", "A 14155-2024")</f>
        <v/>
      </c>
      <c r="AB197">
        <f>HYPERLINK("https://klasma.github.io/Logging_2313/klagomålsmail/A 14155-2024 FSC-klagomål mail.docx", "A 14155-2024")</f>
        <v/>
      </c>
      <c r="AC197">
        <f>HYPERLINK("https://klasma.github.io/Logging_2313/tillsyn/A 14155-2024 tillsynsbegäran.docx", "A 14155-2024")</f>
        <v/>
      </c>
      <c r="AD197">
        <f>HYPERLINK("https://klasma.github.io/Logging_2313/tillsynsmail/A 14155-2024 tillsynsbegäran mail.docx", "A 14155-2024")</f>
        <v/>
      </c>
      <c r="AE197">
        <f>HYPERLINK("https://klasma.github.io/Logging_2313/fåglar/A 14155-2024 prioriterade fågelarter.docx", "A 14155-2024")</f>
        <v/>
      </c>
    </row>
    <row r="198" ht="15" customHeight="1">
      <c r="A198" t="inlineStr">
        <is>
          <t>A 30342-2026</t>
        </is>
      </c>
      <c r="B198" t="inlineStr">
        <is>
          <t>avverkningsanmälan</t>
        </is>
      </c>
      <c r="C198" t="inlineStr">
        <is>
          <t>Föryngringsavverkning</t>
        </is>
      </c>
      <c r="D198" s="1" t="n">
        <v>46209</v>
      </c>
      <c r="E198" s="1" t="n">
        <v>46318</v>
      </c>
      <c r="F198" t="inlineStr">
        <is>
          <t>JÄMTLANDS LÄN</t>
        </is>
      </c>
      <c r="G198" t="inlineStr">
        <is>
          <t>STRÖMSUND</t>
        </is>
      </c>
      <c r="H198" t="inlineStr">
        <is>
          <t>SCA</t>
        </is>
      </c>
      <c r="I198" t="n">
        <v>4.5</v>
      </c>
      <c r="J198" t="n">
        <v>0</v>
      </c>
      <c r="K198" t="n">
        <v>1</v>
      </c>
      <c r="L198" t="n">
        <v>1</v>
      </c>
      <c r="M198" t="n">
        <v>1</v>
      </c>
      <c r="N198" t="n">
        <v>0</v>
      </c>
      <c r="O198" t="n">
        <v>0</v>
      </c>
      <c r="P198" t="n">
        <v>0</v>
      </c>
      <c r="Q198" t="n">
        <v>2</v>
      </c>
      <c r="R198" t="n">
        <v>1</v>
      </c>
      <c r="S198" t="n">
        <v>3</v>
      </c>
      <c r="T198" t="n">
        <v>4</v>
      </c>
      <c r="U198" t="n">
        <v>0</v>
      </c>
      <c r="V198" s="2" t="inlineStr">
        <is>
          <t>Garnlav
Vitgrynig nållav
Stuplav</t>
        </is>
      </c>
      <c r="W198">
        <f>HYPERLINK("https://klasma.github.io/Logging_2313/artfynd/A 30342-2026 artfynd.xlsx", "A 30342-2026")</f>
        <v/>
      </c>
      <c r="X198">
        <f>HYPERLINK("https://klasma.github.io/Logging_2313/kartor/A 30342-2026 karta.png", "A 30342-2026")</f>
        <v/>
      </c>
      <c r="Y198">
        <f>HYPERLINK("https://klasma.github.io/Logging_2313/kartor_geotiff/A 30342-2026 georefererad karta.tif", "A 30342-2026")</f>
        <v/>
      </c>
      <c r="AA198">
        <f>HYPERLINK("https://klasma.github.io/Logging_2313/klagomål/A 30342-2026 FSC-klagomål.docx", "A 30342-2026")</f>
        <v/>
      </c>
      <c r="AB198">
        <f>HYPERLINK("https://klasma.github.io/Logging_2313/klagomålsmail/A 30342-2026 FSC-klagomål mail.docx", "A 30342-2026")</f>
        <v/>
      </c>
      <c r="AC198">
        <f>HYPERLINK("https://klasma.github.io/Logging_2313/tillsyn/A 30342-2026 tillsynsbegäran.docx", "A 30342-2026")</f>
        <v/>
      </c>
      <c r="AD198">
        <f>HYPERLINK("https://klasma.github.io/Logging_2313/tillsynsmail/A 30342-2026 tillsynsbegäran mail.docx", "A 30342-2026")</f>
        <v/>
      </c>
    </row>
    <row r="199" ht="15" customHeight="1">
      <c r="A199" t="inlineStr">
        <is>
          <t>A 12019-2022</t>
        </is>
      </c>
      <c r="B199" t="inlineStr">
        <is>
          <t>avverkningsanmälan</t>
        </is>
      </c>
      <c r="C199" t="inlineStr">
        <is>
          <t>Föryngringsavverkning</t>
        </is>
      </c>
      <c r="D199" s="1" t="n">
        <v>44635</v>
      </c>
      <c r="E199" s="1" t="n">
        <v>46318</v>
      </c>
      <c r="F199" t="inlineStr">
        <is>
          <t>JÄMTLANDS LÄN</t>
        </is>
      </c>
      <c r="G199" t="inlineStr">
        <is>
          <t>STRÖMSUND</t>
        </is>
      </c>
      <c r="H199" t="inlineStr">
        <is>
          <t>SCA</t>
        </is>
      </c>
      <c r="I199" t="n">
        <v>3.1</v>
      </c>
      <c r="J199" t="n">
        <v>1</v>
      </c>
      <c r="K199" t="n">
        <v>1</v>
      </c>
      <c r="L199" t="n">
        <v>1</v>
      </c>
      <c r="M199" t="n">
        <v>0</v>
      </c>
      <c r="N199" t="n">
        <v>0</v>
      </c>
      <c r="O199" t="n">
        <v>0</v>
      </c>
      <c r="P199" t="n">
        <v>0</v>
      </c>
      <c r="Q199" t="n">
        <v>1</v>
      </c>
      <c r="R199" t="n">
        <v>0</v>
      </c>
      <c r="S199" t="n">
        <v>3</v>
      </c>
      <c r="T199" t="n">
        <v>3</v>
      </c>
      <c r="U199" t="n">
        <v>2</v>
      </c>
      <c r="V199" s="2" t="inlineStr">
        <is>
          <t>Harticka
Kransrams
Fläcknycklar</t>
        </is>
      </c>
      <c r="W199">
        <f>HYPERLINK("https://klasma.github.io/Logging_2313/artfynd/A 12019-2022 artfynd.xlsx", "A 12019-2022")</f>
        <v/>
      </c>
      <c r="X199">
        <f>HYPERLINK("https://klasma.github.io/Logging_2313/kartor/A 12019-2022 karta.png", "A 12019-2022")</f>
        <v/>
      </c>
      <c r="Y199">
        <f>HYPERLINK("https://klasma.github.io/Logging_2313/kartor_geotiff/A 12019-2022 georefererad karta.tif", "A 12019-2022")</f>
        <v/>
      </c>
      <c r="AA199">
        <f>HYPERLINK("https://klasma.github.io/Logging_2313/klagomål/A 12019-2022 FSC-klagomål.docx", "A 12019-2022")</f>
        <v/>
      </c>
      <c r="AB199">
        <f>HYPERLINK("https://klasma.github.io/Logging_2313/klagomålsmail/A 12019-2022 FSC-klagomål mail.docx", "A 12019-2022")</f>
        <v/>
      </c>
      <c r="AC199">
        <f>HYPERLINK("https://klasma.github.io/Logging_2313/tillsyn/A 12019-2022 tillsynsbegäran.docx", "A 12019-2022")</f>
        <v/>
      </c>
      <c r="AD199">
        <f>HYPERLINK("https://klasma.github.io/Logging_2313/tillsynsmail/A 12019-2022 tillsynsbegäran mail.docx", "A 12019-2022")</f>
        <v/>
      </c>
    </row>
    <row r="200" ht="15" customHeight="1">
      <c r="A200" t="inlineStr">
        <is>
          <t>A 2554-2022</t>
        </is>
      </c>
      <c r="B200" t="inlineStr">
        <is>
          <t>avverkningsanmälan</t>
        </is>
      </c>
      <c r="C200" t="inlineStr">
        <is>
          <t>Föryngringsavverkning</t>
        </is>
      </c>
      <c r="D200" s="1" t="n">
        <v>44579</v>
      </c>
      <c r="E200" s="1" t="n">
        <v>46318</v>
      </c>
      <c r="F200" t="inlineStr">
        <is>
          <t>JÄMTLANDS LÄN</t>
        </is>
      </c>
      <c r="G200" t="inlineStr">
        <is>
          <t>STRÖMSUND</t>
        </is>
      </c>
      <c r="I200" t="n">
        <v>5</v>
      </c>
      <c r="J200" t="n">
        <v>1</v>
      </c>
      <c r="K200" t="n">
        <v>0</v>
      </c>
      <c r="L200" t="n">
        <v>3</v>
      </c>
      <c r="M200" t="n">
        <v>0</v>
      </c>
      <c r="N200" t="n">
        <v>0</v>
      </c>
      <c r="O200" t="n">
        <v>0</v>
      </c>
      <c r="P200" t="n">
        <v>0</v>
      </c>
      <c r="Q200" t="n">
        <v>3</v>
      </c>
      <c r="R200" t="n">
        <v>0</v>
      </c>
      <c r="S200" t="n">
        <v>3</v>
      </c>
      <c r="T200" t="n">
        <v>9</v>
      </c>
      <c r="U200" t="n">
        <v>9</v>
      </c>
      <c r="V200" s="2" t="inlineStr">
        <is>
          <t>Lunglav
Tretåig hackspett
Ullticka</t>
        </is>
      </c>
      <c r="W200">
        <f>HYPERLINK("https://klasma.github.io/Logging_2313/artfynd/A 2554-2022 artfynd.xlsx", "A 2554-2022")</f>
        <v/>
      </c>
      <c r="X200">
        <f>HYPERLINK("https://klasma.github.io/Logging_2313/kartor/A 2554-2022 karta.png", "A 2554-2022")</f>
        <v/>
      </c>
      <c r="Y200">
        <f>HYPERLINK("https://klasma.github.io/Logging_2313/kartor_geotiff/A 2554-2022 georefererad karta.tif", "A 2554-2022")</f>
        <v/>
      </c>
      <c r="AA200">
        <f>HYPERLINK("https://klasma.github.io/Logging_2313/klagomål/A 2554-2022 FSC-klagomål.docx", "A 2554-2022")</f>
        <v/>
      </c>
      <c r="AB200">
        <f>HYPERLINK("https://klasma.github.io/Logging_2313/klagomålsmail/A 2554-2022 FSC-klagomål mail.docx", "A 2554-2022")</f>
        <v/>
      </c>
      <c r="AC200">
        <f>HYPERLINK("https://klasma.github.io/Logging_2313/tillsyn/A 2554-2022 tillsynsbegäran.docx", "A 2554-2022")</f>
        <v/>
      </c>
      <c r="AD200">
        <f>HYPERLINK("https://klasma.github.io/Logging_2313/tillsynsmail/A 2554-2022 tillsynsbegäran mail.docx", "A 2554-2022")</f>
        <v/>
      </c>
      <c r="AE200">
        <f>HYPERLINK("https://klasma.github.io/Logging_2313/fåglar/A 2554-2022 prioriterade fågelarter.docx", "A 2554-2022")</f>
        <v/>
      </c>
    </row>
    <row r="201" ht="15" customHeight="1">
      <c r="A201" t="inlineStr">
        <is>
          <t>A 16513-2022</t>
        </is>
      </c>
      <c r="B201" t="inlineStr">
        <is>
          <t>avverkningsanmälan</t>
        </is>
      </c>
      <c r="C201" t="inlineStr">
        <is>
          <t>Föryngringsavverkning</t>
        </is>
      </c>
      <c r="D201" s="1" t="n">
        <v>44671</v>
      </c>
      <c r="E201" s="1" t="n">
        <v>46318</v>
      </c>
      <c r="F201" t="inlineStr">
        <is>
          <t>JÄMTLANDS LÄN</t>
        </is>
      </c>
      <c r="G201" t="inlineStr">
        <is>
          <t>STRÖMSUND</t>
        </is>
      </c>
      <c r="I201" t="n">
        <v>13.1</v>
      </c>
      <c r="J201" t="n">
        <v>0</v>
      </c>
      <c r="K201" t="n">
        <v>0</v>
      </c>
      <c r="L201" t="n">
        <v>2</v>
      </c>
      <c r="M201" t="n">
        <v>1</v>
      </c>
      <c r="N201" t="n">
        <v>0</v>
      </c>
      <c r="O201" t="n">
        <v>0</v>
      </c>
      <c r="P201" t="n">
        <v>0</v>
      </c>
      <c r="Q201" t="n">
        <v>3</v>
      </c>
      <c r="R201" t="n">
        <v>1</v>
      </c>
      <c r="S201" t="n">
        <v>3</v>
      </c>
      <c r="T201" t="n">
        <v>5</v>
      </c>
      <c r="U201" t="n">
        <v>5</v>
      </c>
      <c r="V201" s="2" t="inlineStr">
        <is>
          <t>Garnlav
Lunglav
Vedflikmossa</t>
        </is>
      </c>
      <c r="W201">
        <f>HYPERLINK("https://klasma.github.io/Logging_2313/artfynd/A 16513-2022 artfynd.xlsx", "A 16513-2022")</f>
        <v/>
      </c>
      <c r="X201">
        <f>HYPERLINK("https://klasma.github.io/Logging_2313/kartor/A 16513-2022 karta.png", "A 16513-2022")</f>
        <v/>
      </c>
      <c r="Y201">
        <f>HYPERLINK("https://klasma.github.io/Logging_2313/kartor_geotiff/A 16513-2022 georefererad karta.tif", "A 16513-2022")</f>
        <v/>
      </c>
      <c r="AA201">
        <f>HYPERLINK("https://klasma.github.io/Logging_2313/klagomål/A 16513-2022 FSC-klagomål.docx", "A 16513-2022")</f>
        <v/>
      </c>
      <c r="AB201">
        <f>HYPERLINK("https://klasma.github.io/Logging_2313/klagomålsmail/A 16513-2022 FSC-klagomål mail.docx", "A 16513-2022")</f>
        <v/>
      </c>
      <c r="AC201">
        <f>HYPERLINK("https://klasma.github.io/Logging_2313/tillsyn/A 16513-2022 tillsynsbegäran.docx", "A 16513-2022")</f>
        <v/>
      </c>
      <c r="AD201">
        <f>HYPERLINK("https://klasma.github.io/Logging_2313/tillsynsmail/A 16513-2022 tillsynsbegäran mail.docx", "A 16513-2022")</f>
        <v/>
      </c>
    </row>
    <row r="202" ht="15" customHeight="1">
      <c r="A202" t="inlineStr">
        <is>
          <t>A 27998-2025</t>
        </is>
      </c>
      <c r="B202" t="inlineStr">
        <is>
          <t>avverkningsanmälan</t>
        </is>
      </c>
      <c r="C202" t="inlineStr">
        <is>
          <t>Föryngringsavverkning</t>
        </is>
      </c>
      <c r="D202" s="1" t="n">
        <v>45817</v>
      </c>
      <c r="E202" s="1" t="n">
        <v>46318</v>
      </c>
      <c r="F202" t="inlineStr">
        <is>
          <t>JÄMTLANDS LÄN</t>
        </is>
      </c>
      <c r="G202" t="inlineStr">
        <is>
          <t>STRÖMSUND</t>
        </is>
      </c>
      <c r="H202" t="inlineStr">
        <is>
          <t>SCA</t>
        </is>
      </c>
      <c r="I202" t="n">
        <v>1.5</v>
      </c>
      <c r="J202" t="n">
        <v>2</v>
      </c>
      <c r="K202" t="n">
        <v>0</v>
      </c>
      <c r="L202" t="n">
        <v>2</v>
      </c>
      <c r="M202" t="n">
        <v>1</v>
      </c>
      <c r="N202" t="n">
        <v>0</v>
      </c>
      <c r="O202" t="n">
        <v>0</v>
      </c>
      <c r="P202" t="n">
        <v>0</v>
      </c>
      <c r="Q202" t="n">
        <v>3</v>
      </c>
      <c r="R202" t="n">
        <v>1</v>
      </c>
      <c r="S202" t="n">
        <v>3</v>
      </c>
      <c r="T202" t="n">
        <v>4</v>
      </c>
      <c r="U202" t="n">
        <v>4</v>
      </c>
      <c r="V202" s="2" t="inlineStr">
        <is>
          <t>Knärot
Dropptaggsvamp
Tretåig hackspett</t>
        </is>
      </c>
      <c r="W202">
        <f>HYPERLINK("https://klasma.github.io/Logging_2313/artfynd/A 27998-2025 artfynd.xlsx", "A 27998-2025")</f>
        <v/>
      </c>
      <c r="X202">
        <f>HYPERLINK("https://klasma.github.io/Logging_2313/kartor/A 27998-2025 karta.png", "A 27998-2025")</f>
        <v/>
      </c>
      <c r="Y202">
        <f>HYPERLINK("https://klasma.github.io/Logging_2313/kartor_geotiff/A 27998-2025 georefererad karta.tif", "A 27998-2025")</f>
        <v/>
      </c>
      <c r="Z202">
        <f>HYPERLINK("https://klasma.github.io/Logging_2313/knärot/A 27998-2025 karta knärot.png", "A 27998-2025")</f>
        <v/>
      </c>
      <c r="AA202">
        <f>HYPERLINK("https://klasma.github.io/Logging_2313/klagomål/A 27998-2025 FSC-klagomål.docx", "A 27998-2025")</f>
        <v/>
      </c>
      <c r="AB202">
        <f>HYPERLINK("https://klasma.github.io/Logging_2313/klagomålsmail/A 27998-2025 FSC-klagomål mail.docx", "A 27998-2025")</f>
        <v/>
      </c>
      <c r="AC202">
        <f>HYPERLINK("https://klasma.github.io/Logging_2313/tillsyn/A 27998-2025 tillsynsbegäran.docx", "A 27998-2025")</f>
        <v/>
      </c>
      <c r="AD202">
        <f>HYPERLINK("https://klasma.github.io/Logging_2313/tillsynsmail/A 27998-2025 tillsynsbegäran mail.docx", "A 27998-2025")</f>
        <v/>
      </c>
      <c r="AE202">
        <f>HYPERLINK("https://klasma.github.io/Logging_2313/fåglar/A 27998-2025 prioriterade fågelarter.docx", "A 27998-2025")</f>
        <v/>
      </c>
    </row>
    <row r="203" ht="15" customHeight="1">
      <c r="A203" t="inlineStr">
        <is>
          <t>A 37565-2026</t>
        </is>
      </c>
      <c r="B203" t="inlineStr">
        <is>
          <t>avverkningsanmälan</t>
        </is>
      </c>
      <c r="C203" t="inlineStr">
        <is>
          <t>Föryngringsavverkning</t>
        </is>
      </c>
      <c r="D203" s="1" t="n">
        <v>46276</v>
      </c>
      <c r="E203" s="1" t="n">
        <v>46318</v>
      </c>
      <c r="F203" t="inlineStr">
        <is>
          <t>JÄMTLANDS LÄN</t>
        </is>
      </c>
      <c r="G203" t="inlineStr">
        <is>
          <t>STRÖMSUND</t>
        </is>
      </c>
      <c r="H203" t="inlineStr">
        <is>
          <t>Övriga statliga verk och myndigheter</t>
        </is>
      </c>
      <c r="I203" t="n">
        <v>8.9</v>
      </c>
      <c r="J203" t="n">
        <v>2</v>
      </c>
      <c r="K203" t="n">
        <v>0</v>
      </c>
      <c r="L203" t="n">
        <v>3</v>
      </c>
      <c r="M203" t="n">
        <v>0</v>
      </c>
      <c r="N203" t="n">
        <v>0</v>
      </c>
      <c r="O203" t="n">
        <v>0</v>
      </c>
      <c r="P203" t="n">
        <v>0</v>
      </c>
      <c r="Q203" t="n">
        <v>3</v>
      </c>
      <c r="R203" t="n">
        <v>0</v>
      </c>
      <c r="S203" t="n">
        <v>3</v>
      </c>
      <c r="T203" t="n">
        <v>11</v>
      </c>
      <c r="U203" t="n">
        <v>7</v>
      </c>
      <c r="V203" s="2" t="inlineStr">
        <is>
          <t>Harticka
Lavskrika
Tretåig hackspett</t>
        </is>
      </c>
      <c r="W203">
        <f>HYPERLINK("https://klasma.github.io/Logging_2313/artfynd/A 37565-2026 artfynd.xlsx", "A 37565-2026")</f>
        <v/>
      </c>
      <c r="X203">
        <f>HYPERLINK("https://klasma.github.io/Logging_2313/kartor/A 37565-2026 karta.png", "A 37565-2026")</f>
        <v/>
      </c>
      <c r="Y203">
        <f>HYPERLINK("https://klasma.github.io/Logging_2313/kartor_geotiff/A 37565-2026 georefererad karta.tif", "A 37565-2026")</f>
        <v/>
      </c>
      <c r="AA203">
        <f>HYPERLINK("https://klasma.github.io/Logging_2313/klagomål/A 37565-2026 FSC-klagomål.docx", "A 37565-2026")</f>
        <v/>
      </c>
      <c r="AB203">
        <f>HYPERLINK("https://klasma.github.io/Logging_2313/klagomålsmail/A 37565-2026 FSC-klagomål mail.docx", "A 37565-2026")</f>
        <v/>
      </c>
      <c r="AC203">
        <f>HYPERLINK("https://klasma.github.io/Logging_2313/tillsyn/A 37565-2026 tillsynsbegäran.docx", "A 37565-2026")</f>
        <v/>
      </c>
      <c r="AD203">
        <f>HYPERLINK("https://klasma.github.io/Logging_2313/tillsynsmail/A 37565-2026 tillsynsbegäran mail.docx", "A 37565-2026")</f>
        <v/>
      </c>
      <c r="AE203">
        <f>HYPERLINK("https://klasma.github.io/Logging_2313/fåglar/A 37565-2026 prioriterade fågelarter.docx", "A 37565-2026")</f>
        <v/>
      </c>
    </row>
    <row r="204" ht="15" customHeight="1">
      <c r="A204" t="inlineStr">
        <is>
          <t>A 39171-2026</t>
        </is>
      </c>
      <c r="B204" t="inlineStr">
        <is>
          <t>avverkningsanmälan</t>
        </is>
      </c>
      <c r="C204" t="inlineStr">
        <is>
          <t>Föryngringsavverkning</t>
        </is>
      </c>
      <c r="D204" s="1" t="n">
        <v>46287</v>
      </c>
      <c r="E204" s="1" t="n">
        <v>46318</v>
      </c>
      <c r="F204" t="inlineStr">
        <is>
          <t>JÄMTLANDS LÄN</t>
        </is>
      </c>
      <c r="G204" t="inlineStr">
        <is>
          <t>STRÖMSUND</t>
        </is>
      </c>
      <c r="H204" t="inlineStr">
        <is>
          <t>Holmen skog AB</t>
        </is>
      </c>
      <c r="I204" t="n">
        <v>16.5</v>
      </c>
      <c r="J204" t="n">
        <v>2</v>
      </c>
      <c r="K204" t="n">
        <v>1</v>
      </c>
      <c r="L204" t="n">
        <v>1</v>
      </c>
      <c r="M204" t="n">
        <v>0</v>
      </c>
      <c r="N204" t="n">
        <v>0</v>
      </c>
      <c r="O204" t="n">
        <v>0</v>
      </c>
      <c r="P204" t="n">
        <v>0</v>
      </c>
      <c r="Q204" t="n">
        <v>1</v>
      </c>
      <c r="R204" t="n">
        <v>0</v>
      </c>
      <c r="S204" t="n">
        <v>3</v>
      </c>
      <c r="T204" t="n">
        <v>3</v>
      </c>
      <c r="U204" t="n">
        <v>0</v>
      </c>
      <c r="V204" s="2" t="inlineStr">
        <is>
          <t>Månlåsbräken
Spindelblomster
Revlummer</t>
        </is>
      </c>
      <c r="W204">
        <f>HYPERLINK("https://klasma.github.io/Logging_2313/artfynd/A 39171-2026 artfynd.xlsx", "A 39171-2026")</f>
        <v/>
      </c>
      <c r="X204">
        <f>HYPERLINK("https://klasma.github.io/Logging_2313/kartor/A 39171-2026 karta.png", "A 39171-2026")</f>
        <v/>
      </c>
      <c r="Y204">
        <f>HYPERLINK("https://klasma.github.io/Logging_2313/kartor_geotiff/A 39171-2026 georefererad karta.tif", "A 39171-2026")</f>
        <v/>
      </c>
      <c r="AA204">
        <f>HYPERLINK("https://klasma.github.io/Logging_2313/klagomål/A 39171-2026 FSC-klagomål.docx", "A 39171-2026")</f>
        <v/>
      </c>
      <c r="AB204">
        <f>HYPERLINK("https://klasma.github.io/Logging_2313/klagomålsmail/A 39171-2026 FSC-klagomål mail.docx", "A 39171-2026")</f>
        <v/>
      </c>
      <c r="AC204">
        <f>HYPERLINK("https://klasma.github.io/Logging_2313/tillsyn/A 39171-2026 tillsynsbegäran.docx", "A 39171-2026")</f>
        <v/>
      </c>
      <c r="AD204">
        <f>HYPERLINK("https://klasma.github.io/Logging_2313/tillsynsmail/A 39171-2026 tillsynsbegäran mail.docx", "A 39171-2026")</f>
        <v/>
      </c>
    </row>
    <row r="205" ht="15" customHeight="1">
      <c r="A205" t="inlineStr">
        <is>
          <t>A 24832-2023</t>
        </is>
      </c>
      <c r="B205" t="inlineStr">
        <is>
          <t>avverkningsanmälan</t>
        </is>
      </c>
      <c r="C205" t="inlineStr">
        <is>
          <t>Föryngringsavverkning</t>
        </is>
      </c>
      <c r="D205" s="1" t="n">
        <v>45084</v>
      </c>
      <c r="E205" s="1" t="n">
        <v>46318</v>
      </c>
      <c r="F205" t="inlineStr">
        <is>
          <t>JÄMTLANDS LÄN</t>
        </is>
      </c>
      <c r="G205" t="inlineStr">
        <is>
          <t>STRÖMSUND</t>
        </is>
      </c>
      <c r="I205" t="n">
        <v>9.6</v>
      </c>
      <c r="J205" t="n">
        <v>2</v>
      </c>
      <c r="K205" t="n">
        <v>1</v>
      </c>
      <c r="L205" t="n">
        <v>1</v>
      </c>
      <c r="M205" t="n">
        <v>0</v>
      </c>
      <c r="N205" t="n">
        <v>0</v>
      </c>
      <c r="O205" t="n">
        <v>0</v>
      </c>
      <c r="P205" t="n">
        <v>0</v>
      </c>
      <c r="Q205" t="n">
        <v>1</v>
      </c>
      <c r="R205" t="n">
        <v>0</v>
      </c>
      <c r="S205" t="n">
        <v>3</v>
      </c>
      <c r="T205" t="n">
        <v>3</v>
      </c>
      <c r="U205" t="n">
        <v>0</v>
      </c>
      <c r="V205" s="2" t="inlineStr">
        <is>
          <t>Vitgrynig nållav
Spindelblomster
Fläcknycklar</t>
        </is>
      </c>
      <c r="W205">
        <f>HYPERLINK("https://klasma.github.io/Logging_2313/artfynd/A 24832-2023 artfynd.xlsx", "A 24832-2023")</f>
        <v/>
      </c>
      <c r="X205">
        <f>HYPERLINK("https://klasma.github.io/Logging_2313/kartor/A 24832-2023 karta.png", "A 24832-2023")</f>
        <v/>
      </c>
      <c r="Y205">
        <f>HYPERLINK("https://klasma.github.io/Logging_2313/kartor_geotiff/A 24832-2023 georefererad karta.tif", "A 24832-2023")</f>
        <v/>
      </c>
      <c r="AA205">
        <f>HYPERLINK("https://klasma.github.io/Logging_2313/klagomål/A 24832-2023 FSC-klagomål.docx", "A 24832-2023")</f>
        <v/>
      </c>
      <c r="AB205">
        <f>HYPERLINK("https://klasma.github.io/Logging_2313/klagomålsmail/A 24832-2023 FSC-klagomål mail.docx", "A 24832-2023")</f>
        <v/>
      </c>
      <c r="AC205">
        <f>HYPERLINK("https://klasma.github.io/Logging_2313/tillsyn/A 24832-2023 tillsynsbegäran.docx", "A 24832-2023")</f>
        <v/>
      </c>
      <c r="AD205">
        <f>HYPERLINK("https://klasma.github.io/Logging_2313/tillsynsmail/A 24832-2023 tillsynsbegäran mail.docx", "A 24832-2023")</f>
        <v/>
      </c>
    </row>
    <row r="206" ht="15" customHeight="1">
      <c r="A206" t="inlineStr">
        <is>
          <t>A 49651-2023</t>
        </is>
      </c>
      <c r="B206" t="inlineStr">
        <is>
          <t>avverkningsanmälan</t>
        </is>
      </c>
      <c r="C206" t="inlineStr">
        <is>
          <t>Avverkning för att bevara och utveckla /försöksver</t>
        </is>
      </c>
      <c r="D206" s="1" t="n">
        <v>45211</v>
      </c>
      <c r="E206" s="1" t="n">
        <v>46318</v>
      </c>
      <c r="F206" t="inlineStr">
        <is>
          <t>JÄMTLANDS LÄN</t>
        </is>
      </c>
      <c r="G206" t="inlineStr">
        <is>
          <t>STRÖMSUND</t>
        </is>
      </c>
      <c r="H206" t="inlineStr">
        <is>
          <t>SCA</t>
        </is>
      </c>
      <c r="I206" t="n">
        <v>2.7</v>
      </c>
      <c r="J206" t="n">
        <v>1</v>
      </c>
      <c r="K206" t="n">
        <v>0</v>
      </c>
      <c r="L206" t="n">
        <v>2</v>
      </c>
      <c r="M206" t="n">
        <v>1</v>
      </c>
      <c r="N206" t="n">
        <v>0</v>
      </c>
      <c r="O206" t="n">
        <v>0</v>
      </c>
      <c r="P206" t="n">
        <v>0</v>
      </c>
      <c r="Q206" t="n">
        <v>3</v>
      </c>
      <c r="R206" t="n">
        <v>1</v>
      </c>
      <c r="S206" t="n">
        <v>3</v>
      </c>
      <c r="T206" t="n">
        <v>3</v>
      </c>
      <c r="U206" t="n">
        <v>3</v>
      </c>
      <c r="V206" s="2" t="inlineStr">
        <is>
          <t>Garnlav
Lunglav
Talltita</t>
        </is>
      </c>
      <c r="W206">
        <f>HYPERLINK("https://klasma.github.io/Logging_2313/artfynd/A 49651-2023 artfynd.xlsx", "A 49651-2023")</f>
        <v/>
      </c>
      <c r="X206">
        <f>HYPERLINK("https://klasma.github.io/Logging_2313/kartor/A 49651-2023 karta.png", "A 49651-2023")</f>
        <v/>
      </c>
      <c r="Y206">
        <f>HYPERLINK("https://klasma.github.io/Logging_2313/kartor_geotiff/A 49651-2023 georefererad karta.tif", "A 49651-2023")</f>
        <v/>
      </c>
      <c r="AA206">
        <f>HYPERLINK("https://klasma.github.io/Logging_2313/klagomål/A 49651-2023 FSC-klagomål.docx", "A 49651-2023")</f>
        <v/>
      </c>
      <c r="AB206">
        <f>HYPERLINK("https://klasma.github.io/Logging_2313/klagomålsmail/A 49651-2023 FSC-klagomål mail.docx", "A 49651-2023")</f>
        <v/>
      </c>
      <c r="AC206">
        <f>HYPERLINK("https://klasma.github.io/Logging_2313/tillsyn/A 49651-2023 tillsynsbegäran.docx", "A 49651-2023")</f>
        <v/>
      </c>
      <c r="AD206">
        <f>HYPERLINK("https://klasma.github.io/Logging_2313/tillsynsmail/A 49651-2023 tillsynsbegäran mail.docx", "A 49651-2023")</f>
        <v/>
      </c>
      <c r="AE206">
        <f>HYPERLINK("https://klasma.github.io/Logging_2313/fåglar/A 49651-2023 prioriterade fågelarter.docx", "A 49651-2023")</f>
        <v/>
      </c>
    </row>
    <row r="207" ht="15" customHeight="1">
      <c r="A207" t="inlineStr">
        <is>
          <t>A 35441-2026</t>
        </is>
      </c>
      <c r="B207" t="inlineStr">
        <is>
          <t>avverkningsanmälan</t>
        </is>
      </c>
      <c r="C207" t="inlineStr">
        <is>
          <t>Föryngringsavverkning</t>
        </is>
      </c>
      <c r="D207" s="1" t="n">
        <v>46262</v>
      </c>
      <c r="E207" s="1" t="n">
        <v>46318</v>
      </c>
      <c r="F207" t="inlineStr">
        <is>
          <t>JÄMTLANDS LÄN</t>
        </is>
      </c>
      <c r="G207" t="inlineStr">
        <is>
          <t>STRÖMSUND</t>
        </is>
      </c>
      <c r="H207" t="inlineStr">
        <is>
          <t>Holmen skog AB</t>
        </is>
      </c>
      <c r="I207" t="n">
        <v>2.3</v>
      </c>
      <c r="J207" t="n">
        <v>0</v>
      </c>
      <c r="K207" t="n">
        <v>0</v>
      </c>
      <c r="L207" t="n">
        <v>1</v>
      </c>
      <c r="M207" t="n">
        <v>1</v>
      </c>
      <c r="N207" t="n">
        <v>0</v>
      </c>
      <c r="O207" t="n">
        <v>0</v>
      </c>
      <c r="P207" t="n">
        <v>0</v>
      </c>
      <c r="Q207" t="n">
        <v>2</v>
      </c>
      <c r="R207" t="n">
        <v>1</v>
      </c>
      <c r="S207" t="n">
        <v>3</v>
      </c>
      <c r="T207" t="n">
        <v>3</v>
      </c>
      <c r="U207" t="n">
        <v>0</v>
      </c>
      <c r="V207" s="2" t="inlineStr">
        <is>
          <t>Skrovlig taggsvamp
Skarp dropptaggsvamp
Svart taggsvamp agg.</t>
        </is>
      </c>
      <c r="W207">
        <f>HYPERLINK("https://klasma.github.io/Logging_2313/artfynd/A 35441-2026 artfynd.xlsx", "A 35441-2026")</f>
        <v/>
      </c>
      <c r="X207">
        <f>HYPERLINK("https://klasma.github.io/Logging_2313/kartor/A 35441-2026 karta.png", "A 35441-2026")</f>
        <v/>
      </c>
      <c r="Y207">
        <f>HYPERLINK("https://klasma.github.io/Logging_2313/kartor_geotiff/A 35441-2026 georefererad karta.tif", "A 35441-2026")</f>
        <v/>
      </c>
      <c r="AA207">
        <f>HYPERLINK("https://klasma.github.io/Logging_2313/klagomål/A 35441-2026 FSC-klagomål.docx", "A 35441-2026")</f>
        <v/>
      </c>
      <c r="AB207">
        <f>HYPERLINK("https://klasma.github.io/Logging_2313/klagomålsmail/A 35441-2026 FSC-klagomål mail.docx", "A 35441-2026")</f>
        <v/>
      </c>
      <c r="AC207">
        <f>HYPERLINK("https://klasma.github.io/Logging_2313/tillsyn/A 35441-2026 tillsynsbegäran.docx", "A 35441-2026")</f>
        <v/>
      </c>
      <c r="AD207">
        <f>HYPERLINK("https://klasma.github.io/Logging_2313/tillsynsmail/A 35441-2026 tillsynsbegäran mail.docx", "A 35441-2026")</f>
        <v/>
      </c>
    </row>
    <row r="208" ht="15" customHeight="1">
      <c r="A208" t="inlineStr">
        <is>
          <t>A 24806-2024</t>
        </is>
      </c>
      <c r="B208" t="inlineStr">
        <is>
          <t>avverkningsanmälan</t>
        </is>
      </c>
      <c r="C208" t="inlineStr">
        <is>
          <t>Föryngringsavverkning</t>
        </is>
      </c>
      <c r="D208" s="1" t="n">
        <v>45460</v>
      </c>
      <c r="E208" s="1" t="n">
        <v>46318</v>
      </c>
      <c r="F208" t="inlineStr">
        <is>
          <t>JÄMTLANDS LÄN</t>
        </is>
      </c>
      <c r="G208" t="inlineStr">
        <is>
          <t>STRÖMSUND</t>
        </is>
      </c>
      <c r="H208" t="inlineStr">
        <is>
          <t>SCA</t>
        </is>
      </c>
      <c r="I208" t="n">
        <v>1.2</v>
      </c>
      <c r="J208" t="n">
        <v>1</v>
      </c>
      <c r="K208" t="n">
        <v>0</v>
      </c>
      <c r="L208" t="n">
        <v>1</v>
      </c>
      <c r="M208" t="n">
        <v>1</v>
      </c>
      <c r="N208" t="n">
        <v>0</v>
      </c>
      <c r="O208" t="n">
        <v>0</v>
      </c>
      <c r="P208" t="n">
        <v>0</v>
      </c>
      <c r="Q208" t="n">
        <v>2</v>
      </c>
      <c r="R208" t="n">
        <v>1</v>
      </c>
      <c r="S208" t="n">
        <v>3</v>
      </c>
      <c r="T208" t="n">
        <v>3</v>
      </c>
      <c r="U208" t="n">
        <v>3</v>
      </c>
      <c r="V208" s="2" t="inlineStr">
        <is>
          <t>Garnlav
Lunglav
Tjäder</t>
        </is>
      </c>
      <c r="W208">
        <f>HYPERLINK("https://klasma.github.io/Logging_2313/artfynd/A 24806-2024 artfynd.xlsx", "A 24806-2024")</f>
        <v/>
      </c>
      <c r="X208">
        <f>HYPERLINK("https://klasma.github.io/Logging_2313/kartor/A 24806-2024 karta.png", "A 24806-2024")</f>
        <v/>
      </c>
      <c r="Y208">
        <f>HYPERLINK("https://klasma.github.io/Logging_2313/kartor_geotiff/A 24806-2024 georefererad karta.tif", "A 24806-2024")</f>
        <v/>
      </c>
      <c r="AA208">
        <f>HYPERLINK("https://klasma.github.io/Logging_2313/klagomål/A 24806-2024 FSC-klagomål.docx", "A 24806-2024")</f>
        <v/>
      </c>
      <c r="AB208">
        <f>HYPERLINK("https://klasma.github.io/Logging_2313/klagomålsmail/A 24806-2024 FSC-klagomål mail.docx", "A 24806-2024")</f>
        <v/>
      </c>
      <c r="AC208">
        <f>HYPERLINK("https://klasma.github.io/Logging_2313/tillsyn/A 24806-2024 tillsynsbegäran.docx", "A 24806-2024")</f>
        <v/>
      </c>
      <c r="AD208">
        <f>HYPERLINK("https://klasma.github.io/Logging_2313/tillsynsmail/A 24806-2024 tillsynsbegäran mail.docx", "A 24806-2024")</f>
        <v/>
      </c>
      <c r="AE208">
        <f>HYPERLINK("https://klasma.github.io/Logging_2313/fåglar/A 24806-2024 prioriterade fågelarter.docx", "A 24806-2024")</f>
        <v/>
      </c>
    </row>
    <row r="209" ht="15" customHeight="1">
      <c r="A209" t="inlineStr">
        <is>
          <t>A 58161-2025</t>
        </is>
      </c>
      <c r="B209" t="inlineStr">
        <is>
          <t>avverkningsanmälan</t>
        </is>
      </c>
      <c r="C209" t="inlineStr">
        <is>
          <t>Föryngringsavverkning</t>
        </is>
      </c>
      <c r="D209" s="1" t="n">
        <v>45982</v>
      </c>
      <c r="E209" s="1" t="n">
        <v>46318</v>
      </c>
      <c r="F209" t="inlineStr">
        <is>
          <t>JÄMTLANDS LÄN</t>
        </is>
      </c>
      <c r="G209" t="inlineStr">
        <is>
          <t>STRÖMSUND</t>
        </is>
      </c>
      <c r="I209" t="n">
        <v>3.2</v>
      </c>
      <c r="J209" t="n">
        <v>0</v>
      </c>
      <c r="K209" t="n">
        <v>0</v>
      </c>
      <c r="L209" t="n">
        <v>1</v>
      </c>
      <c r="M209" t="n">
        <v>0</v>
      </c>
      <c r="N209" t="n">
        <v>0</v>
      </c>
      <c r="O209" t="n">
        <v>0</v>
      </c>
      <c r="P209" t="n">
        <v>0</v>
      </c>
      <c r="Q209" t="n">
        <v>1</v>
      </c>
      <c r="R209" t="n">
        <v>0</v>
      </c>
      <c r="S209" t="n">
        <v>3</v>
      </c>
      <c r="T209" t="n">
        <v>4</v>
      </c>
      <c r="U209" t="n">
        <v>4</v>
      </c>
      <c r="V209" s="2" t="inlineStr">
        <is>
          <t>Harticka
Brudborste
Linnea</t>
        </is>
      </c>
      <c r="W209">
        <f>HYPERLINK("https://klasma.github.io/Logging_2313/artfynd/A 58161-2025 artfynd.xlsx", "A 58161-2025")</f>
        <v/>
      </c>
      <c r="X209">
        <f>HYPERLINK("https://klasma.github.io/Logging_2313/kartor/A 58161-2025 karta.png", "A 58161-2025")</f>
        <v/>
      </c>
      <c r="Y209">
        <f>HYPERLINK("https://klasma.github.io/Logging_2313/kartor_geotiff/A 58161-2025 georefererad karta.tif", "A 58161-2025")</f>
        <v/>
      </c>
      <c r="AA209">
        <f>HYPERLINK("https://klasma.github.io/Logging_2313/klagomål/A 58161-2025 FSC-klagomål.docx", "A 58161-2025")</f>
        <v/>
      </c>
      <c r="AB209">
        <f>HYPERLINK("https://klasma.github.io/Logging_2313/klagomålsmail/A 58161-2025 FSC-klagomål mail.docx", "A 58161-2025")</f>
        <v/>
      </c>
      <c r="AC209">
        <f>HYPERLINK("https://klasma.github.io/Logging_2313/tillsyn/A 58161-2025 tillsynsbegäran.docx", "A 58161-2025")</f>
        <v/>
      </c>
      <c r="AD209">
        <f>HYPERLINK("https://klasma.github.io/Logging_2313/tillsynsmail/A 58161-2025 tillsynsbegäran mail.docx", "A 58161-2025")</f>
        <v/>
      </c>
    </row>
    <row r="210" ht="15" customHeight="1">
      <c r="A210" t="inlineStr">
        <is>
          <t>A 49190-2024</t>
        </is>
      </c>
      <c r="B210" t="inlineStr">
        <is>
          <t>avverkningsanmälan</t>
        </is>
      </c>
      <c r="C210" t="inlineStr">
        <is>
          <t>Föryngringsavverkning</t>
        </is>
      </c>
      <c r="D210" s="1" t="n">
        <v>45595</v>
      </c>
      <c r="E210" s="1" t="n">
        <v>46318</v>
      </c>
      <c r="F210" t="inlineStr">
        <is>
          <t>JÄMTLANDS LÄN</t>
        </is>
      </c>
      <c r="G210" t="inlineStr">
        <is>
          <t>STRÖMSUND</t>
        </is>
      </c>
      <c r="H210" t="inlineStr">
        <is>
          <t>SCA</t>
        </is>
      </c>
      <c r="I210" t="n">
        <v>8</v>
      </c>
      <c r="J210" t="n">
        <v>0</v>
      </c>
      <c r="K210" t="n">
        <v>0</v>
      </c>
      <c r="L210" t="n">
        <v>3</v>
      </c>
      <c r="M210" t="n">
        <v>0</v>
      </c>
      <c r="N210" t="n">
        <v>0</v>
      </c>
      <c r="O210" t="n">
        <v>0</v>
      </c>
      <c r="P210" t="n">
        <v>0</v>
      </c>
      <c r="Q210" t="n">
        <v>3</v>
      </c>
      <c r="R210" t="n">
        <v>0</v>
      </c>
      <c r="S210" t="n">
        <v>3</v>
      </c>
      <c r="T210" t="n">
        <v>3</v>
      </c>
      <c r="U210" t="n">
        <v>0</v>
      </c>
      <c r="V210" s="2" t="inlineStr">
        <is>
          <t>Gammelgransskål
Knottrig blåslav
Ullticka</t>
        </is>
      </c>
      <c r="W210">
        <f>HYPERLINK("https://klasma.github.io/Logging_2313/artfynd/A 49190-2024 artfynd.xlsx", "A 49190-2024")</f>
        <v/>
      </c>
      <c r="X210">
        <f>HYPERLINK("https://klasma.github.io/Logging_2313/kartor/A 49190-2024 karta.png", "A 49190-2024")</f>
        <v/>
      </c>
      <c r="Y210">
        <f>HYPERLINK("https://klasma.github.io/Logging_2313/kartor_geotiff/A 49190-2024 georefererad karta.tif", "A 49190-2024")</f>
        <v/>
      </c>
      <c r="AA210">
        <f>HYPERLINK("https://klasma.github.io/Logging_2313/klagomål/A 49190-2024 FSC-klagomål.docx", "A 49190-2024")</f>
        <v/>
      </c>
      <c r="AB210">
        <f>HYPERLINK("https://klasma.github.io/Logging_2313/klagomålsmail/A 49190-2024 FSC-klagomål mail.docx", "A 49190-2024")</f>
        <v/>
      </c>
      <c r="AC210">
        <f>HYPERLINK("https://klasma.github.io/Logging_2313/tillsyn/A 49190-2024 tillsynsbegäran.docx", "A 49190-2024")</f>
        <v/>
      </c>
      <c r="AD210">
        <f>HYPERLINK("https://klasma.github.io/Logging_2313/tillsynsmail/A 49190-2024 tillsynsbegäran mail.docx", "A 49190-2024")</f>
        <v/>
      </c>
    </row>
    <row r="211" ht="15" customHeight="1">
      <c r="A211" t="inlineStr">
        <is>
          <t>A 39686-2022</t>
        </is>
      </c>
      <c r="B211" t="inlineStr">
        <is>
          <t>avverkningsanmälan</t>
        </is>
      </c>
      <c r="C211" t="inlineStr">
        <is>
          <t>Föryngringsavverkning</t>
        </is>
      </c>
      <c r="D211" s="1" t="n">
        <v>44818</v>
      </c>
      <c r="E211" s="1" t="n">
        <v>46318</v>
      </c>
      <c r="F211" t="inlineStr">
        <is>
          <t>JÄMTLANDS LÄN</t>
        </is>
      </c>
      <c r="G211" t="inlineStr">
        <is>
          <t>STRÖMSUND</t>
        </is>
      </c>
      <c r="H211" t="inlineStr">
        <is>
          <t>SCA</t>
        </is>
      </c>
      <c r="I211" t="n">
        <v>4.7</v>
      </c>
      <c r="J211" t="n">
        <v>0</v>
      </c>
      <c r="K211" t="n">
        <v>1</v>
      </c>
      <c r="L211" t="n">
        <v>1</v>
      </c>
      <c r="M211" t="n">
        <v>0</v>
      </c>
      <c r="N211" t="n">
        <v>0</v>
      </c>
      <c r="O211" t="n">
        <v>0</v>
      </c>
      <c r="P211" t="n">
        <v>0</v>
      </c>
      <c r="Q211" t="n">
        <v>1</v>
      </c>
      <c r="R211" t="n">
        <v>0</v>
      </c>
      <c r="S211" t="n">
        <v>2</v>
      </c>
      <c r="T211" t="n">
        <v>2</v>
      </c>
      <c r="U211" t="n">
        <v>0</v>
      </c>
      <c r="V211" s="2" t="inlineStr">
        <is>
          <t>Skrovellav
Stuplav</t>
        </is>
      </c>
      <c r="W211">
        <f>HYPERLINK("https://klasma.github.io/Logging_2313/artfynd/A 39686-2022 artfynd.xlsx", "A 39686-2022")</f>
        <v/>
      </c>
      <c r="X211">
        <f>HYPERLINK("https://klasma.github.io/Logging_2313/kartor/A 39686-2022 karta.png", "A 39686-2022")</f>
        <v/>
      </c>
      <c r="Y211">
        <f>HYPERLINK("https://klasma.github.io/Logging_2313/kartor_geotiff/A 39686-2022 georefererad karta.tif", "A 39686-2022")</f>
        <v/>
      </c>
      <c r="AA211">
        <f>HYPERLINK("https://klasma.github.io/Logging_2313/klagomål/A 39686-2022 FSC-klagomål.docx", "A 39686-2022")</f>
        <v/>
      </c>
      <c r="AB211">
        <f>HYPERLINK("https://klasma.github.io/Logging_2313/klagomålsmail/A 39686-2022 FSC-klagomål mail.docx", "A 39686-2022")</f>
        <v/>
      </c>
      <c r="AC211">
        <f>HYPERLINK("https://klasma.github.io/Logging_2313/tillsyn/A 39686-2022 tillsynsbegäran.docx", "A 39686-2022")</f>
        <v/>
      </c>
      <c r="AD211">
        <f>HYPERLINK("https://klasma.github.io/Logging_2313/tillsynsmail/A 39686-2022 tillsynsbegäran mail.docx", "A 39686-2022")</f>
        <v/>
      </c>
    </row>
    <row r="212" ht="15" customHeight="1">
      <c r="A212" t="inlineStr">
        <is>
          <t>A 10322-2022</t>
        </is>
      </c>
      <c r="B212" t="inlineStr">
        <is>
          <t>avverkningsanmälan</t>
        </is>
      </c>
      <c r="C212" t="inlineStr">
        <is>
          <t>Avverkning för att bevara och utveckla /försöksver</t>
        </is>
      </c>
      <c r="D212" s="1" t="n">
        <v>44622</v>
      </c>
      <c r="E212" s="1" t="n">
        <v>46318</v>
      </c>
      <c r="F212" t="inlineStr">
        <is>
          <t>JÄMTLANDS LÄN</t>
        </is>
      </c>
      <c r="G212" t="inlineStr">
        <is>
          <t>STRÖMSUND</t>
        </is>
      </c>
      <c r="H212" t="inlineStr">
        <is>
          <t>SCA</t>
        </is>
      </c>
      <c r="I212" t="n">
        <v>5</v>
      </c>
      <c r="J212" t="n">
        <v>0</v>
      </c>
      <c r="K212" t="n">
        <v>0</v>
      </c>
      <c r="L212" t="n">
        <v>2</v>
      </c>
      <c r="M212" t="n">
        <v>0</v>
      </c>
      <c r="N212" t="n">
        <v>0</v>
      </c>
      <c r="O212" t="n">
        <v>0</v>
      </c>
      <c r="P212" t="n">
        <v>0</v>
      </c>
      <c r="Q212" t="n">
        <v>2</v>
      </c>
      <c r="R212" t="n">
        <v>0</v>
      </c>
      <c r="S212" t="n">
        <v>2</v>
      </c>
      <c r="T212" t="n">
        <v>2</v>
      </c>
      <c r="U212" t="n">
        <v>0</v>
      </c>
      <c r="V212" s="2" t="inlineStr">
        <is>
          <t>Doftskinn
Rosenticka</t>
        </is>
      </c>
      <c r="W212">
        <f>HYPERLINK("https://klasma.github.io/Logging_2313/artfynd/A 10322-2022 artfynd.xlsx", "A 10322-2022")</f>
        <v/>
      </c>
      <c r="X212">
        <f>HYPERLINK("https://klasma.github.io/Logging_2313/kartor/A 10322-2022 karta.png", "A 10322-2022")</f>
        <v/>
      </c>
      <c r="Y212">
        <f>HYPERLINK("https://klasma.github.io/Logging_2313/kartor_geotiff/A 10322-2022 georefererad karta.tif", "A 10322-2022")</f>
        <v/>
      </c>
      <c r="AA212">
        <f>HYPERLINK("https://klasma.github.io/Logging_2313/klagomål/A 10322-2022 FSC-klagomål.docx", "A 10322-2022")</f>
        <v/>
      </c>
      <c r="AB212">
        <f>HYPERLINK("https://klasma.github.io/Logging_2313/klagomålsmail/A 10322-2022 FSC-klagomål mail.docx", "A 10322-2022")</f>
        <v/>
      </c>
      <c r="AC212">
        <f>HYPERLINK("https://klasma.github.io/Logging_2313/tillsyn/A 10322-2022 tillsynsbegäran.docx", "A 10322-2022")</f>
        <v/>
      </c>
      <c r="AD212">
        <f>HYPERLINK("https://klasma.github.io/Logging_2313/tillsynsmail/A 10322-2022 tillsynsbegäran mail.docx", "A 10322-2022")</f>
        <v/>
      </c>
    </row>
    <row r="213" ht="15" customHeight="1">
      <c r="A213" t="inlineStr">
        <is>
          <t>A 42806-2022</t>
        </is>
      </c>
      <c r="B213" t="inlineStr">
        <is>
          <t>avverkningsanmälan</t>
        </is>
      </c>
      <c r="C213" t="inlineStr">
        <is>
          <t>Föryngringsavverkning</t>
        </is>
      </c>
      <c r="D213" s="1" t="n">
        <v>44832</v>
      </c>
      <c r="E213" s="1" t="n">
        <v>46318</v>
      </c>
      <c r="F213" t="inlineStr">
        <is>
          <t>JÄMTLANDS LÄN</t>
        </is>
      </c>
      <c r="G213" t="inlineStr">
        <is>
          <t>STRÖMSUND</t>
        </is>
      </c>
      <c r="I213" t="n">
        <v>4.9</v>
      </c>
      <c r="J213" t="n">
        <v>0</v>
      </c>
      <c r="K213" t="n">
        <v>1</v>
      </c>
      <c r="L213" t="n">
        <v>0</v>
      </c>
      <c r="M213" t="n">
        <v>1</v>
      </c>
      <c r="N213" t="n">
        <v>0</v>
      </c>
      <c r="O213" t="n">
        <v>0</v>
      </c>
      <c r="P213" t="n">
        <v>0</v>
      </c>
      <c r="Q213" t="n">
        <v>1</v>
      </c>
      <c r="R213" t="n">
        <v>1</v>
      </c>
      <c r="S213" t="n">
        <v>2</v>
      </c>
      <c r="T213" t="n">
        <v>2</v>
      </c>
      <c r="U213" t="n">
        <v>2</v>
      </c>
      <c r="V213" s="2" t="inlineStr">
        <is>
          <t>Norsk näverlav
Mörk husmossa</t>
        </is>
      </c>
      <c r="W213">
        <f>HYPERLINK("https://klasma.github.io/Logging_2313/artfynd/A 42806-2022 artfynd.xlsx", "A 42806-2022")</f>
        <v/>
      </c>
      <c r="X213">
        <f>HYPERLINK("https://klasma.github.io/Logging_2313/kartor/A 42806-2022 karta.png", "A 42806-2022")</f>
        <v/>
      </c>
      <c r="Y213">
        <f>HYPERLINK("https://klasma.github.io/Logging_2313/kartor_geotiff/A 42806-2022 georefererad karta.tif", "A 42806-2022")</f>
        <v/>
      </c>
      <c r="AA213">
        <f>HYPERLINK("https://klasma.github.io/Logging_2313/klagomål/A 42806-2022 FSC-klagomål.docx", "A 42806-2022")</f>
        <v/>
      </c>
      <c r="AB213">
        <f>HYPERLINK("https://klasma.github.io/Logging_2313/klagomålsmail/A 42806-2022 FSC-klagomål mail.docx", "A 42806-2022")</f>
        <v/>
      </c>
      <c r="AC213">
        <f>HYPERLINK("https://klasma.github.io/Logging_2313/tillsyn/A 42806-2022 tillsynsbegäran.docx", "A 42806-2022")</f>
        <v/>
      </c>
      <c r="AD213">
        <f>HYPERLINK("https://klasma.github.io/Logging_2313/tillsynsmail/A 42806-2022 tillsynsbegäran mail.docx", "A 42806-2022")</f>
        <v/>
      </c>
    </row>
    <row r="214" ht="15" customHeight="1">
      <c r="A214" t="inlineStr">
        <is>
          <t>A 68604-2021</t>
        </is>
      </c>
      <c r="B214" t="inlineStr">
        <is>
          <t>avverkningsanmälan</t>
        </is>
      </c>
      <c r="C214" t="inlineStr">
        <is>
          <t>Avverkning för annat ändamål</t>
        </is>
      </c>
      <c r="D214" s="1" t="n">
        <v>44529</v>
      </c>
      <c r="E214" s="1" t="n">
        <v>46318</v>
      </c>
      <c r="F214" t="inlineStr">
        <is>
          <t>JÄMTLANDS LÄN</t>
        </is>
      </c>
      <c r="G214" t="inlineStr">
        <is>
          <t>STRÖMSUND</t>
        </is>
      </c>
      <c r="I214" t="n">
        <v>1.3</v>
      </c>
      <c r="J214" t="n">
        <v>0</v>
      </c>
      <c r="K214" t="n">
        <v>0</v>
      </c>
      <c r="L214" t="n">
        <v>2</v>
      </c>
      <c r="M214" t="n">
        <v>0</v>
      </c>
      <c r="N214" t="n">
        <v>0</v>
      </c>
      <c r="O214" t="n">
        <v>0</v>
      </c>
      <c r="P214" t="n">
        <v>0</v>
      </c>
      <c r="Q214" t="n">
        <v>2</v>
      </c>
      <c r="R214" t="n">
        <v>0</v>
      </c>
      <c r="S214" t="n">
        <v>2</v>
      </c>
      <c r="T214" t="n">
        <v>2</v>
      </c>
      <c r="U214" t="n">
        <v>2</v>
      </c>
      <c r="V214" s="2" t="inlineStr">
        <is>
          <t>Blanksvart spiklav
Vedskivlav</t>
        </is>
      </c>
      <c r="W214">
        <f>HYPERLINK("https://klasma.github.io/Logging_2313/artfynd/A 68604-2021 artfynd.xlsx", "A 68604-2021")</f>
        <v/>
      </c>
      <c r="X214">
        <f>HYPERLINK("https://klasma.github.io/Logging_2313/kartor/A 68604-2021 karta.png", "A 68604-2021")</f>
        <v/>
      </c>
      <c r="Y214">
        <f>HYPERLINK("https://klasma.github.io/Logging_2313/kartor_geotiff/A 68604-2021 georefererad karta.tif", "A 68604-2021")</f>
        <v/>
      </c>
      <c r="AA214">
        <f>HYPERLINK("https://klasma.github.io/Logging_2313/klagomål/A 68604-2021 FSC-klagomål.docx", "A 68604-2021")</f>
        <v/>
      </c>
      <c r="AB214">
        <f>HYPERLINK("https://klasma.github.io/Logging_2313/klagomålsmail/A 68604-2021 FSC-klagomål mail.docx", "A 68604-2021")</f>
        <v/>
      </c>
      <c r="AC214">
        <f>HYPERLINK("https://klasma.github.io/Logging_2313/tillsyn/A 68604-2021 tillsynsbegäran.docx", "A 68604-2021")</f>
        <v/>
      </c>
      <c r="AD214">
        <f>HYPERLINK("https://klasma.github.io/Logging_2313/tillsynsmail/A 68604-2021 tillsynsbegäran mail.docx", "A 68604-2021")</f>
        <v/>
      </c>
    </row>
    <row r="215" ht="15" customHeight="1">
      <c r="A215" t="inlineStr">
        <is>
          <t>A 39388-2022</t>
        </is>
      </c>
      <c r="B215" t="inlineStr">
        <is>
          <t>avverkningsanmälan</t>
        </is>
      </c>
      <c r="C215" t="inlineStr">
        <is>
          <t>Avverkning för att bevara och utveckla /försöksver</t>
        </is>
      </c>
      <c r="D215" s="1" t="n">
        <v>44817</v>
      </c>
      <c r="E215" s="1" t="n">
        <v>46318</v>
      </c>
      <c r="F215" t="inlineStr">
        <is>
          <t>JÄMTLANDS LÄN</t>
        </is>
      </c>
      <c r="G215" t="inlineStr">
        <is>
          <t>STRÖMSUND</t>
        </is>
      </c>
      <c r="H215" t="inlineStr">
        <is>
          <t>SCA</t>
        </is>
      </c>
      <c r="I215" t="n">
        <v>2.7</v>
      </c>
      <c r="J215" t="n">
        <v>0</v>
      </c>
      <c r="K215" t="n">
        <v>2</v>
      </c>
      <c r="L215" t="n">
        <v>0</v>
      </c>
      <c r="M215" t="n">
        <v>0</v>
      </c>
      <c r="N215" t="n">
        <v>0</v>
      </c>
      <c r="O215" t="n">
        <v>0</v>
      </c>
      <c r="P215" t="n">
        <v>0</v>
      </c>
      <c r="Q215" t="n">
        <v>0</v>
      </c>
      <c r="R215" t="n">
        <v>0</v>
      </c>
      <c r="S215" t="n">
        <v>2</v>
      </c>
      <c r="T215" t="n">
        <v>2</v>
      </c>
      <c r="U215" t="n">
        <v>0</v>
      </c>
      <c r="V215" s="2" t="inlineStr">
        <is>
          <t>Källmossa
Ögonpyrola</t>
        </is>
      </c>
      <c r="W215">
        <f>HYPERLINK("https://klasma.github.io/Logging_2313/artfynd/A 39388-2022 artfynd.xlsx", "A 39388-2022")</f>
        <v/>
      </c>
      <c r="X215">
        <f>HYPERLINK("https://klasma.github.io/Logging_2313/kartor/A 39388-2022 karta.png", "A 39388-2022")</f>
        <v/>
      </c>
      <c r="Y215">
        <f>HYPERLINK("https://klasma.github.io/Logging_2313/kartor_geotiff/A 39388-2022 georefererad karta.tif", "A 39388-2022")</f>
        <v/>
      </c>
      <c r="AA215">
        <f>HYPERLINK("https://klasma.github.io/Logging_2313/klagomål/A 39388-2022 FSC-klagomål.docx", "A 39388-2022")</f>
        <v/>
      </c>
      <c r="AB215">
        <f>HYPERLINK("https://klasma.github.io/Logging_2313/klagomålsmail/A 39388-2022 FSC-klagomål mail.docx", "A 39388-2022")</f>
        <v/>
      </c>
      <c r="AC215">
        <f>HYPERLINK("https://klasma.github.io/Logging_2313/tillsyn/A 39388-2022 tillsynsbegäran.docx", "A 39388-2022")</f>
        <v/>
      </c>
      <c r="AD215">
        <f>HYPERLINK("https://klasma.github.io/Logging_2313/tillsynsmail/A 39388-2022 tillsynsbegäran mail.docx", "A 39388-2022")</f>
        <v/>
      </c>
    </row>
    <row r="216" ht="15" customHeight="1">
      <c r="A216" t="inlineStr">
        <is>
          <t>A 25021-2022</t>
        </is>
      </c>
      <c r="B216" t="inlineStr">
        <is>
          <t>avverkningsanmälan</t>
        </is>
      </c>
      <c r="C216" t="inlineStr">
        <is>
          <t>Föryngringsavverkning</t>
        </is>
      </c>
      <c r="D216" s="1" t="n">
        <v>44728</v>
      </c>
      <c r="E216" s="1" t="n">
        <v>46318</v>
      </c>
      <c r="F216" t="inlineStr">
        <is>
          <t>JÄMTLANDS LÄN</t>
        </is>
      </c>
      <c r="G216" t="inlineStr">
        <is>
          <t>STRÖMSUND</t>
        </is>
      </c>
      <c r="H216" t="inlineStr">
        <is>
          <t>SCA</t>
        </is>
      </c>
      <c r="I216" t="n">
        <v>2.4</v>
      </c>
      <c r="J216" t="n">
        <v>1</v>
      </c>
      <c r="K216" t="n">
        <v>0</v>
      </c>
      <c r="L216" t="n">
        <v>0</v>
      </c>
      <c r="M216" t="n">
        <v>2</v>
      </c>
      <c r="N216" t="n">
        <v>0</v>
      </c>
      <c r="O216" t="n">
        <v>0</v>
      </c>
      <c r="P216" t="n">
        <v>0</v>
      </c>
      <c r="Q216" t="n">
        <v>2</v>
      </c>
      <c r="R216" t="n">
        <v>2</v>
      </c>
      <c r="S216" t="n">
        <v>2</v>
      </c>
      <c r="T216" t="n">
        <v>13</v>
      </c>
      <c r="U216" t="n">
        <v>13</v>
      </c>
      <c r="V216" s="2" t="inlineStr">
        <is>
          <t>Garnlav
Knärot</t>
        </is>
      </c>
      <c r="W216">
        <f>HYPERLINK("https://klasma.github.io/Logging_2313/artfynd/A 25021-2022 artfynd.xlsx", "A 25021-2022")</f>
        <v/>
      </c>
      <c r="X216">
        <f>HYPERLINK("https://klasma.github.io/Logging_2313/kartor/A 25021-2022 karta.png", "A 25021-2022")</f>
        <v/>
      </c>
      <c r="Y216">
        <f>HYPERLINK("https://klasma.github.io/Logging_2313/kartor_geotiff/A 25021-2022 georefererad karta.tif", "A 25021-2022")</f>
        <v/>
      </c>
      <c r="Z216">
        <f>HYPERLINK("https://klasma.github.io/Logging_2313/knärot/A 25021-2022 karta knärot.png", "A 25021-2022")</f>
        <v/>
      </c>
      <c r="AA216">
        <f>HYPERLINK("https://klasma.github.io/Logging_2313/klagomål/A 25021-2022 FSC-klagomål.docx", "A 25021-2022")</f>
        <v/>
      </c>
      <c r="AB216">
        <f>HYPERLINK("https://klasma.github.io/Logging_2313/klagomålsmail/A 25021-2022 FSC-klagomål mail.docx", "A 25021-2022")</f>
        <v/>
      </c>
      <c r="AC216">
        <f>HYPERLINK("https://klasma.github.io/Logging_2313/tillsyn/A 25021-2022 tillsynsbegäran.docx", "A 25021-2022")</f>
        <v/>
      </c>
      <c r="AD216">
        <f>HYPERLINK("https://klasma.github.io/Logging_2313/tillsynsmail/A 25021-2022 tillsynsbegäran mail.docx", "A 25021-2022")</f>
        <v/>
      </c>
    </row>
    <row r="217" ht="15" customHeight="1">
      <c r="A217" t="inlineStr">
        <is>
          <t>A 24729-2022</t>
        </is>
      </c>
      <c r="B217" t="inlineStr">
        <is>
          <t>avverkningsanmälan</t>
        </is>
      </c>
      <c r="C217" t="inlineStr">
        <is>
          <t>Avverkning för att bevara och utveckla /försöksver</t>
        </is>
      </c>
      <c r="D217" s="1" t="n">
        <v>44727</v>
      </c>
      <c r="E217" s="1" t="n">
        <v>46318</v>
      </c>
      <c r="F217" t="inlineStr">
        <is>
          <t>JÄMTLANDS LÄN</t>
        </is>
      </c>
      <c r="G217" t="inlineStr">
        <is>
          <t>STRÖMSUND</t>
        </is>
      </c>
      <c r="H217" t="inlineStr">
        <is>
          <t>SCA</t>
        </is>
      </c>
      <c r="I217" t="n">
        <v>1.3</v>
      </c>
      <c r="J217" t="n">
        <v>1</v>
      </c>
      <c r="K217" t="n">
        <v>0</v>
      </c>
      <c r="L217" t="n">
        <v>1</v>
      </c>
      <c r="M217" t="n">
        <v>1</v>
      </c>
      <c r="N217" t="n">
        <v>0</v>
      </c>
      <c r="O217" t="n">
        <v>0</v>
      </c>
      <c r="P217" t="n">
        <v>0</v>
      </c>
      <c r="Q217" t="n">
        <v>2</v>
      </c>
      <c r="R217" t="n">
        <v>1</v>
      </c>
      <c r="S217" t="n">
        <v>2</v>
      </c>
      <c r="T217" t="n">
        <v>3</v>
      </c>
      <c r="U217" t="n">
        <v>3</v>
      </c>
      <c r="V217" s="2" t="inlineStr">
        <is>
          <t>Knärot
Kolflarnlav</t>
        </is>
      </c>
      <c r="W217">
        <f>HYPERLINK("https://klasma.github.io/Logging_2313/artfynd/A 24729-2022 artfynd.xlsx", "A 24729-2022")</f>
        <v/>
      </c>
      <c r="X217">
        <f>HYPERLINK("https://klasma.github.io/Logging_2313/kartor/A 24729-2022 karta.png", "A 24729-2022")</f>
        <v/>
      </c>
      <c r="Y217">
        <f>HYPERLINK("https://klasma.github.io/Logging_2313/kartor_geotiff/A 24729-2022 georefererad karta.tif", "A 24729-2022")</f>
        <v/>
      </c>
      <c r="Z217">
        <f>HYPERLINK("https://klasma.github.io/Logging_2313/knärot/A 24729-2022 karta knärot.png", "A 24729-2022")</f>
        <v/>
      </c>
      <c r="AA217">
        <f>HYPERLINK("https://klasma.github.io/Logging_2313/klagomål/A 24729-2022 FSC-klagomål.docx", "A 24729-2022")</f>
        <v/>
      </c>
      <c r="AB217">
        <f>HYPERLINK("https://klasma.github.io/Logging_2313/klagomålsmail/A 24729-2022 FSC-klagomål mail.docx", "A 24729-2022")</f>
        <v/>
      </c>
      <c r="AC217">
        <f>HYPERLINK("https://klasma.github.io/Logging_2313/tillsyn/A 24729-2022 tillsynsbegäran.docx", "A 24729-2022")</f>
        <v/>
      </c>
      <c r="AD217">
        <f>HYPERLINK("https://klasma.github.io/Logging_2313/tillsynsmail/A 24729-2022 tillsynsbegäran mail.docx", "A 24729-2022")</f>
        <v/>
      </c>
    </row>
    <row r="218" ht="15" customHeight="1">
      <c r="A218" t="inlineStr">
        <is>
          <t>A 60503-2023</t>
        </is>
      </c>
      <c r="B218" t="inlineStr">
        <is>
          <t>avverkningsanmälan</t>
        </is>
      </c>
      <c r="C218" t="inlineStr">
        <is>
          <t>Föryngringsavverkning</t>
        </is>
      </c>
      <c r="D218" s="1" t="n">
        <v>45258</v>
      </c>
      <c r="E218" s="1" t="n">
        <v>46318</v>
      </c>
      <c r="F218" t="inlineStr">
        <is>
          <t>JÄMTLANDS LÄN</t>
        </is>
      </c>
      <c r="G218" t="inlineStr">
        <is>
          <t>STRÖMSUND</t>
        </is>
      </c>
      <c r="I218" t="n">
        <v>5.7</v>
      </c>
      <c r="J218" t="n">
        <v>1</v>
      </c>
      <c r="K218" t="n">
        <v>0</v>
      </c>
      <c r="L218" t="n">
        <v>1</v>
      </c>
      <c r="M218" t="n">
        <v>1</v>
      </c>
      <c r="N218" t="n">
        <v>0</v>
      </c>
      <c r="O218" t="n">
        <v>0</v>
      </c>
      <c r="P218" t="n">
        <v>0</v>
      </c>
      <c r="Q218" t="n">
        <v>2</v>
      </c>
      <c r="R218" t="n">
        <v>1</v>
      </c>
      <c r="S218" t="n">
        <v>2</v>
      </c>
      <c r="T218" t="n">
        <v>41</v>
      </c>
      <c r="U218" t="n">
        <v>41</v>
      </c>
      <c r="V218" s="2" t="inlineStr">
        <is>
          <t>Garnlav
Tretåig hackspett</t>
        </is>
      </c>
      <c r="W218">
        <f>HYPERLINK("https://klasma.github.io/Logging_2313/artfynd/A 60503-2023 artfynd.xlsx", "A 60503-2023")</f>
        <v/>
      </c>
      <c r="X218">
        <f>HYPERLINK("https://klasma.github.io/Logging_2313/kartor/A 60503-2023 karta.png", "A 60503-2023")</f>
        <v/>
      </c>
      <c r="Y218">
        <f>HYPERLINK("https://klasma.github.io/Logging_2313/kartor_geotiff/A 60503-2023 georefererad karta.tif", "A 60503-2023")</f>
        <v/>
      </c>
      <c r="AA218">
        <f>HYPERLINK("https://klasma.github.io/Logging_2313/klagomål/A 60503-2023 FSC-klagomål.docx", "A 60503-2023")</f>
        <v/>
      </c>
      <c r="AB218">
        <f>HYPERLINK("https://klasma.github.io/Logging_2313/klagomålsmail/A 60503-2023 FSC-klagomål mail.docx", "A 60503-2023")</f>
        <v/>
      </c>
      <c r="AC218">
        <f>HYPERLINK("https://klasma.github.io/Logging_2313/tillsyn/A 60503-2023 tillsynsbegäran.docx", "A 60503-2023")</f>
        <v/>
      </c>
      <c r="AD218">
        <f>HYPERLINK("https://klasma.github.io/Logging_2313/tillsynsmail/A 60503-2023 tillsynsbegäran mail.docx", "A 60503-2023")</f>
        <v/>
      </c>
      <c r="AE218">
        <f>HYPERLINK("https://klasma.github.io/Logging_2313/fåglar/A 60503-2023 prioriterade fågelarter.docx", "A 60503-2023")</f>
        <v/>
      </c>
    </row>
    <row r="219" ht="15" customHeight="1">
      <c r="A219" t="inlineStr">
        <is>
          <t>A 56-2024</t>
        </is>
      </c>
      <c r="B219" t="inlineStr">
        <is>
          <t>avverkningsanmälan</t>
        </is>
      </c>
      <c r="C219" t="inlineStr">
        <is>
          <t>Föryngringsavverkning</t>
        </is>
      </c>
      <c r="D219" s="1" t="n">
        <v>45293</v>
      </c>
      <c r="E219" s="1" t="n">
        <v>46318</v>
      </c>
      <c r="F219" t="inlineStr">
        <is>
          <t>JÄMTLANDS LÄN</t>
        </is>
      </c>
      <c r="G219" t="inlineStr">
        <is>
          <t>STRÖMSUND</t>
        </is>
      </c>
      <c r="I219" t="n">
        <v>4.9</v>
      </c>
      <c r="J219" t="n">
        <v>0</v>
      </c>
      <c r="K219" t="n">
        <v>0</v>
      </c>
      <c r="L219" t="n">
        <v>1</v>
      </c>
      <c r="M219" t="n">
        <v>1</v>
      </c>
      <c r="N219" t="n">
        <v>0</v>
      </c>
      <c r="O219" t="n">
        <v>0</v>
      </c>
      <c r="P219" t="n">
        <v>0</v>
      </c>
      <c r="Q219" t="n">
        <v>2</v>
      </c>
      <c r="R219" t="n">
        <v>1</v>
      </c>
      <c r="S219" t="n">
        <v>2</v>
      </c>
      <c r="T219" t="n">
        <v>3</v>
      </c>
      <c r="U219" t="n">
        <v>3</v>
      </c>
      <c r="V219" s="2" t="inlineStr">
        <is>
          <t>Liten sotlav
Cheiromycina petri</t>
        </is>
      </c>
      <c r="W219">
        <f>HYPERLINK("https://klasma.github.io/Logging_2313/artfynd/A 56-2024 artfynd.xlsx", "A 56-2024")</f>
        <v/>
      </c>
      <c r="X219">
        <f>HYPERLINK("https://klasma.github.io/Logging_2313/kartor/A 56-2024 karta.png", "A 56-2024")</f>
        <v/>
      </c>
      <c r="Y219">
        <f>HYPERLINK("https://klasma.github.io/Logging_2313/kartor_geotiff/A 56-2024 georefererad karta.tif", "A 56-2024")</f>
        <v/>
      </c>
      <c r="AA219">
        <f>HYPERLINK("https://klasma.github.io/Logging_2313/klagomål/A 56-2024 FSC-klagomål.docx", "A 56-2024")</f>
        <v/>
      </c>
      <c r="AB219">
        <f>HYPERLINK("https://klasma.github.io/Logging_2313/klagomålsmail/A 56-2024 FSC-klagomål mail.docx", "A 56-2024")</f>
        <v/>
      </c>
      <c r="AC219">
        <f>HYPERLINK("https://klasma.github.io/Logging_2313/tillsyn/A 56-2024 tillsynsbegäran.docx", "A 56-2024")</f>
        <v/>
      </c>
      <c r="AD219">
        <f>HYPERLINK("https://klasma.github.io/Logging_2313/tillsynsmail/A 56-2024 tillsynsbegäran mail.docx", "A 56-2024")</f>
        <v/>
      </c>
    </row>
    <row r="220" ht="15" customHeight="1">
      <c r="A220" t="inlineStr">
        <is>
          <t>A 30067-2024</t>
        </is>
      </c>
      <c r="B220" t="inlineStr">
        <is>
          <t>avverkningsanmälan</t>
        </is>
      </c>
      <c r="C220" t="inlineStr">
        <is>
          <t>Avverkning för att bevara och utveckla /försöksver</t>
        </is>
      </c>
      <c r="D220" s="1" t="n">
        <v>45488</v>
      </c>
      <c r="E220" s="1" t="n">
        <v>46318</v>
      </c>
      <c r="F220" t="inlineStr">
        <is>
          <t>JÄMTLANDS LÄN</t>
        </is>
      </c>
      <c r="G220" t="inlineStr">
        <is>
          <t>STRÖMSUND</t>
        </is>
      </c>
      <c r="H220" t="inlineStr">
        <is>
          <t>SCA</t>
        </is>
      </c>
      <c r="I220" t="n">
        <v>4.8</v>
      </c>
      <c r="J220" t="n">
        <v>0</v>
      </c>
      <c r="K220" t="n">
        <v>0</v>
      </c>
      <c r="L220" t="n">
        <v>2</v>
      </c>
      <c r="M220" t="n">
        <v>0</v>
      </c>
      <c r="N220" t="n">
        <v>0</v>
      </c>
      <c r="O220" t="n">
        <v>0</v>
      </c>
      <c r="P220" t="n">
        <v>0</v>
      </c>
      <c r="Q220" t="n">
        <v>2</v>
      </c>
      <c r="R220" t="n">
        <v>0</v>
      </c>
      <c r="S220" t="n">
        <v>2</v>
      </c>
      <c r="T220" t="n">
        <v>2</v>
      </c>
      <c r="U220" t="n">
        <v>0</v>
      </c>
      <c r="V220" s="2" t="inlineStr">
        <is>
          <t>Doftskinn
Harticka</t>
        </is>
      </c>
      <c r="W220">
        <f>HYPERLINK("https://klasma.github.io/Logging_2313/artfynd/A 30067-2024 artfynd.xlsx", "A 30067-2024")</f>
        <v/>
      </c>
      <c r="X220">
        <f>HYPERLINK("https://klasma.github.io/Logging_2313/kartor/A 30067-2024 karta.png", "A 30067-2024")</f>
        <v/>
      </c>
      <c r="Y220">
        <f>HYPERLINK("https://klasma.github.io/Logging_2313/kartor_geotiff/A 30067-2024 georefererad karta.tif", "A 30067-2024")</f>
        <v/>
      </c>
      <c r="AA220">
        <f>HYPERLINK("https://klasma.github.io/Logging_2313/klagomål/A 30067-2024 FSC-klagomål.docx", "A 30067-2024")</f>
        <v/>
      </c>
      <c r="AB220">
        <f>HYPERLINK("https://klasma.github.io/Logging_2313/klagomålsmail/A 30067-2024 FSC-klagomål mail.docx", "A 30067-2024")</f>
        <v/>
      </c>
      <c r="AC220">
        <f>HYPERLINK("https://klasma.github.io/Logging_2313/tillsyn/A 30067-2024 tillsynsbegäran.docx", "A 30067-2024")</f>
        <v/>
      </c>
      <c r="AD220">
        <f>HYPERLINK("https://klasma.github.io/Logging_2313/tillsynsmail/A 30067-2024 tillsynsbegäran mail.docx", "A 30067-2024")</f>
        <v/>
      </c>
    </row>
    <row r="221" ht="15" customHeight="1">
      <c r="A221" t="inlineStr">
        <is>
          <t>A 34008-2023</t>
        </is>
      </c>
      <c r="B221" t="inlineStr">
        <is>
          <t>avverkningsanmälan</t>
        </is>
      </c>
      <c r="C221" t="inlineStr">
        <is>
          <t>Avverkning för att bevara och utveckla /försöksver</t>
        </is>
      </c>
      <c r="D221" s="1" t="n">
        <v>45134</v>
      </c>
      <c r="E221" s="1" t="n">
        <v>46318</v>
      </c>
      <c r="F221" t="inlineStr">
        <is>
          <t>JÄMTLANDS LÄN</t>
        </is>
      </c>
      <c r="G221" t="inlineStr">
        <is>
          <t>STRÖMSUND</t>
        </is>
      </c>
      <c r="H221" t="inlineStr">
        <is>
          <t>SCA</t>
        </is>
      </c>
      <c r="I221" t="n">
        <v>1.2</v>
      </c>
      <c r="J221" t="n">
        <v>0</v>
      </c>
      <c r="K221" t="n">
        <v>0</v>
      </c>
      <c r="L221" t="n">
        <v>1</v>
      </c>
      <c r="M221" t="n">
        <v>1</v>
      </c>
      <c r="N221" t="n">
        <v>0</v>
      </c>
      <c r="O221" t="n">
        <v>0</v>
      </c>
      <c r="P221" t="n">
        <v>0</v>
      </c>
      <c r="Q221" t="n">
        <v>2</v>
      </c>
      <c r="R221" t="n">
        <v>1</v>
      </c>
      <c r="S221" t="n">
        <v>2</v>
      </c>
      <c r="T221" t="n">
        <v>2</v>
      </c>
      <c r="U221" t="n">
        <v>0</v>
      </c>
      <c r="V221" s="2" t="inlineStr">
        <is>
          <t>Norsk näverlav
Kortskaftad ärgspik</t>
        </is>
      </c>
      <c r="W221">
        <f>HYPERLINK("https://klasma.github.io/Logging_2313/artfynd/A 34008-2023 artfynd.xlsx", "A 34008-2023")</f>
        <v/>
      </c>
      <c r="X221">
        <f>HYPERLINK("https://klasma.github.io/Logging_2313/kartor/A 34008-2023 karta.png", "A 34008-2023")</f>
        <v/>
      </c>
      <c r="Y221">
        <f>HYPERLINK("https://klasma.github.io/Logging_2313/kartor_geotiff/A 34008-2023 georefererad karta.tif", "A 34008-2023")</f>
        <v/>
      </c>
      <c r="AA221">
        <f>HYPERLINK("https://klasma.github.io/Logging_2313/klagomål/A 34008-2023 FSC-klagomål.docx", "A 34008-2023")</f>
        <v/>
      </c>
      <c r="AB221">
        <f>HYPERLINK("https://klasma.github.io/Logging_2313/klagomålsmail/A 34008-2023 FSC-klagomål mail.docx", "A 34008-2023")</f>
        <v/>
      </c>
      <c r="AC221">
        <f>HYPERLINK("https://klasma.github.io/Logging_2313/tillsyn/A 34008-2023 tillsynsbegäran.docx", "A 34008-2023")</f>
        <v/>
      </c>
      <c r="AD221">
        <f>HYPERLINK("https://klasma.github.io/Logging_2313/tillsynsmail/A 34008-2023 tillsynsbegäran mail.docx", "A 34008-2023")</f>
        <v/>
      </c>
    </row>
    <row r="222" ht="15" customHeight="1">
      <c r="A222" t="inlineStr">
        <is>
          <t>A 30828-2025</t>
        </is>
      </c>
      <c r="B222" t="inlineStr">
        <is>
          <t>avverkningsanmälan</t>
        </is>
      </c>
      <c r="C222" t="inlineStr">
        <is>
          <t>Föryngringsavverkning</t>
        </is>
      </c>
      <c r="D222" s="1" t="n">
        <v>45831</v>
      </c>
      <c r="E222" s="1" t="n">
        <v>46318</v>
      </c>
      <c r="F222" t="inlineStr">
        <is>
          <t>JÄMTLANDS LÄN</t>
        </is>
      </c>
      <c r="G222" t="inlineStr">
        <is>
          <t>STRÖMSUND</t>
        </is>
      </c>
      <c r="H222" t="inlineStr">
        <is>
          <t>SCA</t>
        </is>
      </c>
      <c r="I222" t="n">
        <v>2.2</v>
      </c>
      <c r="J222" t="n">
        <v>0</v>
      </c>
      <c r="K222" t="n">
        <v>0</v>
      </c>
      <c r="L222" t="n">
        <v>2</v>
      </c>
      <c r="M222" t="n">
        <v>0</v>
      </c>
      <c r="N222" t="n">
        <v>0</v>
      </c>
      <c r="O222" t="n">
        <v>0</v>
      </c>
      <c r="P222" t="n">
        <v>0</v>
      </c>
      <c r="Q222" t="n">
        <v>2</v>
      </c>
      <c r="R222" t="n">
        <v>0</v>
      </c>
      <c r="S222" t="n">
        <v>2</v>
      </c>
      <c r="T222" t="n">
        <v>2</v>
      </c>
      <c r="U222" t="n">
        <v>0</v>
      </c>
      <c r="V222" s="2" t="inlineStr">
        <is>
          <t>Gammelgransskål
Harticka</t>
        </is>
      </c>
      <c r="W222">
        <f>HYPERLINK("https://klasma.github.io/Logging_2313/artfynd/A 30828-2025 artfynd.xlsx", "A 30828-2025")</f>
        <v/>
      </c>
      <c r="X222">
        <f>HYPERLINK("https://klasma.github.io/Logging_2313/kartor/A 30828-2025 karta.png", "A 30828-2025")</f>
        <v/>
      </c>
      <c r="Y222">
        <f>HYPERLINK("https://klasma.github.io/Logging_2313/kartor_geotiff/A 30828-2025 georefererad karta.tif", "A 30828-2025")</f>
        <v/>
      </c>
      <c r="AA222">
        <f>HYPERLINK("https://klasma.github.io/Logging_2313/klagomål/A 30828-2025 FSC-klagomål.docx", "A 30828-2025")</f>
        <v/>
      </c>
      <c r="AB222">
        <f>HYPERLINK("https://klasma.github.io/Logging_2313/klagomålsmail/A 30828-2025 FSC-klagomål mail.docx", "A 30828-2025")</f>
        <v/>
      </c>
      <c r="AC222">
        <f>HYPERLINK("https://klasma.github.io/Logging_2313/tillsyn/A 30828-2025 tillsynsbegäran.docx", "A 30828-2025")</f>
        <v/>
      </c>
      <c r="AD222">
        <f>HYPERLINK("https://klasma.github.io/Logging_2313/tillsynsmail/A 30828-2025 tillsynsbegäran mail.docx", "A 30828-2025")</f>
        <v/>
      </c>
    </row>
    <row r="223" ht="15" customHeight="1">
      <c r="A223" t="inlineStr">
        <is>
          <t>A 32006-2025</t>
        </is>
      </c>
      <c r="B223" t="inlineStr">
        <is>
          <t>avverkningsanmälan</t>
        </is>
      </c>
      <c r="C223" t="inlineStr">
        <is>
          <t>Föryngringsavverkning</t>
        </is>
      </c>
      <c r="D223" s="1" t="n">
        <v>45835</v>
      </c>
      <c r="E223" s="1" t="n">
        <v>46318</v>
      </c>
      <c r="F223" t="inlineStr">
        <is>
          <t>JÄMTLANDS LÄN</t>
        </is>
      </c>
      <c r="G223" t="inlineStr">
        <is>
          <t>STRÖMSUND</t>
        </is>
      </c>
      <c r="H223" t="inlineStr">
        <is>
          <t>SCA</t>
        </is>
      </c>
      <c r="I223" t="n">
        <v>7.6</v>
      </c>
      <c r="J223" t="n">
        <v>1</v>
      </c>
      <c r="K223" t="n">
        <v>1</v>
      </c>
      <c r="L223" t="n">
        <v>1</v>
      </c>
      <c r="M223" t="n">
        <v>0</v>
      </c>
      <c r="N223" t="n">
        <v>0</v>
      </c>
      <c r="O223" t="n">
        <v>0</v>
      </c>
      <c r="P223" t="n">
        <v>0</v>
      </c>
      <c r="Q223" t="n">
        <v>1</v>
      </c>
      <c r="R223" t="n">
        <v>0</v>
      </c>
      <c r="S223" t="n">
        <v>2</v>
      </c>
      <c r="T223" t="n">
        <v>2</v>
      </c>
      <c r="U223" t="n">
        <v>0</v>
      </c>
      <c r="V223" s="2" t="inlineStr">
        <is>
          <t>Vedtrappmossa
Guckusko</t>
        </is>
      </c>
      <c r="W223">
        <f>HYPERLINK("https://klasma.github.io/Logging_2313/artfynd/A 32006-2025 artfynd.xlsx", "A 32006-2025")</f>
        <v/>
      </c>
      <c r="X223">
        <f>HYPERLINK("https://klasma.github.io/Logging_2313/kartor/A 32006-2025 karta.png", "A 32006-2025")</f>
        <v/>
      </c>
      <c r="Y223">
        <f>HYPERLINK("https://klasma.github.io/Logging_2313/kartor_geotiff/A 32006-2025 georefererad karta.tif", "A 32006-2025")</f>
        <v/>
      </c>
      <c r="AA223">
        <f>HYPERLINK("https://klasma.github.io/Logging_2313/klagomål/A 32006-2025 FSC-klagomål.docx", "A 32006-2025")</f>
        <v/>
      </c>
      <c r="AB223">
        <f>HYPERLINK("https://klasma.github.io/Logging_2313/klagomålsmail/A 32006-2025 FSC-klagomål mail.docx", "A 32006-2025")</f>
        <v/>
      </c>
      <c r="AC223">
        <f>HYPERLINK("https://klasma.github.io/Logging_2313/tillsyn/A 32006-2025 tillsynsbegäran.docx", "A 32006-2025")</f>
        <v/>
      </c>
      <c r="AD223">
        <f>HYPERLINK("https://klasma.github.io/Logging_2313/tillsynsmail/A 32006-2025 tillsynsbegäran mail.docx", "A 32006-2025")</f>
        <v/>
      </c>
    </row>
    <row r="224" ht="15" customHeight="1">
      <c r="A224" t="inlineStr">
        <is>
          <t>A 32474-2025</t>
        </is>
      </c>
      <c r="B224" t="inlineStr">
        <is>
          <t>avverkningsanmälan</t>
        </is>
      </c>
      <c r="C224" t="inlineStr">
        <is>
          <t>Föryngringsavverkning</t>
        </is>
      </c>
      <c r="D224" s="1" t="n">
        <v>45838</v>
      </c>
      <c r="E224" s="1" t="n">
        <v>46318</v>
      </c>
      <c r="F224" t="inlineStr">
        <is>
          <t>JÄMTLANDS LÄN</t>
        </is>
      </c>
      <c r="G224" t="inlineStr">
        <is>
          <t>STRÖMSUND</t>
        </is>
      </c>
      <c r="H224" t="inlineStr">
        <is>
          <t>SCA</t>
        </is>
      </c>
      <c r="I224" t="n">
        <v>0.9</v>
      </c>
      <c r="J224" t="n">
        <v>0</v>
      </c>
      <c r="K224" t="n">
        <v>0</v>
      </c>
      <c r="L224" t="n">
        <v>2</v>
      </c>
      <c r="M224" t="n">
        <v>0</v>
      </c>
      <c r="N224" t="n">
        <v>0</v>
      </c>
      <c r="O224" t="n">
        <v>0</v>
      </c>
      <c r="P224" t="n">
        <v>0</v>
      </c>
      <c r="Q224" t="n">
        <v>2</v>
      </c>
      <c r="R224" t="n">
        <v>0</v>
      </c>
      <c r="S224" t="n">
        <v>2</v>
      </c>
      <c r="T224" t="n">
        <v>2</v>
      </c>
      <c r="U224" t="n">
        <v>0</v>
      </c>
      <c r="V224" s="2" t="inlineStr">
        <is>
          <t>Gammelgransskål
Vitgrynig nållav</t>
        </is>
      </c>
      <c r="W224">
        <f>HYPERLINK("https://klasma.github.io/Logging_2313/artfynd/A 32474-2025 artfynd.xlsx", "A 32474-2025")</f>
        <v/>
      </c>
      <c r="X224">
        <f>HYPERLINK("https://klasma.github.io/Logging_2313/kartor/A 32474-2025 karta.png", "A 32474-2025")</f>
        <v/>
      </c>
      <c r="Y224">
        <f>HYPERLINK("https://klasma.github.io/Logging_2313/kartor_geotiff/A 32474-2025 georefererad karta.tif", "A 32474-2025")</f>
        <v/>
      </c>
      <c r="AA224">
        <f>HYPERLINK("https://klasma.github.io/Logging_2313/klagomål/A 32474-2025 FSC-klagomål.docx", "A 32474-2025")</f>
        <v/>
      </c>
      <c r="AB224">
        <f>HYPERLINK("https://klasma.github.io/Logging_2313/klagomålsmail/A 32474-2025 FSC-klagomål mail.docx", "A 32474-2025")</f>
        <v/>
      </c>
      <c r="AC224">
        <f>HYPERLINK("https://klasma.github.io/Logging_2313/tillsyn/A 32474-2025 tillsynsbegäran.docx", "A 32474-2025")</f>
        <v/>
      </c>
      <c r="AD224">
        <f>HYPERLINK("https://klasma.github.io/Logging_2313/tillsynsmail/A 32474-2025 tillsynsbegäran mail.docx", "A 32474-2025")</f>
        <v/>
      </c>
    </row>
    <row r="225" ht="15" customHeight="1">
      <c r="A225" t="inlineStr">
        <is>
          <t>A 52645-2024</t>
        </is>
      </c>
      <c r="B225" t="inlineStr">
        <is>
          <t>avverkningsanmälan</t>
        </is>
      </c>
      <c r="C225" t="inlineStr">
        <is>
          <t>Avverkning för att bevara och utveckla /försöksver</t>
        </is>
      </c>
      <c r="D225" s="1" t="n">
        <v>45610</v>
      </c>
      <c r="E225" s="1" t="n">
        <v>46318</v>
      </c>
      <c r="F225" t="inlineStr">
        <is>
          <t>JÄMTLANDS LÄN</t>
        </is>
      </c>
      <c r="G225" t="inlineStr">
        <is>
          <t>STRÖMSUND</t>
        </is>
      </c>
      <c r="H225" t="inlineStr">
        <is>
          <t>SCA</t>
        </is>
      </c>
      <c r="I225" t="n">
        <v>4.3</v>
      </c>
      <c r="J225" t="n">
        <v>0</v>
      </c>
      <c r="K225" t="n">
        <v>1</v>
      </c>
      <c r="L225" t="n">
        <v>1</v>
      </c>
      <c r="M225" t="n">
        <v>0</v>
      </c>
      <c r="N225" t="n">
        <v>0</v>
      </c>
      <c r="O225" t="n">
        <v>0</v>
      </c>
      <c r="P225" t="n">
        <v>0</v>
      </c>
      <c r="Q225" t="n">
        <v>1</v>
      </c>
      <c r="R225" t="n">
        <v>0</v>
      </c>
      <c r="S225" t="n">
        <v>2</v>
      </c>
      <c r="T225" t="n">
        <v>2</v>
      </c>
      <c r="U225" t="n">
        <v>0</v>
      </c>
      <c r="V225" s="2" t="inlineStr">
        <is>
          <t>Mörk kolflarnlav
Stuplav</t>
        </is>
      </c>
      <c r="W225">
        <f>HYPERLINK("https://klasma.github.io/Logging_2313/artfynd/A 52645-2024 artfynd.xlsx", "A 52645-2024")</f>
        <v/>
      </c>
      <c r="X225">
        <f>HYPERLINK("https://klasma.github.io/Logging_2313/kartor/A 52645-2024 karta.png", "A 52645-2024")</f>
        <v/>
      </c>
      <c r="Y225">
        <f>HYPERLINK("https://klasma.github.io/Logging_2313/kartor_geotiff/A 52645-2024 georefererad karta.tif", "A 52645-2024")</f>
        <v/>
      </c>
      <c r="AA225">
        <f>HYPERLINK("https://klasma.github.io/Logging_2313/klagomål/A 52645-2024 FSC-klagomål.docx", "A 52645-2024")</f>
        <v/>
      </c>
      <c r="AB225">
        <f>HYPERLINK("https://klasma.github.io/Logging_2313/klagomålsmail/A 52645-2024 FSC-klagomål mail.docx", "A 52645-2024")</f>
        <v/>
      </c>
      <c r="AC225">
        <f>HYPERLINK("https://klasma.github.io/Logging_2313/tillsyn/A 52645-2024 tillsynsbegäran.docx", "A 52645-2024")</f>
        <v/>
      </c>
      <c r="AD225">
        <f>HYPERLINK("https://klasma.github.io/Logging_2313/tillsynsmail/A 52645-2024 tillsynsbegäran mail.docx", "A 52645-2024")</f>
        <v/>
      </c>
    </row>
    <row r="226" ht="15" customHeight="1">
      <c r="A226" t="inlineStr">
        <is>
          <t>A 33888-2025</t>
        </is>
      </c>
      <c r="B226" t="inlineStr">
        <is>
          <t>avverkningsanmälan</t>
        </is>
      </c>
      <c r="C226" t="inlineStr">
        <is>
          <t>Föryngringsavverkning</t>
        </is>
      </c>
      <c r="D226" s="1" t="n">
        <v>45842</v>
      </c>
      <c r="E226" s="1" t="n">
        <v>46318</v>
      </c>
      <c r="F226" t="inlineStr">
        <is>
          <t>JÄMTLANDS LÄN</t>
        </is>
      </c>
      <c r="G226" t="inlineStr">
        <is>
          <t>STRÖMSUND</t>
        </is>
      </c>
      <c r="H226" t="inlineStr">
        <is>
          <t>SCA</t>
        </is>
      </c>
      <c r="I226" t="n">
        <v>2.5</v>
      </c>
      <c r="J226" t="n">
        <v>0</v>
      </c>
      <c r="K226" t="n">
        <v>0</v>
      </c>
      <c r="L226" t="n">
        <v>1</v>
      </c>
      <c r="M226" t="n">
        <v>1</v>
      </c>
      <c r="N226" t="n">
        <v>0</v>
      </c>
      <c r="O226" t="n">
        <v>0</v>
      </c>
      <c r="P226" t="n">
        <v>0</v>
      </c>
      <c r="Q226" t="n">
        <v>2</v>
      </c>
      <c r="R226" t="n">
        <v>1</v>
      </c>
      <c r="S226" t="n">
        <v>2</v>
      </c>
      <c r="T226" t="n">
        <v>2</v>
      </c>
      <c r="U226" t="n">
        <v>0</v>
      </c>
      <c r="V226" s="2" t="inlineStr">
        <is>
          <t>Garnlav
Lunglav</t>
        </is>
      </c>
      <c r="W226">
        <f>HYPERLINK("https://klasma.github.io/Logging_2313/artfynd/A 33888-2025 artfynd.xlsx", "A 33888-2025")</f>
        <v/>
      </c>
      <c r="X226">
        <f>HYPERLINK("https://klasma.github.io/Logging_2313/kartor/A 33888-2025 karta.png", "A 33888-2025")</f>
        <v/>
      </c>
      <c r="Y226">
        <f>HYPERLINK("https://klasma.github.io/Logging_2313/kartor_geotiff/A 33888-2025 georefererad karta.tif", "A 33888-2025")</f>
        <v/>
      </c>
      <c r="AA226">
        <f>HYPERLINK("https://klasma.github.io/Logging_2313/klagomål/A 33888-2025 FSC-klagomål.docx", "A 33888-2025")</f>
        <v/>
      </c>
      <c r="AB226">
        <f>HYPERLINK("https://klasma.github.io/Logging_2313/klagomålsmail/A 33888-2025 FSC-klagomål mail.docx", "A 33888-2025")</f>
        <v/>
      </c>
      <c r="AC226">
        <f>HYPERLINK("https://klasma.github.io/Logging_2313/tillsyn/A 33888-2025 tillsynsbegäran.docx", "A 33888-2025")</f>
        <v/>
      </c>
      <c r="AD226">
        <f>HYPERLINK("https://klasma.github.io/Logging_2313/tillsynsmail/A 33888-2025 tillsynsbegäran mail.docx", "A 33888-2025")</f>
        <v/>
      </c>
    </row>
    <row r="227" ht="15" customHeight="1">
      <c r="A227" t="inlineStr">
        <is>
          <t>A 35643-2025</t>
        </is>
      </c>
      <c r="B227" t="inlineStr">
        <is>
          <t>avverkningsanmälan</t>
        </is>
      </c>
      <c r="C227" t="inlineStr">
        <is>
          <t>Föryngringsavverkning</t>
        </is>
      </c>
      <c r="D227" s="1" t="n">
        <v>45859</v>
      </c>
      <c r="E227" s="1" t="n">
        <v>46318</v>
      </c>
      <c r="F227" t="inlineStr">
        <is>
          <t>JÄMTLANDS LÄN</t>
        </is>
      </c>
      <c r="G227" t="inlineStr">
        <is>
          <t>STRÖMSUND</t>
        </is>
      </c>
      <c r="H227" t="inlineStr">
        <is>
          <t>SCA</t>
        </is>
      </c>
      <c r="I227" t="n">
        <v>20.6</v>
      </c>
      <c r="J227" t="n">
        <v>0</v>
      </c>
      <c r="K227" t="n">
        <v>1</v>
      </c>
      <c r="L227" t="n">
        <v>0</v>
      </c>
      <c r="M227" t="n">
        <v>1</v>
      </c>
      <c r="N227" t="n">
        <v>0</v>
      </c>
      <c r="O227" t="n">
        <v>0</v>
      </c>
      <c r="P227" t="n">
        <v>0</v>
      </c>
      <c r="Q227" t="n">
        <v>1</v>
      </c>
      <c r="R227" t="n">
        <v>1</v>
      </c>
      <c r="S227" t="n">
        <v>2</v>
      </c>
      <c r="T227" t="n">
        <v>2</v>
      </c>
      <c r="U227" t="n">
        <v>0</v>
      </c>
      <c r="V227" s="2" t="inlineStr">
        <is>
          <t>Garnlav
Svavelriska</t>
        </is>
      </c>
      <c r="W227">
        <f>HYPERLINK("https://klasma.github.io/Logging_2313/artfynd/A 35643-2025 artfynd.xlsx", "A 35643-2025")</f>
        <v/>
      </c>
      <c r="X227">
        <f>HYPERLINK("https://klasma.github.io/Logging_2313/kartor/A 35643-2025 karta.png", "A 35643-2025")</f>
        <v/>
      </c>
      <c r="Y227">
        <f>HYPERLINK("https://klasma.github.io/Logging_2313/kartor_geotiff/A 35643-2025 georefererad karta.tif", "A 35643-2025")</f>
        <v/>
      </c>
      <c r="AA227">
        <f>HYPERLINK("https://klasma.github.io/Logging_2313/klagomål/A 35643-2025 FSC-klagomål.docx", "A 35643-2025")</f>
        <v/>
      </c>
      <c r="AB227">
        <f>HYPERLINK("https://klasma.github.io/Logging_2313/klagomålsmail/A 35643-2025 FSC-klagomål mail.docx", "A 35643-2025")</f>
        <v/>
      </c>
      <c r="AC227">
        <f>HYPERLINK("https://klasma.github.io/Logging_2313/tillsyn/A 35643-2025 tillsynsbegäran.docx", "A 35643-2025")</f>
        <v/>
      </c>
      <c r="AD227">
        <f>HYPERLINK("https://klasma.github.io/Logging_2313/tillsynsmail/A 35643-2025 tillsynsbegäran mail.docx", "A 35643-2025")</f>
        <v/>
      </c>
    </row>
    <row r="228" ht="15" customHeight="1">
      <c r="A228" t="inlineStr">
        <is>
          <t>A 35664-2025</t>
        </is>
      </c>
      <c r="B228" t="inlineStr">
        <is>
          <t>avverkningsanmälan</t>
        </is>
      </c>
      <c r="C228" t="inlineStr">
        <is>
          <t>Föryngringsavverkning</t>
        </is>
      </c>
      <c r="D228" s="1" t="n">
        <v>45859</v>
      </c>
      <c r="E228" s="1" t="n">
        <v>46318</v>
      </c>
      <c r="F228" t="inlineStr">
        <is>
          <t>JÄMTLANDS LÄN</t>
        </is>
      </c>
      <c r="G228" t="inlineStr">
        <is>
          <t>STRÖMSUND</t>
        </is>
      </c>
      <c r="H228" t="inlineStr">
        <is>
          <t>SCA</t>
        </is>
      </c>
      <c r="I228" t="n">
        <v>2.6</v>
      </c>
      <c r="J228" t="n">
        <v>0</v>
      </c>
      <c r="K228" t="n">
        <v>0</v>
      </c>
      <c r="L228" t="n">
        <v>2</v>
      </c>
      <c r="M228" t="n">
        <v>0</v>
      </c>
      <c r="N228" t="n">
        <v>0</v>
      </c>
      <c r="O228" t="n">
        <v>0</v>
      </c>
      <c r="P228" t="n">
        <v>0</v>
      </c>
      <c r="Q228" t="n">
        <v>2</v>
      </c>
      <c r="R228" t="n">
        <v>0</v>
      </c>
      <c r="S228" t="n">
        <v>2</v>
      </c>
      <c r="T228" t="n">
        <v>2</v>
      </c>
      <c r="U228" t="n">
        <v>0</v>
      </c>
      <c r="V228" s="2" t="inlineStr">
        <is>
          <t>Lunglav
Skrovellav</t>
        </is>
      </c>
      <c r="W228">
        <f>HYPERLINK("https://klasma.github.io/Logging_2313/artfynd/A 35664-2025 artfynd.xlsx", "A 35664-2025")</f>
        <v/>
      </c>
      <c r="X228">
        <f>HYPERLINK("https://klasma.github.io/Logging_2313/kartor/A 35664-2025 karta.png", "A 35664-2025")</f>
        <v/>
      </c>
      <c r="Y228">
        <f>HYPERLINK("https://klasma.github.io/Logging_2313/kartor_geotiff/A 35664-2025 georefererad karta.tif", "A 35664-2025")</f>
        <v/>
      </c>
      <c r="AA228">
        <f>HYPERLINK("https://klasma.github.io/Logging_2313/klagomål/A 35664-2025 FSC-klagomål.docx", "A 35664-2025")</f>
        <v/>
      </c>
      <c r="AB228">
        <f>HYPERLINK("https://klasma.github.io/Logging_2313/klagomålsmail/A 35664-2025 FSC-klagomål mail.docx", "A 35664-2025")</f>
        <v/>
      </c>
      <c r="AC228">
        <f>HYPERLINK("https://klasma.github.io/Logging_2313/tillsyn/A 35664-2025 tillsynsbegäran.docx", "A 35664-2025")</f>
        <v/>
      </c>
      <c r="AD228">
        <f>HYPERLINK("https://klasma.github.io/Logging_2313/tillsynsmail/A 35664-2025 tillsynsbegäran mail.docx", "A 35664-2025")</f>
        <v/>
      </c>
    </row>
    <row r="229" ht="15" customHeight="1">
      <c r="A229" t="inlineStr">
        <is>
          <t>A 45073-2025</t>
        </is>
      </c>
      <c r="B229" t="inlineStr">
        <is>
          <t>avverkningsanmälan</t>
        </is>
      </c>
      <c r="C229" t="inlineStr">
        <is>
          <t>Föryngringsavverkning</t>
        </is>
      </c>
      <c r="D229" s="1" t="n">
        <v>45919</v>
      </c>
      <c r="E229" s="1" t="n">
        <v>46318</v>
      </c>
      <c r="F229" t="inlineStr">
        <is>
          <t>JÄMTLANDS LÄN</t>
        </is>
      </c>
      <c r="G229" t="inlineStr">
        <is>
          <t>STRÖMSUND</t>
        </is>
      </c>
      <c r="H229" t="inlineStr">
        <is>
          <t>Holmen skog AB</t>
        </is>
      </c>
      <c r="I229" t="n">
        <v>12.7</v>
      </c>
      <c r="J229" t="n">
        <v>0</v>
      </c>
      <c r="K229" t="n">
        <v>1</v>
      </c>
      <c r="L229" t="n">
        <v>1</v>
      </c>
      <c r="M229" t="n">
        <v>0</v>
      </c>
      <c r="N229" t="n">
        <v>0</v>
      </c>
      <c r="O229" t="n">
        <v>0</v>
      </c>
      <c r="P229" t="n">
        <v>0</v>
      </c>
      <c r="Q229" t="n">
        <v>1</v>
      </c>
      <c r="R229" t="n">
        <v>0</v>
      </c>
      <c r="S229" t="n">
        <v>2</v>
      </c>
      <c r="T229" t="n">
        <v>2</v>
      </c>
      <c r="U229" t="n">
        <v>2</v>
      </c>
      <c r="V229" s="2" t="inlineStr">
        <is>
          <t>Lunglav
Bårdlav</t>
        </is>
      </c>
      <c r="W229">
        <f>HYPERLINK("https://klasma.github.io/Logging_2313/artfynd/A 45073-2025 artfynd.xlsx", "A 45073-2025")</f>
        <v/>
      </c>
      <c r="X229">
        <f>HYPERLINK("https://klasma.github.io/Logging_2313/kartor/A 45073-2025 karta.png", "A 45073-2025")</f>
        <v/>
      </c>
      <c r="Y229">
        <f>HYPERLINK("https://klasma.github.io/Logging_2313/kartor_geotiff/A 45073-2025 georefererad karta.tif", "A 45073-2025")</f>
        <v/>
      </c>
      <c r="AA229">
        <f>HYPERLINK("https://klasma.github.io/Logging_2313/klagomål/A 45073-2025 FSC-klagomål.docx", "A 45073-2025")</f>
        <v/>
      </c>
      <c r="AB229">
        <f>HYPERLINK("https://klasma.github.io/Logging_2313/klagomålsmail/A 45073-2025 FSC-klagomål mail.docx", "A 45073-2025")</f>
        <v/>
      </c>
      <c r="AC229">
        <f>HYPERLINK("https://klasma.github.io/Logging_2313/tillsyn/A 45073-2025 tillsynsbegäran.docx", "A 45073-2025")</f>
        <v/>
      </c>
      <c r="AD229">
        <f>HYPERLINK("https://klasma.github.io/Logging_2313/tillsynsmail/A 45073-2025 tillsynsbegäran mail.docx", "A 45073-2025")</f>
        <v/>
      </c>
    </row>
    <row r="230" ht="15" customHeight="1">
      <c r="A230" t="inlineStr">
        <is>
          <t>A 45454-2025</t>
        </is>
      </c>
      <c r="B230" t="inlineStr">
        <is>
          <t>avverkningsanmälan</t>
        </is>
      </c>
      <c r="C230" t="inlineStr">
        <is>
          <t>Föryngringsavverkning</t>
        </is>
      </c>
      <c r="D230" s="1" t="n">
        <v>45922</v>
      </c>
      <c r="E230" s="1" t="n">
        <v>46318</v>
      </c>
      <c r="F230" t="inlineStr">
        <is>
          <t>JÄMTLANDS LÄN</t>
        </is>
      </c>
      <c r="G230" t="inlineStr">
        <is>
          <t>STRÖMSUND</t>
        </is>
      </c>
      <c r="H230" t="inlineStr">
        <is>
          <t>SCA</t>
        </is>
      </c>
      <c r="I230" t="n">
        <v>3.7</v>
      </c>
      <c r="J230" t="n">
        <v>0</v>
      </c>
      <c r="K230" t="n">
        <v>0</v>
      </c>
      <c r="L230" t="n">
        <v>1</v>
      </c>
      <c r="M230" t="n">
        <v>1</v>
      </c>
      <c r="N230" t="n">
        <v>0</v>
      </c>
      <c r="O230" t="n">
        <v>0</v>
      </c>
      <c r="P230" t="n">
        <v>0</v>
      </c>
      <c r="Q230" t="n">
        <v>2</v>
      </c>
      <c r="R230" t="n">
        <v>1</v>
      </c>
      <c r="S230" t="n">
        <v>2</v>
      </c>
      <c r="T230" t="n">
        <v>2</v>
      </c>
      <c r="U230" t="n">
        <v>0</v>
      </c>
      <c r="V230" s="2" t="inlineStr">
        <is>
          <t>Smalskaftslav
Gammelgransskål</t>
        </is>
      </c>
      <c r="W230">
        <f>HYPERLINK("https://klasma.github.io/Logging_2313/artfynd/A 45454-2025 artfynd.xlsx", "A 45454-2025")</f>
        <v/>
      </c>
      <c r="X230">
        <f>HYPERLINK("https://klasma.github.io/Logging_2313/kartor/A 45454-2025 karta.png", "A 45454-2025")</f>
        <v/>
      </c>
      <c r="Y230">
        <f>HYPERLINK("https://klasma.github.io/Logging_2313/kartor_geotiff/A 45454-2025 georefererad karta.tif", "A 45454-2025")</f>
        <v/>
      </c>
      <c r="AA230">
        <f>HYPERLINK("https://klasma.github.io/Logging_2313/klagomål/A 45454-2025 FSC-klagomål.docx", "A 45454-2025")</f>
        <v/>
      </c>
      <c r="AB230">
        <f>HYPERLINK("https://klasma.github.io/Logging_2313/klagomålsmail/A 45454-2025 FSC-klagomål mail.docx", "A 45454-2025")</f>
        <v/>
      </c>
      <c r="AC230">
        <f>HYPERLINK("https://klasma.github.io/Logging_2313/tillsyn/A 45454-2025 tillsynsbegäran.docx", "A 45454-2025")</f>
        <v/>
      </c>
      <c r="AD230">
        <f>HYPERLINK("https://klasma.github.io/Logging_2313/tillsynsmail/A 45454-2025 tillsynsbegäran mail.docx", "A 45454-2025")</f>
        <v/>
      </c>
    </row>
    <row r="231" ht="15" customHeight="1">
      <c r="A231" t="inlineStr">
        <is>
          <t>A 45613-2025</t>
        </is>
      </c>
      <c r="B231" t="inlineStr">
        <is>
          <t>avverkningsanmälan</t>
        </is>
      </c>
      <c r="C231" t="inlineStr">
        <is>
          <t>Föryngringsavverkning</t>
        </is>
      </c>
      <c r="D231" s="1" t="n">
        <v>45922</v>
      </c>
      <c r="E231" s="1" t="n">
        <v>46318</v>
      </c>
      <c r="F231" t="inlineStr">
        <is>
          <t>JÄMTLANDS LÄN</t>
        </is>
      </c>
      <c r="G231" t="inlineStr">
        <is>
          <t>STRÖMSUND</t>
        </is>
      </c>
      <c r="H231" t="inlineStr">
        <is>
          <t>SCA</t>
        </is>
      </c>
      <c r="I231" t="n">
        <v>3</v>
      </c>
      <c r="J231" t="n">
        <v>0</v>
      </c>
      <c r="K231" t="n">
        <v>0</v>
      </c>
      <c r="L231" t="n">
        <v>2</v>
      </c>
      <c r="M231" t="n">
        <v>0</v>
      </c>
      <c r="N231" t="n">
        <v>0</v>
      </c>
      <c r="O231" t="n">
        <v>0</v>
      </c>
      <c r="P231" t="n">
        <v>0</v>
      </c>
      <c r="Q231" t="n">
        <v>2</v>
      </c>
      <c r="R231" t="n">
        <v>0</v>
      </c>
      <c r="S231" t="n">
        <v>2</v>
      </c>
      <c r="T231" t="n">
        <v>2</v>
      </c>
      <c r="U231" t="n">
        <v>0</v>
      </c>
      <c r="V231" s="2" t="inlineStr">
        <is>
          <t>Gammelgransskål
Ullticka</t>
        </is>
      </c>
      <c r="W231">
        <f>HYPERLINK("https://klasma.github.io/Logging_2313/artfynd/A 45613-2025 artfynd.xlsx", "A 45613-2025")</f>
        <v/>
      </c>
      <c r="X231">
        <f>HYPERLINK("https://klasma.github.io/Logging_2313/kartor/A 45613-2025 karta.png", "A 45613-2025")</f>
        <v/>
      </c>
      <c r="Y231">
        <f>HYPERLINK("https://klasma.github.io/Logging_2313/kartor_geotiff/A 45613-2025 georefererad karta.tif", "A 45613-2025")</f>
        <v/>
      </c>
      <c r="AA231">
        <f>HYPERLINK("https://klasma.github.io/Logging_2313/klagomål/A 45613-2025 FSC-klagomål.docx", "A 45613-2025")</f>
        <v/>
      </c>
      <c r="AB231">
        <f>HYPERLINK("https://klasma.github.io/Logging_2313/klagomålsmail/A 45613-2025 FSC-klagomål mail.docx", "A 45613-2025")</f>
        <v/>
      </c>
      <c r="AC231">
        <f>HYPERLINK("https://klasma.github.io/Logging_2313/tillsyn/A 45613-2025 tillsynsbegäran.docx", "A 45613-2025")</f>
        <v/>
      </c>
      <c r="AD231">
        <f>HYPERLINK("https://klasma.github.io/Logging_2313/tillsynsmail/A 45613-2025 tillsynsbegäran mail.docx", "A 45613-2025")</f>
        <v/>
      </c>
    </row>
    <row r="232" ht="15" customHeight="1">
      <c r="A232" t="inlineStr">
        <is>
          <t>A 63532-2021</t>
        </is>
      </c>
      <c r="B232" t="inlineStr">
        <is>
          <t>avverkningsanmälan</t>
        </is>
      </c>
      <c r="C232" t="inlineStr">
        <is>
          <t>Föryngringsavverkning</t>
        </is>
      </c>
      <c r="D232" s="1" t="n">
        <v>44504</v>
      </c>
      <c r="E232" s="1" t="n">
        <v>46318</v>
      </c>
      <c r="F232" t="inlineStr">
        <is>
          <t>JÄMTLANDS LÄN</t>
        </is>
      </c>
      <c r="G232" t="inlineStr">
        <is>
          <t>STRÖMSUND</t>
        </is>
      </c>
      <c r="H232" t="inlineStr">
        <is>
          <t>SCA</t>
        </is>
      </c>
      <c r="I232" t="n">
        <v>22.3</v>
      </c>
      <c r="J232" t="n">
        <v>0</v>
      </c>
      <c r="K232" t="n">
        <v>0</v>
      </c>
      <c r="L232" t="n">
        <v>0</v>
      </c>
      <c r="M232" t="n">
        <v>2</v>
      </c>
      <c r="N232" t="n">
        <v>0</v>
      </c>
      <c r="O232" t="n">
        <v>0</v>
      </c>
      <c r="P232" t="n">
        <v>0</v>
      </c>
      <c r="Q232" t="n">
        <v>2</v>
      </c>
      <c r="R232" t="n">
        <v>2</v>
      </c>
      <c r="S232" t="n">
        <v>2</v>
      </c>
      <c r="T232" t="n">
        <v>8</v>
      </c>
      <c r="U232" t="n">
        <v>0</v>
      </c>
      <c r="V232" s="2" t="inlineStr">
        <is>
          <t>Gränsticka
Norsk näverlav</t>
        </is>
      </c>
      <c r="W232">
        <f>HYPERLINK("https://klasma.github.io/Logging_2313/artfynd/A 63532-2021 artfynd.xlsx", "A 63532-2021")</f>
        <v/>
      </c>
      <c r="X232">
        <f>HYPERLINK("https://klasma.github.io/Logging_2313/kartor/A 63532-2021 karta.png", "A 63532-2021")</f>
        <v/>
      </c>
      <c r="Y232">
        <f>HYPERLINK("https://klasma.github.io/Logging_2313/kartor_geotiff/A 63532-2021 georefererad karta.tif", "A 63532-2021")</f>
        <v/>
      </c>
      <c r="AA232">
        <f>HYPERLINK("https://klasma.github.io/Logging_2313/klagomål/A 63532-2021 FSC-klagomål.docx", "A 63532-2021")</f>
        <v/>
      </c>
      <c r="AB232">
        <f>HYPERLINK("https://klasma.github.io/Logging_2313/klagomålsmail/A 63532-2021 FSC-klagomål mail.docx", "A 63532-2021")</f>
        <v/>
      </c>
      <c r="AC232">
        <f>HYPERLINK("https://klasma.github.io/Logging_2313/tillsyn/A 63532-2021 tillsynsbegäran.docx", "A 63532-2021")</f>
        <v/>
      </c>
      <c r="AD232">
        <f>HYPERLINK("https://klasma.github.io/Logging_2313/tillsynsmail/A 63532-2021 tillsynsbegäran mail.docx", "A 63532-2021")</f>
        <v/>
      </c>
    </row>
    <row r="233" ht="15" customHeight="1">
      <c r="A233" t="inlineStr">
        <is>
          <t>A 50974-2025</t>
        </is>
      </c>
      <c r="B233" t="inlineStr">
        <is>
          <t>avverkningsanmälan</t>
        </is>
      </c>
      <c r="C233" t="inlineStr">
        <is>
          <t>Föryngringsavverkning</t>
        </is>
      </c>
      <c r="D233" s="1" t="n">
        <v>45947</v>
      </c>
      <c r="E233" s="1" t="n">
        <v>46318</v>
      </c>
      <c r="F233" t="inlineStr">
        <is>
          <t>JÄMTLANDS LÄN</t>
        </is>
      </c>
      <c r="G233" t="inlineStr">
        <is>
          <t>STRÖMSUND</t>
        </is>
      </c>
      <c r="H233" t="inlineStr">
        <is>
          <t>Övriga statliga verk och myndigheter</t>
        </is>
      </c>
      <c r="I233" t="n">
        <v>3.8</v>
      </c>
      <c r="J233" t="n">
        <v>0</v>
      </c>
      <c r="K233" t="n">
        <v>0</v>
      </c>
      <c r="L233" t="n">
        <v>1</v>
      </c>
      <c r="M233" t="n">
        <v>1</v>
      </c>
      <c r="N233" t="n">
        <v>0</v>
      </c>
      <c r="O233" t="n">
        <v>0</v>
      </c>
      <c r="P233" t="n">
        <v>0</v>
      </c>
      <c r="Q233" t="n">
        <v>2</v>
      </c>
      <c r="R233" t="n">
        <v>1</v>
      </c>
      <c r="S233" t="n">
        <v>2</v>
      </c>
      <c r="T233" t="n">
        <v>4</v>
      </c>
      <c r="U233" t="n">
        <v>4</v>
      </c>
      <c r="V233" s="2" t="inlineStr">
        <is>
          <t>Garnlav
Liten svartspik</t>
        </is>
      </c>
      <c r="W233">
        <f>HYPERLINK("https://klasma.github.io/Logging_2313/artfynd/A 50974-2025 artfynd.xlsx", "A 50974-2025")</f>
        <v/>
      </c>
      <c r="X233">
        <f>HYPERLINK("https://klasma.github.io/Logging_2313/kartor/A 50974-2025 karta.png", "A 50974-2025")</f>
        <v/>
      </c>
      <c r="Y233">
        <f>HYPERLINK("https://klasma.github.io/Logging_2313/kartor_geotiff/A 50974-2025 georefererad karta.tif", "A 50974-2025")</f>
        <v/>
      </c>
      <c r="AA233">
        <f>HYPERLINK("https://klasma.github.io/Logging_2313/klagomål/A 50974-2025 FSC-klagomål.docx", "A 50974-2025")</f>
        <v/>
      </c>
      <c r="AB233">
        <f>HYPERLINK("https://klasma.github.io/Logging_2313/klagomålsmail/A 50974-2025 FSC-klagomål mail.docx", "A 50974-2025")</f>
        <v/>
      </c>
      <c r="AC233">
        <f>HYPERLINK("https://klasma.github.io/Logging_2313/tillsyn/A 50974-2025 tillsynsbegäran.docx", "A 50974-2025")</f>
        <v/>
      </c>
      <c r="AD233">
        <f>HYPERLINK("https://klasma.github.io/Logging_2313/tillsynsmail/A 50974-2025 tillsynsbegäran mail.docx", "A 50974-2025")</f>
        <v/>
      </c>
    </row>
    <row r="234" ht="15" customHeight="1">
      <c r="A234" t="inlineStr">
        <is>
          <t>A 27918-2024</t>
        </is>
      </c>
      <c r="B234" t="inlineStr">
        <is>
          <t>avverkningsanmälan</t>
        </is>
      </c>
      <c r="C234" t="inlineStr">
        <is>
          <t>Föryngringsavverkning</t>
        </is>
      </c>
      <c r="D234" s="1" t="n">
        <v>45475</v>
      </c>
      <c r="E234" s="1" t="n">
        <v>46318</v>
      </c>
      <c r="F234" t="inlineStr">
        <is>
          <t>JÄMTLANDS LÄN</t>
        </is>
      </c>
      <c r="G234" t="inlineStr">
        <is>
          <t>STRÖMSUND</t>
        </is>
      </c>
      <c r="H234" t="inlineStr">
        <is>
          <t>SCA</t>
        </is>
      </c>
      <c r="I234" t="n">
        <v>1.4</v>
      </c>
      <c r="J234" t="n">
        <v>0</v>
      </c>
      <c r="K234" t="n">
        <v>0</v>
      </c>
      <c r="L234" t="n">
        <v>1</v>
      </c>
      <c r="M234" t="n">
        <v>1</v>
      </c>
      <c r="N234" t="n">
        <v>0</v>
      </c>
      <c r="O234" t="n">
        <v>0</v>
      </c>
      <c r="P234" t="n">
        <v>0</v>
      </c>
      <c r="Q234" t="n">
        <v>2</v>
      </c>
      <c r="R234" t="n">
        <v>1</v>
      </c>
      <c r="S234" t="n">
        <v>2</v>
      </c>
      <c r="T234" t="n">
        <v>2</v>
      </c>
      <c r="U234" t="n">
        <v>0</v>
      </c>
      <c r="V234" s="2" t="inlineStr">
        <is>
          <t>Garnlav
Kolflarnlav</t>
        </is>
      </c>
      <c r="W234">
        <f>HYPERLINK("https://klasma.github.io/Logging_2313/artfynd/A 27918-2024 artfynd.xlsx", "A 27918-2024")</f>
        <v/>
      </c>
      <c r="X234">
        <f>HYPERLINK("https://klasma.github.io/Logging_2313/kartor/A 27918-2024 karta.png", "A 27918-2024")</f>
        <v/>
      </c>
      <c r="Y234">
        <f>HYPERLINK("https://klasma.github.io/Logging_2313/kartor_geotiff/A 27918-2024 georefererad karta.tif", "A 27918-2024")</f>
        <v/>
      </c>
      <c r="AA234">
        <f>HYPERLINK("https://klasma.github.io/Logging_2313/klagomål/A 27918-2024 FSC-klagomål.docx", "A 27918-2024")</f>
        <v/>
      </c>
      <c r="AB234">
        <f>HYPERLINK("https://klasma.github.io/Logging_2313/klagomålsmail/A 27918-2024 FSC-klagomål mail.docx", "A 27918-2024")</f>
        <v/>
      </c>
      <c r="AC234">
        <f>HYPERLINK("https://klasma.github.io/Logging_2313/tillsyn/A 27918-2024 tillsynsbegäran.docx", "A 27918-2024")</f>
        <v/>
      </c>
      <c r="AD234">
        <f>HYPERLINK("https://klasma.github.io/Logging_2313/tillsynsmail/A 27918-2024 tillsynsbegäran mail.docx", "A 27918-2024")</f>
        <v/>
      </c>
    </row>
    <row r="235" ht="15" customHeight="1">
      <c r="A235" t="inlineStr">
        <is>
          <t>A 61159-2024</t>
        </is>
      </c>
      <c r="B235" t="inlineStr">
        <is>
          <t>avverkningsanmälan</t>
        </is>
      </c>
      <c r="C235" t="inlineStr">
        <is>
          <t>Avverkning för att bevara och utveckla /försöksver</t>
        </is>
      </c>
      <c r="D235" s="1" t="n">
        <v>45645</v>
      </c>
      <c r="E235" s="1" t="n">
        <v>46318</v>
      </c>
      <c r="F235" t="inlineStr">
        <is>
          <t>JÄMTLANDS LÄN</t>
        </is>
      </c>
      <c r="G235" t="inlineStr">
        <is>
          <t>STRÖMSUND</t>
        </is>
      </c>
      <c r="H235" t="inlineStr">
        <is>
          <t>SCA</t>
        </is>
      </c>
      <c r="I235" t="n">
        <v>5.3</v>
      </c>
      <c r="J235" t="n">
        <v>1</v>
      </c>
      <c r="K235" t="n">
        <v>2</v>
      </c>
      <c r="L235" t="n">
        <v>0</v>
      </c>
      <c r="M235" t="n">
        <v>0</v>
      </c>
      <c r="N235" t="n">
        <v>0</v>
      </c>
      <c r="O235" t="n">
        <v>0</v>
      </c>
      <c r="P235" t="n">
        <v>0</v>
      </c>
      <c r="Q235" t="n">
        <v>0</v>
      </c>
      <c r="R235" t="n">
        <v>0</v>
      </c>
      <c r="S235" t="n">
        <v>2</v>
      </c>
      <c r="T235" t="n">
        <v>2</v>
      </c>
      <c r="U235" t="n">
        <v>0</v>
      </c>
      <c r="V235" s="2" t="inlineStr">
        <is>
          <t>Bårdlav
Tvåblad</t>
        </is>
      </c>
      <c r="W235">
        <f>HYPERLINK("https://klasma.github.io/Logging_2313/artfynd/A 61159-2024 artfynd.xlsx", "A 61159-2024")</f>
        <v/>
      </c>
      <c r="X235">
        <f>HYPERLINK("https://klasma.github.io/Logging_2313/kartor/A 61159-2024 karta.png", "A 61159-2024")</f>
        <v/>
      </c>
      <c r="Y235">
        <f>HYPERLINK("https://klasma.github.io/Logging_2313/kartor_geotiff/A 61159-2024 georefererad karta.tif", "A 61159-2024")</f>
        <v/>
      </c>
      <c r="AA235">
        <f>HYPERLINK("https://klasma.github.io/Logging_2313/klagomål/A 61159-2024 FSC-klagomål.docx", "A 61159-2024")</f>
        <v/>
      </c>
      <c r="AB235">
        <f>HYPERLINK("https://klasma.github.io/Logging_2313/klagomålsmail/A 61159-2024 FSC-klagomål mail.docx", "A 61159-2024")</f>
        <v/>
      </c>
      <c r="AC235">
        <f>HYPERLINK("https://klasma.github.io/Logging_2313/tillsyn/A 61159-2024 tillsynsbegäran.docx", "A 61159-2024")</f>
        <v/>
      </c>
      <c r="AD235">
        <f>HYPERLINK("https://klasma.github.io/Logging_2313/tillsynsmail/A 61159-2024 tillsynsbegäran mail.docx", "A 61159-2024")</f>
        <v/>
      </c>
    </row>
    <row r="236" ht="15" customHeight="1">
      <c r="A236" t="inlineStr">
        <is>
          <t>A 46814-2023</t>
        </is>
      </c>
      <c r="B236" t="inlineStr">
        <is>
          <t>avverkningsanmälan</t>
        </is>
      </c>
      <c r="C236" t="inlineStr">
        <is>
          <t>Avverkning för att bevara och utveckla /försöksver</t>
        </is>
      </c>
      <c r="D236" s="1" t="n">
        <v>45198</v>
      </c>
      <c r="E236" s="1" t="n">
        <v>46318</v>
      </c>
      <c r="F236" t="inlineStr">
        <is>
          <t>JÄMTLANDS LÄN</t>
        </is>
      </c>
      <c r="G236" t="inlineStr">
        <is>
          <t>STRÖMSUND</t>
        </is>
      </c>
      <c r="H236" t="inlineStr">
        <is>
          <t>SCA</t>
        </is>
      </c>
      <c r="I236" t="n">
        <v>9.5</v>
      </c>
      <c r="J236" t="n">
        <v>1</v>
      </c>
      <c r="K236" t="n">
        <v>0</v>
      </c>
      <c r="L236" t="n">
        <v>0</v>
      </c>
      <c r="M236" t="n">
        <v>0</v>
      </c>
      <c r="N236" t="n">
        <v>0</v>
      </c>
      <c r="O236" t="n">
        <v>0</v>
      </c>
      <c r="P236" t="n">
        <v>0</v>
      </c>
      <c r="Q236" t="n">
        <v>1</v>
      </c>
      <c r="R236" t="n">
        <v>0</v>
      </c>
      <c r="S236" t="n">
        <v>2</v>
      </c>
      <c r="T236" t="n">
        <v>2</v>
      </c>
      <c r="U236" t="n">
        <v>0</v>
      </c>
      <c r="V236" s="2" t="inlineStr">
        <is>
          <t>Liten klubbdyna
Blåsippa</t>
        </is>
      </c>
      <c r="W236">
        <f>HYPERLINK("https://klasma.github.io/Logging_2313/artfynd/A 46814-2023 artfynd.xlsx", "A 46814-2023")</f>
        <v/>
      </c>
      <c r="X236">
        <f>HYPERLINK("https://klasma.github.io/Logging_2313/kartor/A 46814-2023 karta.png", "A 46814-2023")</f>
        <v/>
      </c>
      <c r="Y236">
        <f>HYPERLINK("https://klasma.github.io/Logging_2313/kartor_geotiff/A 46814-2023 georefererad karta.tif", "A 46814-2023")</f>
        <v/>
      </c>
      <c r="AA236">
        <f>HYPERLINK("https://klasma.github.io/Logging_2313/klagomål/A 46814-2023 FSC-klagomål.docx", "A 46814-2023")</f>
        <v/>
      </c>
      <c r="AB236">
        <f>HYPERLINK("https://klasma.github.io/Logging_2313/klagomålsmail/A 46814-2023 FSC-klagomål mail.docx", "A 46814-2023")</f>
        <v/>
      </c>
      <c r="AC236">
        <f>HYPERLINK("https://klasma.github.io/Logging_2313/tillsyn/A 46814-2023 tillsynsbegäran.docx", "A 46814-2023")</f>
        <v/>
      </c>
      <c r="AD236">
        <f>HYPERLINK("https://klasma.github.io/Logging_2313/tillsynsmail/A 46814-2023 tillsynsbegäran mail.docx", "A 46814-2023")</f>
        <v/>
      </c>
    </row>
    <row r="237" ht="15" customHeight="1">
      <c r="A237" t="inlineStr">
        <is>
          <t>A 34009-2023</t>
        </is>
      </c>
      <c r="B237" t="inlineStr">
        <is>
          <t>avverkningsanmälan</t>
        </is>
      </c>
      <c r="C237" t="inlineStr">
        <is>
          <t>Föryngringsavverkning</t>
        </is>
      </c>
      <c r="D237" s="1" t="n">
        <v>45134</v>
      </c>
      <c r="E237" s="1" t="n">
        <v>46318</v>
      </c>
      <c r="F237" t="inlineStr">
        <is>
          <t>JÄMTLANDS LÄN</t>
        </is>
      </c>
      <c r="G237" t="inlineStr">
        <is>
          <t>STRÖMSUND</t>
        </is>
      </c>
      <c r="H237" t="inlineStr">
        <is>
          <t>SCA</t>
        </is>
      </c>
      <c r="I237" t="n">
        <v>2.6</v>
      </c>
      <c r="J237" t="n">
        <v>0</v>
      </c>
      <c r="K237" t="n">
        <v>0</v>
      </c>
      <c r="L237" t="n">
        <v>2</v>
      </c>
      <c r="M237" t="n">
        <v>0</v>
      </c>
      <c r="N237" t="n">
        <v>0</v>
      </c>
      <c r="O237" t="n">
        <v>0</v>
      </c>
      <c r="P237" t="n">
        <v>0</v>
      </c>
      <c r="Q237" t="n">
        <v>2</v>
      </c>
      <c r="R237" t="n">
        <v>0</v>
      </c>
      <c r="S237" t="n">
        <v>2</v>
      </c>
      <c r="T237" t="n">
        <v>2</v>
      </c>
      <c r="U237" t="n">
        <v>0</v>
      </c>
      <c r="V237" s="2" t="inlineStr">
        <is>
          <t>Brunpudrad nållav
Vedskivlav</t>
        </is>
      </c>
      <c r="W237">
        <f>HYPERLINK("https://klasma.github.io/Logging_2313/artfynd/A 34009-2023 artfynd.xlsx", "A 34009-2023")</f>
        <v/>
      </c>
      <c r="X237">
        <f>HYPERLINK("https://klasma.github.io/Logging_2313/kartor/A 34009-2023 karta.png", "A 34009-2023")</f>
        <v/>
      </c>
      <c r="Y237">
        <f>HYPERLINK("https://klasma.github.io/Logging_2313/kartor_geotiff/A 34009-2023 georefererad karta.tif", "A 34009-2023")</f>
        <v/>
      </c>
      <c r="AA237">
        <f>HYPERLINK("https://klasma.github.io/Logging_2313/klagomål/A 34009-2023 FSC-klagomål.docx", "A 34009-2023")</f>
        <v/>
      </c>
      <c r="AB237">
        <f>HYPERLINK("https://klasma.github.io/Logging_2313/klagomålsmail/A 34009-2023 FSC-klagomål mail.docx", "A 34009-2023")</f>
        <v/>
      </c>
      <c r="AC237">
        <f>HYPERLINK("https://klasma.github.io/Logging_2313/tillsyn/A 34009-2023 tillsynsbegäran.docx", "A 34009-2023")</f>
        <v/>
      </c>
      <c r="AD237">
        <f>HYPERLINK("https://klasma.github.io/Logging_2313/tillsynsmail/A 34009-2023 tillsynsbegäran mail.docx", "A 34009-2023")</f>
        <v/>
      </c>
    </row>
    <row r="238" ht="15" customHeight="1">
      <c r="A238" t="inlineStr">
        <is>
          <t>A 54573-2025</t>
        </is>
      </c>
      <c r="B238" t="inlineStr">
        <is>
          <t>avverkningsanmälan</t>
        </is>
      </c>
      <c r="C238" t="inlineStr">
        <is>
          <t>Föryngringsavverkning</t>
        </is>
      </c>
      <c r="D238" s="1" t="n">
        <v>45965</v>
      </c>
      <c r="E238" s="1" t="n">
        <v>46318</v>
      </c>
      <c r="F238" t="inlineStr">
        <is>
          <t>JÄMTLANDS LÄN</t>
        </is>
      </c>
      <c r="G238" t="inlineStr">
        <is>
          <t>STRÖMSUND</t>
        </is>
      </c>
      <c r="I238" t="n">
        <v>5.3</v>
      </c>
      <c r="J238" t="n">
        <v>0</v>
      </c>
      <c r="K238" t="n">
        <v>2</v>
      </c>
      <c r="L238" t="n">
        <v>0</v>
      </c>
      <c r="M238" t="n">
        <v>0</v>
      </c>
      <c r="N238" t="n">
        <v>0</v>
      </c>
      <c r="O238" t="n">
        <v>0</v>
      </c>
      <c r="P238" t="n">
        <v>0</v>
      </c>
      <c r="Q238" t="n">
        <v>0</v>
      </c>
      <c r="R238" t="n">
        <v>0</v>
      </c>
      <c r="S238" t="n">
        <v>2</v>
      </c>
      <c r="T238" t="n">
        <v>2</v>
      </c>
      <c r="U238" t="n">
        <v>0</v>
      </c>
      <c r="V238" s="2" t="inlineStr">
        <is>
          <t>Kransrams
Stuplav</t>
        </is>
      </c>
      <c r="W238">
        <f>HYPERLINK("https://klasma.github.io/Logging_2313/artfynd/A 54573-2025 artfynd.xlsx", "A 54573-2025")</f>
        <v/>
      </c>
      <c r="X238">
        <f>HYPERLINK("https://klasma.github.io/Logging_2313/kartor/A 54573-2025 karta.png", "A 54573-2025")</f>
        <v/>
      </c>
      <c r="Y238">
        <f>HYPERLINK("https://klasma.github.io/Logging_2313/kartor_geotiff/A 54573-2025 georefererad karta.tif", "A 54573-2025")</f>
        <v/>
      </c>
      <c r="AA238">
        <f>HYPERLINK("https://klasma.github.io/Logging_2313/klagomål/A 54573-2025 FSC-klagomål.docx", "A 54573-2025")</f>
        <v/>
      </c>
      <c r="AB238">
        <f>HYPERLINK("https://klasma.github.io/Logging_2313/klagomålsmail/A 54573-2025 FSC-klagomål mail.docx", "A 54573-2025")</f>
        <v/>
      </c>
      <c r="AC238">
        <f>HYPERLINK("https://klasma.github.io/Logging_2313/tillsyn/A 54573-2025 tillsynsbegäran.docx", "A 54573-2025")</f>
        <v/>
      </c>
      <c r="AD238">
        <f>HYPERLINK("https://klasma.github.io/Logging_2313/tillsynsmail/A 54573-2025 tillsynsbegäran mail.docx", "A 54573-2025")</f>
        <v/>
      </c>
    </row>
    <row r="239" ht="15" customHeight="1">
      <c r="A239" t="inlineStr">
        <is>
          <t>A 54067-2025</t>
        </is>
      </c>
      <c r="B239" t="inlineStr">
        <is>
          <t>avverkningsanmälan</t>
        </is>
      </c>
      <c r="C239" t="inlineStr">
        <is>
          <t>Föryngringsavverkning</t>
        </is>
      </c>
      <c r="D239" s="1" t="n">
        <v>45964</v>
      </c>
      <c r="E239" s="1" t="n">
        <v>46318</v>
      </c>
      <c r="F239" t="inlineStr">
        <is>
          <t>JÄMTLANDS LÄN</t>
        </is>
      </c>
      <c r="G239" t="inlineStr">
        <is>
          <t>STRÖMSUND</t>
        </is>
      </c>
      <c r="H239" t="inlineStr">
        <is>
          <t>SCA</t>
        </is>
      </c>
      <c r="I239" t="n">
        <v>9</v>
      </c>
      <c r="J239" t="n">
        <v>1</v>
      </c>
      <c r="K239" t="n">
        <v>1</v>
      </c>
      <c r="L239" t="n">
        <v>1</v>
      </c>
      <c r="M239" t="n">
        <v>0</v>
      </c>
      <c r="N239" t="n">
        <v>0</v>
      </c>
      <c r="O239" t="n">
        <v>0</v>
      </c>
      <c r="P239" t="n">
        <v>0</v>
      </c>
      <c r="Q239" t="n">
        <v>1</v>
      </c>
      <c r="R239" t="n">
        <v>0</v>
      </c>
      <c r="S239" t="n">
        <v>2</v>
      </c>
      <c r="T239" t="n">
        <v>2</v>
      </c>
      <c r="U239" t="n">
        <v>1</v>
      </c>
      <c r="V239" s="2" t="inlineStr">
        <is>
          <t>Tretåig hackspett
Vedticka</t>
        </is>
      </c>
      <c r="W239">
        <f>HYPERLINK("https://klasma.github.io/Logging_2313/artfynd/A 54067-2025 artfynd.xlsx", "A 54067-2025")</f>
        <v/>
      </c>
      <c r="X239">
        <f>HYPERLINK("https://klasma.github.io/Logging_2313/kartor/A 54067-2025 karta.png", "A 54067-2025")</f>
        <v/>
      </c>
      <c r="Y239">
        <f>HYPERLINK("https://klasma.github.io/Logging_2313/kartor_geotiff/A 54067-2025 georefererad karta.tif", "A 54067-2025")</f>
        <v/>
      </c>
      <c r="AA239">
        <f>HYPERLINK("https://klasma.github.io/Logging_2313/klagomål/A 54067-2025 FSC-klagomål.docx", "A 54067-2025")</f>
        <v/>
      </c>
      <c r="AB239">
        <f>HYPERLINK("https://klasma.github.io/Logging_2313/klagomålsmail/A 54067-2025 FSC-klagomål mail.docx", "A 54067-2025")</f>
        <v/>
      </c>
      <c r="AC239">
        <f>HYPERLINK("https://klasma.github.io/Logging_2313/tillsyn/A 54067-2025 tillsynsbegäran.docx", "A 54067-2025")</f>
        <v/>
      </c>
      <c r="AD239">
        <f>HYPERLINK("https://klasma.github.io/Logging_2313/tillsynsmail/A 54067-2025 tillsynsbegäran mail.docx", "A 54067-2025")</f>
        <v/>
      </c>
      <c r="AE239">
        <f>HYPERLINK("https://klasma.github.io/Logging_2313/fåglar/A 54067-2025 prioriterade fågelarter.docx", "A 54067-2025")</f>
        <v/>
      </c>
    </row>
    <row r="240" ht="15" customHeight="1">
      <c r="A240" t="inlineStr">
        <is>
          <t>A 38281-2024</t>
        </is>
      </c>
      <c r="B240" t="inlineStr">
        <is>
          <t>avverkningsanmälan</t>
        </is>
      </c>
      <c r="C240" t="inlineStr">
        <is>
          <t>Föryngringsavverkning</t>
        </is>
      </c>
      <c r="D240" s="1" t="n">
        <v>45545</v>
      </c>
      <c r="E240" s="1" t="n">
        <v>46318</v>
      </c>
      <c r="F240" t="inlineStr">
        <is>
          <t>JÄMTLANDS LÄN</t>
        </is>
      </c>
      <c r="G240" t="inlineStr">
        <is>
          <t>STRÖMSUND</t>
        </is>
      </c>
      <c r="H240" t="inlineStr">
        <is>
          <t>SCA</t>
        </is>
      </c>
      <c r="I240" t="n">
        <v>1.7</v>
      </c>
      <c r="J240" t="n">
        <v>0</v>
      </c>
      <c r="K240" t="n">
        <v>0</v>
      </c>
      <c r="L240" t="n">
        <v>2</v>
      </c>
      <c r="M240" t="n">
        <v>0</v>
      </c>
      <c r="N240" t="n">
        <v>0</v>
      </c>
      <c r="O240" t="n">
        <v>0</v>
      </c>
      <c r="P240" t="n">
        <v>0</v>
      </c>
      <c r="Q240" t="n">
        <v>2</v>
      </c>
      <c r="R240" t="n">
        <v>0</v>
      </c>
      <c r="S240" t="n">
        <v>2</v>
      </c>
      <c r="T240" t="n">
        <v>2</v>
      </c>
      <c r="U240" t="n">
        <v>0</v>
      </c>
      <c r="V240" s="2" t="inlineStr">
        <is>
          <t>Lunglav
Skrovellav</t>
        </is>
      </c>
      <c r="W240">
        <f>HYPERLINK("https://klasma.github.io/Logging_2313/artfynd/A 38281-2024 artfynd.xlsx", "A 38281-2024")</f>
        <v/>
      </c>
      <c r="X240">
        <f>HYPERLINK("https://klasma.github.io/Logging_2313/kartor/A 38281-2024 karta.png", "A 38281-2024")</f>
        <v/>
      </c>
      <c r="Y240">
        <f>HYPERLINK("https://klasma.github.io/Logging_2313/kartor_geotiff/A 38281-2024 georefererad karta.tif", "A 38281-2024")</f>
        <v/>
      </c>
      <c r="AA240">
        <f>HYPERLINK("https://klasma.github.io/Logging_2313/klagomål/A 38281-2024 FSC-klagomål.docx", "A 38281-2024")</f>
        <v/>
      </c>
      <c r="AB240">
        <f>HYPERLINK("https://klasma.github.io/Logging_2313/klagomålsmail/A 38281-2024 FSC-klagomål mail.docx", "A 38281-2024")</f>
        <v/>
      </c>
      <c r="AC240">
        <f>HYPERLINK("https://klasma.github.io/Logging_2313/tillsyn/A 38281-2024 tillsynsbegäran.docx", "A 38281-2024")</f>
        <v/>
      </c>
      <c r="AD240">
        <f>HYPERLINK("https://klasma.github.io/Logging_2313/tillsynsmail/A 38281-2024 tillsynsbegäran mail.docx", "A 38281-2024")</f>
        <v/>
      </c>
    </row>
    <row r="241" ht="15" customHeight="1">
      <c r="A241" t="inlineStr">
        <is>
          <t>A 54663-2025</t>
        </is>
      </c>
      <c r="B241" t="inlineStr">
        <is>
          <t>avverkningsanmälan</t>
        </is>
      </c>
      <c r="C241" t="inlineStr">
        <is>
          <t>Föryngringsavverkning</t>
        </is>
      </c>
      <c r="D241" s="1" t="n">
        <v>45966</v>
      </c>
      <c r="E241" s="1" t="n">
        <v>46318</v>
      </c>
      <c r="F241" t="inlineStr">
        <is>
          <t>JÄMTLANDS LÄN</t>
        </is>
      </c>
      <c r="G241" t="inlineStr">
        <is>
          <t>STRÖMSUND</t>
        </is>
      </c>
      <c r="H241" t="inlineStr">
        <is>
          <t>SCA</t>
        </is>
      </c>
      <c r="I241" t="n">
        <v>6.9</v>
      </c>
      <c r="J241" t="n">
        <v>0</v>
      </c>
      <c r="K241" t="n">
        <v>0</v>
      </c>
      <c r="L241" t="n">
        <v>2</v>
      </c>
      <c r="M241" t="n">
        <v>0</v>
      </c>
      <c r="N241" t="n">
        <v>0</v>
      </c>
      <c r="O241" t="n">
        <v>0</v>
      </c>
      <c r="P241" t="n">
        <v>0</v>
      </c>
      <c r="Q241" t="n">
        <v>2</v>
      </c>
      <c r="R241" t="n">
        <v>0</v>
      </c>
      <c r="S241" t="n">
        <v>2</v>
      </c>
      <c r="T241" t="n">
        <v>3</v>
      </c>
      <c r="U241" t="n">
        <v>0</v>
      </c>
      <c r="V241" s="2" t="inlineStr">
        <is>
          <t>Harticka
Ullticka</t>
        </is>
      </c>
      <c r="W241">
        <f>HYPERLINK("https://klasma.github.io/Logging_2313/artfynd/A 54663-2025 artfynd.xlsx", "A 54663-2025")</f>
        <v/>
      </c>
      <c r="X241">
        <f>HYPERLINK("https://klasma.github.io/Logging_2313/kartor/A 54663-2025 karta.png", "A 54663-2025")</f>
        <v/>
      </c>
      <c r="Y241">
        <f>HYPERLINK("https://klasma.github.io/Logging_2313/kartor_geotiff/A 54663-2025 georefererad karta.tif", "A 54663-2025")</f>
        <v/>
      </c>
      <c r="AA241">
        <f>HYPERLINK("https://klasma.github.io/Logging_2313/klagomål/A 54663-2025 FSC-klagomål.docx", "A 54663-2025")</f>
        <v/>
      </c>
      <c r="AB241">
        <f>HYPERLINK("https://klasma.github.io/Logging_2313/klagomålsmail/A 54663-2025 FSC-klagomål mail.docx", "A 54663-2025")</f>
        <v/>
      </c>
      <c r="AC241">
        <f>HYPERLINK("https://klasma.github.io/Logging_2313/tillsyn/A 54663-2025 tillsynsbegäran.docx", "A 54663-2025")</f>
        <v/>
      </c>
      <c r="AD241">
        <f>HYPERLINK("https://klasma.github.io/Logging_2313/tillsynsmail/A 54663-2025 tillsynsbegäran mail.docx", "A 54663-2025")</f>
        <v/>
      </c>
    </row>
    <row r="242" ht="15" customHeight="1">
      <c r="A242" t="inlineStr">
        <is>
          <t>A 58239-2025</t>
        </is>
      </c>
      <c r="B242" t="inlineStr">
        <is>
          <t>avverkningsanmälan</t>
        </is>
      </c>
      <c r="C242" t="inlineStr">
        <is>
          <t>Föryngringsavverkning</t>
        </is>
      </c>
      <c r="D242" s="1" t="n">
        <v>45985</v>
      </c>
      <c r="E242" s="1" t="n">
        <v>46318</v>
      </c>
      <c r="F242" t="inlineStr">
        <is>
          <t>JÄMTLANDS LÄN</t>
        </is>
      </c>
      <c r="G242" t="inlineStr">
        <is>
          <t>STRÖMSUND</t>
        </is>
      </c>
      <c r="H242" t="inlineStr">
        <is>
          <t>SCA</t>
        </is>
      </c>
      <c r="I242" t="n">
        <v>1.3</v>
      </c>
      <c r="J242" t="n">
        <v>0</v>
      </c>
      <c r="K242" t="n">
        <v>0</v>
      </c>
      <c r="L242" t="n">
        <v>1</v>
      </c>
      <c r="M242" t="n">
        <v>1</v>
      </c>
      <c r="N242" t="n">
        <v>0</v>
      </c>
      <c r="O242" t="n">
        <v>0</v>
      </c>
      <c r="P242" t="n">
        <v>0</v>
      </c>
      <c r="Q242" t="n">
        <v>2</v>
      </c>
      <c r="R242" t="n">
        <v>1</v>
      </c>
      <c r="S242" t="n">
        <v>2</v>
      </c>
      <c r="T242" t="n">
        <v>2</v>
      </c>
      <c r="U242" t="n">
        <v>0</v>
      </c>
      <c r="V242" s="2" t="inlineStr">
        <is>
          <t>Garnlav
Gammelgransskål</t>
        </is>
      </c>
      <c r="W242">
        <f>HYPERLINK("https://klasma.github.io/Logging_2313/artfynd/A 58239-2025 artfynd.xlsx", "A 58239-2025")</f>
        <v/>
      </c>
      <c r="X242">
        <f>HYPERLINK("https://klasma.github.io/Logging_2313/kartor/A 58239-2025 karta.png", "A 58239-2025")</f>
        <v/>
      </c>
      <c r="Y242">
        <f>HYPERLINK("https://klasma.github.io/Logging_2313/kartor_geotiff/A 58239-2025 georefererad karta.tif", "A 58239-2025")</f>
        <v/>
      </c>
      <c r="AA242">
        <f>HYPERLINK("https://klasma.github.io/Logging_2313/klagomål/A 58239-2025 FSC-klagomål.docx", "A 58239-2025")</f>
        <v/>
      </c>
      <c r="AB242">
        <f>HYPERLINK("https://klasma.github.io/Logging_2313/klagomålsmail/A 58239-2025 FSC-klagomål mail.docx", "A 58239-2025")</f>
        <v/>
      </c>
      <c r="AC242">
        <f>HYPERLINK("https://klasma.github.io/Logging_2313/tillsyn/A 58239-2025 tillsynsbegäran.docx", "A 58239-2025")</f>
        <v/>
      </c>
      <c r="AD242">
        <f>HYPERLINK("https://klasma.github.io/Logging_2313/tillsynsmail/A 58239-2025 tillsynsbegäran mail.docx", "A 58239-2025")</f>
        <v/>
      </c>
    </row>
    <row r="243" ht="15" customHeight="1">
      <c r="A243" t="inlineStr">
        <is>
          <t>A 58696-2025</t>
        </is>
      </c>
      <c r="B243" t="inlineStr">
        <is>
          <t>avverkningsanmälan</t>
        </is>
      </c>
      <c r="C243" t="inlineStr">
        <is>
          <t>Avverkning för annat ändamål</t>
        </is>
      </c>
      <c r="D243" s="1" t="n">
        <v>45986</v>
      </c>
      <c r="E243" s="1" t="n">
        <v>46318</v>
      </c>
      <c r="F243" t="inlineStr">
        <is>
          <t>JÄMTLANDS LÄN</t>
        </is>
      </c>
      <c r="G243" t="inlineStr">
        <is>
          <t>STRÖMSUND</t>
        </is>
      </c>
      <c r="I243" t="n">
        <v>1.3</v>
      </c>
      <c r="J243" t="n">
        <v>2</v>
      </c>
      <c r="K243" t="n">
        <v>0</v>
      </c>
      <c r="L243" t="n">
        <v>1</v>
      </c>
      <c r="M243" t="n">
        <v>0</v>
      </c>
      <c r="N243" t="n">
        <v>0</v>
      </c>
      <c r="O243" t="n">
        <v>0</v>
      </c>
      <c r="P243" t="n">
        <v>0</v>
      </c>
      <c r="Q243" t="n">
        <v>1</v>
      </c>
      <c r="R243" t="n">
        <v>0</v>
      </c>
      <c r="S243" t="n">
        <v>2</v>
      </c>
      <c r="T243" t="n">
        <v>2</v>
      </c>
      <c r="U243" t="n">
        <v>0</v>
      </c>
      <c r="V243" s="2" t="inlineStr">
        <is>
          <t>Tretåig hackspett
Spillkråka</t>
        </is>
      </c>
      <c r="W243">
        <f>HYPERLINK("https://klasma.github.io/Logging_2313/artfynd/A 58696-2025 artfynd.xlsx", "A 58696-2025")</f>
        <v/>
      </c>
      <c r="X243">
        <f>HYPERLINK("https://klasma.github.io/Logging_2313/kartor/A 58696-2025 karta.png", "A 58696-2025")</f>
        <v/>
      </c>
      <c r="Y243">
        <f>HYPERLINK("https://klasma.github.io/Logging_2313/kartor_geotiff/A 58696-2025 georefererad karta.tif", "A 58696-2025")</f>
        <v/>
      </c>
      <c r="AA243">
        <f>HYPERLINK("https://klasma.github.io/Logging_2313/klagomål/A 58696-2025 FSC-klagomål.docx", "A 58696-2025")</f>
        <v/>
      </c>
      <c r="AB243">
        <f>HYPERLINK("https://klasma.github.io/Logging_2313/klagomålsmail/A 58696-2025 FSC-klagomål mail.docx", "A 58696-2025")</f>
        <v/>
      </c>
      <c r="AC243">
        <f>HYPERLINK("https://klasma.github.io/Logging_2313/tillsyn/A 58696-2025 tillsynsbegäran.docx", "A 58696-2025")</f>
        <v/>
      </c>
      <c r="AD243">
        <f>HYPERLINK("https://klasma.github.io/Logging_2313/tillsynsmail/A 58696-2025 tillsynsbegäran mail.docx", "A 58696-2025")</f>
        <v/>
      </c>
      <c r="AE243">
        <f>HYPERLINK("https://klasma.github.io/Logging_2313/fåglar/A 58696-2025 prioriterade fågelarter.docx", "A 58696-2025")</f>
        <v/>
      </c>
    </row>
    <row r="244" ht="15" customHeight="1">
      <c r="A244" t="inlineStr">
        <is>
          <t>A 21997-2026</t>
        </is>
      </c>
      <c r="B244" t="inlineStr">
        <is>
          <t>avverkningsanmälan</t>
        </is>
      </c>
      <c r="C244" t="inlineStr">
        <is>
          <t>Föryngringsavverkning</t>
        </is>
      </c>
      <c r="D244" s="1" t="n">
        <v>46153</v>
      </c>
      <c r="E244" s="1" t="n">
        <v>46318</v>
      </c>
      <c r="F244" t="inlineStr">
        <is>
          <t>JÄMTLANDS LÄN</t>
        </is>
      </c>
      <c r="G244" t="inlineStr">
        <is>
          <t>STRÖMSUND</t>
        </is>
      </c>
      <c r="H244" t="inlineStr">
        <is>
          <t>Holmen skog AB</t>
        </is>
      </c>
      <c r="I244" t="n">
        <v>10.3</v>
      </c>
      <c r="J244" t="n">
        <v>0</v>
      </c>
      <c r="K244" t="n">
        <v>0</v>
      </c>
      <c r="L244" t="n">
        <v>2</v>
      </c>
      <c r="M244" t="n">
        <v>0</v>
      </c>
      <c r="N244" t="n">
        <v>0</v>
      </c>
      <c r="O244" t="n">
        <v>0</v>
      </c>
      <c r="P244" t="n">
        <v>0</v>
      </c>
      <c r="Q244" t="n">
        <v>2</v>
      </c>
      <c r="R244" t="n">
        <v>0</v>
      </c>
      <c r="S244" t="n">
        <v>2</v>
      </c>
      <c r="T244" t="n">
        <v>2</v>
      </c>
      <c r="U244" t="n">
        <v>0</v>
      </c>
      <c r="V244" s="2" t="inlineStr">
        <is>
          <t>Kolflarnlav
Reliktbock</t>
        </is>
      </c>
      <c r="W244">
        <f>HYPERLINK("https://klasma.github.io/Logging_2313/artfynd/A 21997-2026 artfynd.xlsx", "A 21997-2026")</f>
        <v/>
      </c>
      <c r="X244">
        <f>HYPERLINK("https://klasma.github.io/Logging_2313/kartor/A 21997-2026 karta.png", "A 21997-2026")</f>
        <v/>
      </c>
      <c r="Y244">
        <f>HYPERLINK("https://klasma.github.io/Logging_2313/kartor_geotiff/A 21997-2026 georefererad karta.tif", "A 21997-2026")</f>
        <v/>
      </c>
      <c r="AA244">
        <f>HYPERLINK("https://klasma.github.io/Logging_2313/klagomål/A 21997-2026 FSC-klagomål.docx", "A 21997-2026")</f>
        <v/>
      </c>
      <c r="AB244">
        <f>HYPERLINK("https://klasma.github.io/Logging_2313/klagomålsmail/A 21997-2026 FSC-klagomål mail.docx", "A 21997-2026")</f>
        <v/>
      </c>
      <c r="AC244">
        <f>HYPERLINK("https://klasma.github.io/Logging_2313/tillsyn/A 21997-2026 tillsynsbegäran.docx", "A 21997-2026")</f>
        <v/>
      </c>
      <c r="AD244">
        <f>HYPERLINK("https://klasma.github.io/Logging_2313/tillsynsmail/A 21997-2026 tillsynsbegäran mail.docx", "A 21997-2026")</f>
        <v/>
      </c>
    </row>
    <row r="245" ht="15" customHeight="1">
      <c r="A245" t="inlineStr">
        <is>
          <t>A 58391-2024</t>
        </is>
      </c>
      <c r="B245" t="inlineStr">
        <is>
          <t>avverkningsanmälan</t>
        </is>
      </c>
      <c r="C245" t="inlineStr">
        <is>
          <t>Avverkning för annat ändamål</t>
        </is>
      </c>
      <c r="D245" s="1" t="n">
        <v>45633</v>
      </c>
      <c r="E245" s="1" t="n">
        <v>46318</v>
      </c>
      <c r="F245" t="inlineStr">
        <is>
          <t>JÄMTLANDS LÄN</t>
        </is>
      </c>
      <c r="G245" t="inlineStr">
        <is>
          <t>STRÖMSUND</t>
        </is>
      </c>
      <c r="I245" t="n">
        <v>14.7</v>
      </c>
      <c r="J245" t="n">
        <v>0</v>
      </c>
      <c r="K245" t="n">
        <v>0</v>
      </c>
      <c r="L245" t="n">
        <v>2</v>
      </c>
      <c r="M245" t="n">
        <v>0</v>
      </c>
      <c r="N245" t="n">
        <v>0</v>
      </c>
      <c r="O245" t="n">
        <v>0</v>
      </c>
      <c r="P245" t="n">
        <v>0</v>
      </c>
      <c r="Q245" t="n">
        <v>2</v>
      </c>
      <c r="R245" t="n">
        <v>0</v>
      </c>
      <c r="S245" t="n">
        <v>2</v>
      </c>
      <c r="T245" t="n">
        <v>2</v>
      </c>
      <c r="U245" t="n">
        <v>2</v>
      </c>
      <c r="V245" s="2" t="inlineStr">
        <is>
          <t>Lunglav
Violmussling</t>
        </is>
      </c>
      <c r="W245">
        <f>HYPERLINK("https://klasma.github.io/Logging_2313/artfynd/A 58391-2024 artfynd.xlsx", "A 58391-2024")</f>
        <v/>
      </c>
      <c r="X245">
        <f>HYPERLINK("https://klasma.github.io/Logging_2313/kartor/A 58391-2024 karta.png", "A 58391-2024")</f>
        <v/>
      </c>
      <c r="Y245">
        <f>HYPERLINK("https://klasma.github.io/Logging_2313/kartor_geotiff/A 58391-2024 georefererad karta.tif", "A 58391-2024")</f>
        <v/>
      </c>
      <c r="AA245">
        <f>HYPERLINK("https://klasma.github.io/Logging_2313/klagomål/A 58391-2024 FSC-klagomål.docx", "A 58391-2024")</f>
        <v/>
      </c>
      <c r="AB245">
        <f>HYPERLINK("https://klasma.github.io/Logging_2313/klagomålsmail/A 58391-2024 FSC-klagomål mail.docx", "A 58391-2024")</f>
        <v/>
      </c>
      <c r="AC245">
        <f>HYPERLINK("https://klasma.github.io/Logging_2313/tillsyn/A 58391-2024 tillsynsbegäran.docx", "A 58391-2024")</f>
        <v/>
      </c>
      <c r="AD245">
        <f>HYPERLINK("https://klasma.github.io/Logging_2313/tillsynsmail/A 58391-2024 tillsynsbegäran mail.docx", "A 58391-2024")</f>
        <v/>
      </c>
    </row>
    <row r="246" ht="15" customHeight="1">
      <c r="A246" t="inlineStr">
        <is>
          <t>A 32100-2025</t>
        </is>
      </c>
      <c r="B246" t="inlineStr">
        <is>
          <t>avverkningsanmälan</t>
        </is>
      </c>
      <c r="C246" t="inlineStr">
        <is>
          <t>Föryngringsavverkning</t>
        </is>
      </c>
      <c r="D246" s="1" t="n">
        <v>45835</v>
      </c>
      <c r="E246" s="1" t="n">
        <v>46318</v>
      </c>
      <c r="F246" t="inlineStr">
        <is>
          <t>JÄMTLANDS LÄN</t>
        </is>
      </c>
      <c r="G246" t="inlineStr">
        <is>
          <t>STRÖMSUND</t>
        </is>
      </c>
      <c r="H246" t="inlineStr">
        <is>
          <t>Holmen skog AB</t>
        </is>
      </c>
      <c r="I246" t="n">
        <v>2.2</v>
      </c>
      <c r="J246" t="n">
        <v>0</v>
      </c>
      <c r="K246" t="n">
        <v>1</v>
      </c>
      <c r="L246" t="n">
        <v>1</v>
      </c>
      <c r="M246" t="n">
        <v>0</v>
      </c>
      <c r="N246" t="n">
        <v>0</v>
      </c>
      <c r="O246" t="n">
        <v>0</v>
      </c>
      <c r="P246" t="n">
        <v>0</v>
      </c>
      <c r="Q246" t="n">
        <v>1</v>
      </c>
      <c r="R246" t="n">
        <v>0</v>
      </c>
      <c r="S246" t="n">
        <v>2</v>
      </c>
      <c r="T246" t="n">
        <v>2</v>
      </c>
      <c r="U246" t="n">
        <v>2</v>
      </c>
      <c r="V246" s="2" t="inlineStr">
        <is>
          <t>Skrovellav
Stuplav</t>
        </is>
      </c>
      <c r="W246">
        <f>HYPERLINK("https://klasma.github.io/Logging_2313/artfynd/A 32100-2025 artfynd.xlsx", "A 32100-2025")</f>
        <v/>
      </c>
      <c r="X246">
        <f>HYPERLINK("https://klasma.github.io/Logging_2313/kartor/A 32100-2025 karta.png", "A 32100-2025")</f>
        <v/>
      </c>
      <c r="Y246">
        <f>HYPERLINK("https://klasma.github.io/Logging_2313/kartor_geotiff/A 32100-2025 georefererad karta.tif", "A 32100-2025")</f>
        <v/>
      </c>
      <c r="AA246">
        <f>HYPERLINK("https://klasma.github.io/Logging_2313/klagomål/A 32100-2025 FSC-klagomål.docx", "A 32100-2025")</f>
        <v/>
      </c>
      <c r="AB246">
        <f>HYPERLINK("https://klasma.github.io/Logging_2313/klagomålsmail/A 32100-2025 FSC-klagomål mail.docx", "A 32100-2025")</f>
        <v/>
      </c>
      <c r="AC246">
        <f>HYPERLINK("https://klasma.github.io/Logging_2313/tillsyn/A 32100-2025 tillsynsbegäran.docx", "A 32100-2025")</f>
        <v/>
      </c>
      <c r="AD246">
        <f>HYPERLINK("https://klasma.github.io/Logging_2313/tillsynsmail/A 32100-2025 tillsynsbegäran mail.docx", "A 32100-2025")</f>
        <v/>
      </c>
    </row>
    <row r="247" ht="15" customHeight="1">
      <c r="A247" t="inlineStr">
        <is>
          <t>A 37566-2024</t>
        </is>
      </c>
      <c r="B247" t="inlineStr">
        <is>
          <t>avverkningsanmälan</t>
        </is>
      </c>
      <c r="C247" t="inlineStr">
        <is>
          <t>Föryngringsavverkning</t>
        </is>
      </c>
      <c r="D247" s="1" t="n">
        <v>45541</v>
      </c>
      <c r="E247" s="1" t="n">
        <v>46318</v>
      </c>
      <c r="F247" t="inlineStr">
        <is>
          <t>JÄMTLANDS LÄN</t>
        </is>
      </c>
      <c r="G247" t="inlineStr">
        <is>
          <t>STRÖMSUND</t>
        </is>
      </c>
      <c r="H247" t="inlineStr">
        <is>
          <t>SCA</t>
        </is>
      </c>
      <c r="I247" t="n">
        <v>1.5</v>
      </c>
      <c r="J247" t="n">
        <v>1</v>
      </c>
      <c r="K247" t="n">
        <v>0</v>
      </c>
      <c r="L247" t="n">
        <v>0</v>
      </c>
      <c r="M247" t="n">
        <v>1</v>
      </c>
      <c r="N247" t="n">
        <v>0</v>
      </c>
      <c r="O247" t="n">
        <v>0</v>
      </c>
      <c r="P247" t="n">
        <v>0</v>
      </c>
      <c r="Q247" t="n">
        <v>1</v>
      </c>
      <c r="R247" t="n">
        <v>1</v>
      </c>
      <c r="S247" t="n">
        <v>2</v>
      </c>
      <c r="T247" t="n">
        <v>2</v>
      </c>
      <c r="U247" t="n">
        <v>2</v>
      </c>
      <c r="V247" s="2" t="inlineStr">
        <is>
          <t>Ängsblåvinge
Ängsnycklar</t>
        </is>
      </c>
      <c r="W247">
        <f>HYPERLINK("https://klasma.github.io/Logging_2313/artfynd/A 37566-2024 artfynd.xlsx", "A 37566-2024")</f>
        <v/>
      </c>
      <c r="X247">
        <f>HYPERLINK("https://klasma.github.io/Logging_2313/kartor/A 37566-2024 karta.png", "A 37566-2024")</f>
        <v/>
      </c>
      <c r="Y247">
        <f>HYPERLINK("https://klasma.github.io/Logging_2313/kartor_geotiff/A 37566-2024 georefererad karta.tif", "A 37566-2024")</f>
        <v/>
      </c>
      <c r="AA247">
        <f>HYPERLINK("https://klasma.github.io/Logging_2313/klagomål/A 37566-2024 FSC-klagomål.docx", "A 37566-2024")</f>
        <v/>
      </c>
      <c r="AB247">
        <f>HYPERLINK("https://klasma.github.io/Logging_2313/klagomålsmail/A 37566-2024 FSC-klagomål mail.docx", "A 37566-2024")</f>
        <v/>
      </c>
      <c r="AC247">
        <f>HYPERLINK("https://klasma.github.io/Logging_2313/tillsyn/A 37566-2024 tillsynsbegäran.docx", "A 37566-2024")</f>
        <v/>
      </c>
      <c r="AD247">
        <f>HYPERLINK("https://klasma.github.io/Logging_2313/tillsynsmail/A 37566-2024 tillsynsbegäran mail.docx", "A 37566-2024")</f>
        <v/>
      </c>
    </row>
    <row r="248" ht="15" customHeight="1">
      <c r="A248" t="inlineStr">
        <is>
          <t>A 23723-2026</t>
        </is>
      </c>
      <c r="B248" t="inlineStr">
        <is>
          <t>avverkningsanmälan</t>
        </is>
      </c>
      <c r="C248" t="inlineStr">
        <is>
          <t>Föryngringsavverkning</t>
        </is>
      </c>
      <c r="D248" s="1" t="n">
        <v>46164</v>
      </c>
      <c r="E248" s="1" t="n">
        <v>46318</v>
      </c>
      <c r="F248" t="inlineStr">
        <is>
          <t>JÄMTLANDS LÄN</t>
        </is>
      </c>
      <c r="G248" t="inlineStr">
        <is>
          <t>STRÖMSUND</t>
        </is>
      </c>
      <c r="H248" t="inlineStr">
        <is>
          <t>SCA</t>
        </is>
      </c>
      <c r="I248" t="n">
        <v>1.6</v>
      </c>
      <c r="J248" t="n">
        <v>0</v>
      </c>
      <c r="K248" t="n">
        <v>0</v>
      </c>
      <c r="L248" t="n">
        <v>1</v>
      </c>
      <c r="M248" t="n">
        <v>1</v>
      </c>
      <c r="N248" t="n">
        <v>0</v>
      </c>
      <c r="O248" t="n">
        <v>0</v>
      </c>
      <c r="P248" t="n">
        <v>0</v>
      </c>
      <c r="Q248" t="n">
        <v>2</v>
      </c>
      <c r="R248" t="n">
        <v>1</v>
      </c>
      <c r="S248" t="n">
        <v>2</v>
      </c>
      <c r="T248" t="n">
        <v>2</v>
      </c>
      <c r="U248" t="n">
        <v>0</v>
      </c>
      <c r="V248" s="2" t="inlineStr">
        <is>
          <t>Gräddporing
Dropptaggsvamp</t>
        </is>
      </c>
      <c r="W248">
        <f>HYPERLINK("https://klasma.github.io/Logging_2313/artfynd/A 23723-2026 artfynd.xlsx", "A 23723-2026")</f>
        <v/>
      </c>
      <c r="X248">
        <f>HYPERLINK("https://klasma.github.io/Logging_2313/kartor/A 23723-2026 karta.png", "A 23723-2026")</f>
        <v/>
      </c>
      <c r="Y248">
        <f>HYPERLINK("https://klasma.github.io/Logging_2313/kartor_geotiff/A 23723-2026 georefererad karta.tif", "A 23723-2026")</f>
        <v/>
      </c>
      <c r="AA248">
        <f>HYPERLINK("https://klasma.github.io/Logging_2313/klagomål/A 23723-2026 FSC-klagomål.docx", "A 23723-2026")</f>
        <v/>
      </c>
      <c r="AB248">
        <f>HYPERLINK("https://klasma.github.io/Logging_2313/klagomålsmail/A 23723-2026 FSC-klagomål mail.docx", "A 23723-2026")</f>
        <v/>
      </c>
      <c r="AC248">
        <f>HYPERLINK("https://klasma.github.io/Logging_2313/tillsyn/A 23723-2026 tillsynsbegäran.docx", "A 23723-2026")</f>
        <v/>
      </c>
      <c r="AD248">
        <f>HYPERLINK("https://klasma.github.io/Logging_2313/tillsynsmail/A 23723-2026 tillsynsbegäran mail.docx", "A 23723-2026")</f>
        <v/>
      </c>
    </row>
    <row r="249" ht="15" customHeight="1">
      <c r="A249" t="inlineStr">
        <is>
          <t>A 20781-2024</t>
        </is>
      </c>
      <c r="B249" t="inlineStr">
        <is>
          <t>avverkningsanmälan</t>
        </is>
      </c>
      <c r="C249" t="inlineStr">
        <is>
          <t>Avverkning för att bevara och utveckla /försöksver</t>
        </is>
      </c>
      <c r="D249" s="1" t="n">
        <v>45436</v>
      </c>
      <c r="E249" s="1" t="n">
        <v>46318</v>
      </c>
      <c r="F249" t="inlineStr">
        <is>
          <t>JÄMTLANDS LÄN</t>
        </is>
      </c>
      <c r="G249" t="inlineStr">
        <is>
          <t>STRÖMSUND</t>
        </is>
      </c>
      <c r="H249" t="inlineStr">
        <is>
          <t>SCA</t>
        </is>
      </c>
      <c r="I249" t="n">
        <v>3</v>
      </c>
      <c r="J249" t="n">
        <v>1</v>
      </c>
      <c r="K249" t="n">
        <v>0</v>
      </c>
      <c r="L249" t="n">
        <v>1</v>
      </c>
      <c r="M249" t="n">
        <v>0</v>
      </c>
      <c r="N249" t="n">
        <v>1</v>
      </c>
      <c r="O249" t="n">
        <v>0</v>
      </c>
      <c r="P249" t="n">
        <v>0</v>
      </c>
      <c r="Q249" t="n">
        <v>2</v>
      </c>
      <c r="R249" t="n">
        <v>1</v>
      </c>
      <c r="S249" t="n">
        <v>2</v>
      </c>
      <c r="T249" t="n">
        <v>2</v>
      </c>
      <c r="U249" t="n">
        <v>2</v>
      </c>
      <c r="V249" s="2" t="inlineStr">
        <is>
          <t>Storspov
Majviva</t>
        </is>
      </c>
      <c r="W249">
        <f>HYPERLINK("https://klasma.github.io/Logging_2313/artfynd/A 20781-2024 artfynd.xlsx", "A 20781-2024")</f>
        <v/>
      </c>
      <c r="X249">
        <f>HYPERLINK("https://klasma.github.io/Logging_2313/kartor/A 20781-2024 karta.png", "A 20781-2024")</f>
        <v/>
      </c>
      <c r="Y249">
        <f>HYPERLINK("https://klasma.github.io/Logging_2313/kartor_geotiff/A 20781-2024 georefererad karta.tif", "A 20781-2024")</f>
        <v/>
      </c>
      <c r="AA249">
        <f>HYPERLINK("https://klasma.github.io/Logging_2313/klagomål/A 20781-2024 FSC-klagomål.docx", "A 20781-2024")</f>
        <v/>
      </c>
      <c r="AB249">
        <f>HYPERLINK("https://klasma.github.io/Logging_2313/klagomålsmail/A 20781-2024 FSC-klagomål mail.docx", "A 20781-2024")</f>
        <v/>
      </c>
      <c r="AC249">
        <f>HYPERLINK("https://klasma.github.io/Logging_2313/tillsyn/A 20781-2024 tillsynsbegäran.docx", "A 20781-2024")</f>
        <v/>
      </c>
      <c r="AD249">
        <f>HYPERLINK("https://klasma.github.io/Logging_2313/tillsynsmail/A 20781-2024 tillsynsbegäran mail.docx", "A 20781-2024")</f>
        <v/>
      </c>
    </row>
    <row r="250" ht="15" customHeight="1">
      <c r="A250" t="inlineStr">
        <is>
          <t>A 846-2026</t>
        </is>
      </c>
      <c r="B250" t="inlineStr">
        <is>
          <t>avverkningsanmälan</t>
        </is>
      </c>
      <c r="C250" t="inlineStr">
        <is>
          <t>Föryngringsavverkning</t>
        </is>
      </c>
      <c r="D250" s="1" t="n">
        <v>46030</v>
      </c>
      <c r="E250" s="1" t="n">
        <v>46318</v>
      </c>
      <c r="F250" t="inlineStr">
        <is>
          <t>JÄMTLANDS LÄN</t>
        </is>
      </c>
      <c r="G250" t="inlineStr">
        <is>
          <t>STRÖMSUND</t>
        </is>
      </c>
      <c r="H250" t="inlineStr">
        <is>
          <t>SCA</t>
        </is>
      </c>
      <c r="I250" t="n">
        <v>5.7</v>
      </c>
      <c r="J250" t="n">
        <v>0</v>
      </c>
      <c r="K250" t="n">
        <v>0</v>
      </c>
      <c r="L250" t="n">
        <v>2</v>
      </c>
      <c r="M250" t="n">
        <v>0</v>
      </c>
      <c r="N250" t="n">
        <v>0</v>
      </c>
      <c r="O250" t="n">
        <v>0</v>
      </c>
      <c r="P250" t="n">
        <v>0</v>
      </c>
      <c r="Q250" t="n">
        <v>2</v>
      </c>
      <c r="R250" t="n">
        <v>0</v>
      </c>
      <c r="S250" t="n">
        <v>2</v>
      </c>
      <c r="T250" t="n">
        <v>2</v>
      </c>
      <c r="U250" t="n">
        <v>0</v>
      </c>
      <c r="V250" s="2" t="inlineStr">
        <is>
          <t>Lunglav
Skrovellav</t>
        </is>
      </c>
      <c r="W250">
        <f>HYPERLINK("https://klasma.github.io/Logging_2313/artfynd/A 846-2026 artfynd.xlsx", "A 846-2026")</f>
        <v/>
      </c>
      <c r="X250">
        <f>HYPERLINK("https://klasma.github.io/Logging_2313/kartor/A 846-2026 karta.png", "A 846-2026")</f>
        <v/>
      </c>
      <c r="Y250">
        <f>HYPERLINK("https://klasma.github.io/Logging_2313/kartor_geotiff/A 846-2026 georefererad karta.tif", "A 846-2026")</f>
        <v/>
      </c>
      <c r="AA250">
        <f>HYPERLINK("https://klasma.github.io/Logging_2313/klagomål/A 846-2026 FSC-klagomål.docx", "A 846-2026")</f>
        <v/>
      </c>
      <c r="AB250">
        <f>HYPERLINK("https://klasma.github.io/Logging_2313/klagomålsmail/A 846-2026 FSC-klagomål mail.docx", "A 846-2026")</f>
        <v/>
      </c>
      <c r="AC250">
        <f>HYPERLINK("https://klasma.github.io/Logging_2313/tillsyn/A 846-2026 tillsynsbegäran.docx", "A 846-2026")</f>
        <v/>
      </c>
      <c r="AD250">
        <f>HYPERLINK("https://klasma.github.io/Logging_2313/tillsynsmail/A 846-2026 tillsynsbegäran mail.docx", "A 846-2026")</f>
        <v/>
      </c>
    </row>
    <row r="251" ht="15" customHeight="1">
      <c r="A251" t="inlineStr">
        <is>
          <t>A 30351-2024</t>
        </is>
      </c>
      <c r="B251" t="inlineStr">
        <is>
          <t>avverkningsanmälan</t>
        </is>
      </c>
      <c r="C251" t="inlineStr">
        <is>
          <t>Avverkning för att bevara och utveckla /försöksver</t>
        </is>
      </c>
      <c r="D251" s="1" t="n">
        <v>45490</v>
      </c>
      <c r="E251" s="1" t="n">
        <v>46318</v>
      </c>
      <c r="F251" t="inlineStr">
        <is>
          <t>JÄMTLANDS LÄN</t>
        </is>
      </c>
      <c r="G251" t="inlineStr">
        <is>
          <t>STRÖMSUND</t>
        </is>
      </c>
      <c r="H251" t="inlineStr">
        <is>
          <t>SCA</t>
        </is>
      </c>
      <c r="I251" t="n">
        <v>4.8</v>
      </c>
      <c r="J251" t="n">
        <v>0</v>
      </c>
      <c r="K251" t="n">
        <v>0</v>
      </c>
      <c r="L251" t="n">
        <v>2</v>
      </c>
      <c r="M251" t="n">
        <v>0</v>
      </c>
      <c r="N251" t="n">
        <v>0</v>
      </c>
      <c r="O251" t="n">
        <v>0</v>
      </c>
      <c r="P251" t="n">
        <v>0</v>
      </c>
      <c r="Q251" t="n">
        <v>2</v>
      </c>
      <c r="R251" t="n">
        <v>0</v>
      </c>
      <c r="S251" t="n">
        <v>2</v>
      </c>
      <c r="T251" t="n">
        <v>2</v>
      </c>
      <c r="U251" t="n">
        <v>0</v>
      </c>
      <c r="V251" s="2" t="inlineStr">
        <is>
          <t>Gammelgransskål
Rynkskinn</t>
        </is>
      </c>
      <c r="W251">
        <f>HYPERLINK("https://klasma.github.io/Logging_2313/artfynd/A 30351-2024 artfynd.xlsx", "A 30351-2024")</f>
        <v/>
      </c>
      <c r="X251">
        <f>HYPERLINK("https://klasma.github.io/Logging_2313/kartor/A 30351-2024 karta.png", "A 30351-2024")</f>
        <v/>
      </c>
      <c r="Y251">
        <f>HYPERLINK("https://klasma.github.io/Logging_2313/kartor_geotiff/A 30351-2024 georefererad karta.tif", "A 30351-2024")</f>
        <v/>
      </c>
      <c r="AA251">
        <f>HYPERLINK("https://klasma.github.io/Logging_2313/klagomål/A 30351-2024 FSC-klagomål.docx", "A 30351-2024")</f>
        <v/>
      </c>
      <c r="AB251">
        <f>HYPERLINK("https://klasma.github.io/Logging_2313/klagomålsmail/A 30351-2024 FSC-klagomål mail.docx", "A 30351-2024")</f>
        <v/>
      </c>
      <c r="AC251">
        <f>HYPERLINK("https://klasma.github.io/Logging_2313/tillsyn/A 30351-2024 tillsynsbegäran.docx", "A 30351-2024")</f>
        <v/>
      </c>
      <c r="AD251">
        <f>HYPERLINK("https://klasma.github.io/Logging_2313/tillsynsmail/A 30351-2024 tillsynsbegäran mail.docx", "A 30351-2024")</f>
        <v/>
      </c>
    </row>
    <row r="252" ht="15" customHeight="1">
      <c r="A252" t="inlineStr">
        <is>
          <t>A 28741-2023</t>
        </is>
      </c>
      <c r="B252" t="inlineStr">
        <is>
          <t>avverkningsanmälan</t>
        </is>
      </c>
      <c r="C252" t="inlineStr">
        <is>
          <t>Föryngringsavverkning</t>
        </is>
      </c>
      <c r="D252" s="1" t="n">
        <v>45103</v>
      </c>
      <c r="E252" s="1" t="n">
        <v>46318</v>
      </c>
      <c r="F252" t="inlineStr">
        <is>
          <t>JÄMTLANDS LÄN</t>
        </is>
      </c>
      <c r="G252" t="inlineStr">
        <is>
          <t>STRÖMSUND</t>
        </is>
      </c>
      <c r="I252" t="n">
        <v>9.5</v>
      </c>
      <c r="J252" t="n">
        <v>1</v>
      </c>
      <c r="K252" t="n">
        <v>0</v>
      </c>
      <c r="L252" t="n">
        <v>1</v>
      </c>
      <c r="M252" t="n">
        <v>1</v>
      </c>
      <c r="N252" t="n">
        <v>0</v>
      </c>
      <c r="O252" t="n">
        <v>0</v>
      </c>
      <c r="P252" t="n">
        <v>0</v>
      </c>
      <c r="Q252" t="n">
        <v>2</v>
      </c>
      <c r="R252" t="n">
        <v>1</v>
      </c>
      <c r="S252" t="n">
        <v>2</v>
      </c>
      <c r="T252" t="n">
        <v>17</v>
      </c>
      <c r="U252" t="n">
        <v>17</v>
      </c>
      <c r="V252" s="2" t="inlineStr">
        <is>
          <t>Garnlav
Tretåig hackspett</t>
        </is>
      </c>
      <c r="W252">
        <f>HYPERLINK("https://klasma.github.io/Logging_2313/artfynd/A 28741-2023 artfynd.xlsx", "A 28741-2023")</f>
        <v/>
      </c>
      <c r="X252">
        <f>HYPERLINK("https://klasma.github.io/Logging_2313/kartor/A 28741-2023 karta.png", "A 28741-2023")</f>
        <v/>
      </c>
      <c r="Y252">
        <f>HYPERLINK("https://klasma.github.io/Logging_2313/kartor_geotiff/A 28741-2023 georefererad karta.tif", "A 28741-2023")</f>
        <v/>
      </c>
      <c r="AA252">
        <f>HYPERLINK("https://klasma.github.io/Logging_2313/klagomål/A 28741-2023 FSC-klagomål.docx", "A 28741-2023")</f>
        <v/>
      </c>
      <c r="AB252">
        <f>HYPERLINK("https://klasma.github.io/Logging_2313/klagomålsmail/A 28741-2023 FSC-klagomål mail.docx", "A 28741-2023")</f>
        <v/>
      </c>
      <c r="AC252">
        <f>HYPERLINK("https://klasma.github.io/Logging_2313/tillsyn/A 28741-2023 tillsynsbegäran.docx", "A 28741-2023")</f>
        <v/>
      </c>
      <c r="AD252">
        <f>HYPERLINK("https://klasma.github.io/Logging_2313/tillsynsmail/A 28741-2023 tillsynsbegäran mail.docx", "A 28741-2023")</f>
        <v/>
      </c>
      <c r="AE252">
        <f>HYPERLINK("https://klasma.github.io/Logging_2313/fåglar/A 28741-2023 prioriterade fågelarter.docx", "A 28741-2023")</f>
        <v/>
      </c>
    </row>
    <row r="253" ht="15" customHeight="1">
      <c r="A253" t="inlineStr">
        <is>
          <t>A 39055-2023</t>
        </is>
      </c>
      <c r="B253" t="inlineStr">
        <is>
          <t>avverkningsanmälan</t>
        </is>
      </c>
      <c r="C253" t="inlineStr">
        <is>
          <t>Föryngringsavverkning</t>
        </is>
      </c>
      <c r="D253" s="1" t="n">
        <v>45163</v>
      </c>
      <c r="E253" s="1" t="n">
        <v>46318</v>
      </c>
      <c r="F253" t="inlineStr">
        <is>
          <t>JÄMTLANDS LÄN</t>
        </is>
      </c>
      <c r="G253" t="inlineStr">
        <is>
          <t>STRÖMSUND</t>
        </is>
      </c>
      <c r="H253" t="inlineStr">
        <is>
          <t>SCA</t>
        </is>
      </c>
      <c r="I253" t="n">
        <v>7</v>
      </c>
      <c r="J253" t="n">
        <v>0</v>
      </c>
      <c r="K253" t="n">
        <v>0</v>
      </c>
      <c r="L253" t="n">
        <v>2</v>
      </c>
      <c r="M253" t="n">
        <v>0</v>
      </c>
      <c r="N253" t="n">
        <v>0</v>
      </c>
      <c r="O253" t="n">
        <v>0</v>
      </c>
      <c r="P253" t="n">
        <v>0</v>
      </c>
      <c r="Q253" t="n">
        <v>2</v>
      </c>
      <c r="R253" t="n">
        <v>0</v>
      </c>
      <c r="S253" t="n">
        <v>2</v>
      </c>
      <c r="T253" t="n">
        <v>2</v>
      </c>
      <c r="U253" t="n">
        <v>0</v>
      </c>
      <c r="V253" s="2" t="inlineStr">
        <is>
          <t>Lunglav
Skrovellav</t>
        </is>
      </c>
      <c r="W253">
        <f>HYPERLINK("https://klasma.github.io/Logging_2313/artfynd/A 39055-2023 artfynd.xlsx", "A 39055-2023")</f>
        <v/>
      </c>
      <c r="X253">
        <f>HYPERLINK("https://klasma.github.io/Logging_2313/kartor/A 39055-2023 karta.png", "A 39055-2023")</f>
        <v/>
      </c>
      <c r="Y253">
        <f>HYPERLINK("https://klasma.github.io/Logging_2313/kartor_geotiff/A 39055-2023 georefererad karta.tif", "A 39055-2023")</f>
        <v/>
      </c>
      <c r="AA253">
        <f>HYPERLINK("https://klasma.github.io/Logging_2313/klagomål/A 39055-2023 FSC-klagomål.docx", "A 39055-2023")</f>
        <v/>
      </c>
      <c r="AB253">
        <f>HYPERLINK("https://klasma.github.io/Logging_2313/klagomålsmail/A 39055-2023 FSC-klagomål mail.docx", "A 39055-2023")</f>
        <v/>
      </c>
      <c r="AC253">
        <f>HYPERLINK("https://klasma.github.io/Logging_2313/tillsyn/A 39055-2023 tillsynsbegäran.docx", "A 39055-2023")</f>
        <v/>
      </c>
      <c r="AD253">
        <f>HYPERLINK("https://klasma.github.io/Logging_2313/tillsynsmail/A 39055-2023 tillsynsbegäran mail.docx", "A 39055-2023")</f>
        <v/>
      </c>
    </row>
    <row r="254" ht="15" customHeight="1">
      <c r="A254" t="inlineStr">
        <is>
          <t>A 5624-2026</t>
        </is>
      </c>
      <c r="B254" t="inlineStr">
        <is>
          <t>avverkningsanmälan</t>
        </is>
      </c>
      <c r="C254" t="inlineStr">
        <is>
          <t>Avverkning för annat ändamål</t>
        </is>
      </c>
      <c r="D254" s="1" t="n">
        <v>46051</v>
      </c>
      <c r="E254" s="1" t="n">
        <v>46318</v>
      </c>
      <c r="F254" t="inlineStr">
        <is>
          <t>JÄMTLANDS LÄN</t>
        </is>
      </c>
      <c r="G254" t="inlineStr">
        <is>
          <t>STRÖMSUND</t>
        </is>
      </c>
      <c r="I254" t="n">
        <v>1.4</v>
      </c>
      <c r="J254" t="n">
        <v>2</v>
      </c>
      <c r="K254" t="n">
        <v>0</v>
      </c>
      <c r="L254" t="n">
        <v>1</v>
      </c>
      <c r="M254" t="n">
        <v>0</v>
      </c>
      <c r="N254" t="n">
        <v>0</v>
      </c>
      <c r="O254" t="n">
        <v>0</v>
      </c>
      <c r="P254" t="n">
        <v>0</v>
      </c>
      <c r="Q254" t="n">
        <v>1</v>
      </c>
      <c r="R254" t="n">
        <v>0</v>
      </c>
      <c r="S254" t="n">
        <v>2</v>
      </c>
      <c r="T254" t="n">
        <v>4</v>
      </c>
      <c r="U254" t="n">
        <v>0</v>
      </c>
      <c r="V254" s="2" t="inlineStr">
        <is>
          <t>Tretåig hackspett
Spillkråka</t>
        </is>
      </c>
      <c r="W254">
        <f>HYPERLINK("https://klasma.github.io/Logging_2313/artfynd/A 5624-2026 artfynd.xlsx", "A 5624-2026")</f>
        <v/>
      </c>
      <c r="X254">
        <f>HYPERLINK("https://klasma.github.io/Logging_2313/kartor/A 5624-2026 karta.png", "A 5624-2026")</f>
        <v/>
      </c>
      <c r="Y254">
        <f>HYPERLINK("https://klasma.github.io/Logging_2313/kartor_geotiff/A 5624-2026 georefererad karta.tif", "A 5624-2026")</f>
        <v/>
      </c>
      <c r="AA254">
        <f>HYPERLINK("https://klasma.github.io/Logging_2313/klagomål/A 5624-2026 FSC-klagomål.docx", "A 5624-2026")</f>
        <v/>
      </c>
      <c r="AB254">
        <f>HYPERLINK("https://klasma.github.io/Logging_2313/klagomålsmail/A 5624-2026 FSC-klagomål mail.docx", "A 5624-2026")</f>
        <v/>
      </c>
      <c r="AC254">
        <f>HYPERLINK("https://klasma.github.io/Logging_2313/tillsyn/A 5624-2026 tillsynsbegäran.docx", "A 5624-2026")</f>
        <v/>
      </c>
      <c r="AD254">
        <f>HYPERLINK("https://klasma.github.io/Logging_2313/tillsynsmail/A 5624-2026 tillsynsbegäran mail.docx", "A 5624-2026")</f>
        <v/>
      </c>
      <c r="AE254">
        <f>HYPERLINK("https://klasma.github.io/Logging_2313/fåglar/A 5624-2026 prioriterade fågelarter.docx", "A 5624-2026")</f>
        <v/>
      </c>
    </row>
    <row r="255" ht="15" customHeight="1">
      <c r="A255" t="inlineStr">
        <is>
          <t>A 8420-2024</t>
        </is>
      </c>
      <c r="B255" t="inlineStr">
        <is>
          <t>avverkningsanmälan</t>
        </is>
      </c>
      <c r="C255" t="inlineStr">
        <is>
          <t>Föryngringsavverkning</t>
        </is>
      </c>
      <c r="D255" s="1" t="n">
        <v>45352</v>
      </c>
      <c r="E255" s="1" t="n">
        <v>46318</v>
      </c>
      <c r="F255" t="inlineStr">
        <is>
          <t>JÄMTLANDS LÄN</t>
        </is>
      </c>
      <c r="G255" t="inlineStr">
        <is>
          <t>STRÖMSUND</t>
        </is>
      </c>
      <c r="H255" t="inlineStr">
        <is>
          <t>SCA</t>
        </is>
      </c>
      <c r="I255" t="n">
        <v>9.800000000000001</v>
      </c>
      <c r="J255" t="n">
        <v>1</v>
      </c>
      <c r="K255" t="n">
        <v>0</v>
      </c>
      <c r="L255" t="n">
        <v>1</v>
      </c>
      <c r="M255" t="n">
        <v>1</v>
      </c>
      <c r="N255" t="n">
        <v>0</v>
      </c>
      <c r="O255" t="n">
        <v>0</v>
      </c>
      <c r="P255" t="n">
        <v>0</v>
      </c>
      <c r="Q255" t="n">
        <v>2</v>
      </c>
      <c r="R255" t="n">
        <v>1</v>
      </c>
      <c r="S255" t="n">
        <v>2</v>
      </c>
      <c r="T255" t="n">
        <v>2</v>
      </c>
      <c r="U255" t="n">
        <v>0</v>
      </c>
      <c r="V255" s="2" t="inlineStr">
        <is>
          <t>Knärot
Ullticka</t>
        </is>
      </c>
      <c r="W255">
        <f>HYPERLINK("https://klasma.github.io/Logging_2313/artfynd/A 8420-2024 artfynd.xlsx", "A 8420-2024")</f>
        <v/>
      </c>
      <c r="X255">
        <f>HYPERLINK("https://klasma.github.io/Logging_2313/kartor/A 8420-2024 karta.png", "A 8420-2024")</f>
        <v/>
      </c>
      <c r="Y255">
        <f>HYPERLINK("https://klasma.github.io/Logging_2313/kartor_geotiff/A 8420-2024 georefererad karta.tif", "A 8420-2024")</f>
        <v/>
      </c>
      <c r="Z255">
        <f>HYPERLINK("https://klasma.github.io/Logging_2313/knärot/A 8420-2024 karta knärot.png", "A 8420-2024")</f>
        <v/>
      </c>
      <c r="AA255">
        <f>HYPERLINK("https://klasma.github.io/Logging_2313/klagomål/A 8420-2024 FSC-klagomål.docx", "A 8420-2024")</f>
        <v/>
      </c>
      <c r="AB255">
        <f>HYPERLINK("https://klasma.github.io/Logging_2313/klagomålsmail/A 8420-2024 FSC-klagomål mail.docx", "A 8420-2024")</f>
        <v/>
      </c>
      <c r="AC255">
        <f>HYPERLINK("https://klasma.github.io/Logging_2313/tillsyn/A 8420-2024 tillsynsbegäran.docx", "A 8420-2024")</f>
        <v/>
      </c>
      <c r="AD255">
        <f>HYPERLINK("https://klasma.github.io/Logging_2313/tillsynsmail/A 8420-2024 tillsynsbegäran mail.docx", "A 8420-2024")</f>
        <v/>
      </c>
    </row>
    <row r="256" ht="15" customHeight="1">
      <c r="A256" t="inlineStr">
        <is>
          <t>A 33243-2024</t>
        </is>
      </c>
      <c r="B256" t="inlineStr">
        <is>
          <t>avverkningsanmälan</t>
        </is>
      </c>
      <c r="C256" t="inlineStr">
        <is>
          <t>Föryngringsavverkning</t>
        </is>
      </c>
      <c r="D256" s="1" t="n">
        <v>45518</v>
      </c>
      <c r="E256" s="1" t="n">
        <v>46318</v>
      </c>
      <c r="F256" t="inlineStr">
        <is>
          <t>JÄMTLANDS LÄN</t>
        </is>
      </c>
      <c r="G256" t="inlineStr">
        <is>
          <t>STRÖMSUND</t>
        </is>
      </c>
      <c r="I256" t="n">
        <v>8.4</v>
      </c>
      <c r="J256" t="n">
        <v>1</v>
      </c>
      <c r="K256" t="n">
        <v>0</v>
      </c>
      <c r="L256" t="n">
        <v>1</v>
      </c>
      <c r="M256" t="n">
        <v>1</v>
      </c>
      <c r="N256" t="n">
        <v>0</v>
      </c>
      <c r="O256" t="n">
        <v>0</v>
      </c>
      <c r="P256" t="n">
        <v>0</v>
      </c>
      <c r="Q256" t="n">
        <v>2</v>
      </c>
      <c r="R256" t="n">
        <v>1</v>
      </c>
      <c r="S256" t="n">
        <v>2</v>
      </c>
      <c r="T256" t="n">
        <v>7</v>
      </c>
      <c r="U256" t="n">
        <v>7</v>
      </c>
      <c r="V256" s="2" t="inlineStr">
        <is>
          <t>Garnlav
Tretåig hackspett</t>
        </is>
      </c>
      <c r="W256">
        <f>HYPERLINK("https://klasma.github.io/Logging_2313/artfynd/A 33243-2024 artfynd.xlsx", "A 33243-2024")</f>
        <v/>
      </c>
      <c r="X256">
        <f>HYPERLINK("https://klasma.github.io/Logging_2313/kartor/A 33243-2024 karta.png", "A 33243-2024")</f>
        <v/>
      </c>
      <c r="Y256">
        <f>HYPERLINK("https://klasma.github.io/Logging_2313/kartor_geotiff/A 33243-2024 georefererad karta.tif", "A 33243-2024")</f>
        <v/>
      </c>
      <c r="AA256">
        <f>HYPERLINK("https://klasma.github.io/Logging_2313/klagomål/A 33243-2024 FSC-klagomål.docx", "A 33243-2024")</f>
        <v/>
      </c>
      <c r="AB256">
        <f>HYPERLINK("https://klasma.github.io/Logging_2313/klagomålsmail/A 33243-2024 FSC-klagomål mail.docx", "A 33243-2024")</f>
        <v/>
      </c>
      <c r="AC256">
        <f>HYPERLINK("https://klasma.github.io/Logging_2313/tillsyn/A 33243-2024 tillsynsbegäran.docx", "A 33243-2024")</f>
        <v/>
      </c>
      <c r="AD256">
        <f>HYPERLINK("https://klasma.github.io/Logging_2313/tillsynsmail/A 33243-2024 tillsynsbegäran mail.docx", "A 33243-2024")</f>
        <v/>
      </c>
      <c r="AE256">
        <f>HYPERLINK("https://klasma.github.io/Logging_2313/fåglar/A 33243-2024 prioriterade fågelarter.docx", "A 33243-2024")</f>
        <v/>
      </c>
    </row>
    <row r="257" ht="15" customHeight="1">
      <c r="A257" t="inlineStr">
        <is>
          <t>A 9912-2026</t>
        </is>
      </c>
      <c r="B257" t="inlineStr">
        <is>
          <t>avverkningsanmälan</t>
        </is>
      </c>
      <c r="C257" t="inlineStr">
        <is>
          <t>Föryngringsavverkning</t>
        </is>
      </c>
      <c r="D257" s="1" t="n">
        <v>46073</v>
      </c>
      <c r="E257" s="1" t="n">
        <v>46318</v>
      </c>
      <c r="F257" t="inlineStr">
        <is>
          <t>JÄMTLANDS LÄN</t>
        </is>
      </c>
      <c r="G257" t="inlineStr">
        <is>
          <t>STRÖMSUND</t>
        </is>
      </c>
      <c r="H257" t="inlineStr">
        <is>
          <t>SCA</t>
        </is>
      </c>
      <c r="I257" t="n">
        <v>24.8</v>
      </c>
      <c r="J257" t="n">
        <v>0</v>
      </c>
      <c r="K257" t="n">
        <v>0</v>
      </c>
      <c r="L257" t="n">
        <v>1</v>
      </c>
      <c r="M257" t="n">
        <v>1</v>
      </c>
      <c r="N257" t="n">
        <v>0</v>
      </c>
      <c r="O257" t="n">
        <v>0</v>
      </c>
      <c r="P257" t="n">
        <v>0</v>
      </c>
      <c r="Q257" t="n">
        <v>2</v>
      </c>
      <c r="R257" t="n">
        <v>1</v>
      </c>
      <c r="S257" t="n">
        <v>2</v>
      </c>
      <c r="T257" t="n">
        <v>2</v>
      </c>
      <c r="U257" t="n">
        <v>0</v>
      </c>
      <c r="V257" s="2" t="inlineStr">
        <is>
          <t>Garnlav
Gammelgransskål</t>
        </is>
      </c>
      <c r="W257">
        <f>HYPERLINK("https://klasma.github.io/Logging_2313/artfynd/A 9912-2026 artfynd.xlsx", "A 9912-2026")</f>
        <v/>
      </c>
      <c r="X257">
        <f>HYPERLINK("https://klasma.github.io/Logging_2313/kartor/A 9912-2026 karta.png", "A 9912-2026")</f>
        <v/>
      </c>
      <c r="Y257">
        <f>HYPERLINK("https://klasma.github.io/Logging_2313/kartor_geotiff/A 9912-2026 georefererad karta.tif", "A 9912-2026")</f>
        <v/>
      </c>
      <c r="AA257">
        <f>HYPERLINK("https://klasma.github.io/Logging_2313/klagomål/A 9912-2026 FSC-klagomål.docx", "A 9912-2026")</f>
        <v/>
      </c>
      <c r="AB257">
        <f>HYPERLINK("https://klasma.github.io/Logging_2313/klagomålsmail/A 9912-2026 FSC-klagomål mail.docx", "A 9912-2026")</f>
        <v/>
      </c>
      <c r="AC257">
        <f>HYPERLINK("https://klasma.github.io/Logging_2313/tillsyn/A 9912-2026 tillsynsbegäran.docx", "A 9912-2026")</f>
        <v/>
      </c>
      <c r="AD257">
        <f>HYPERLINK("https://klasma.github.io/Logging_2313/tillsynsmail/A 9912-2026 tillsynsbegäran mail.docx", "A 9912-2026")</f>
        <v/>
      </c>
    </row>
    <row r="258" ht="15" customHeight="1">
      <c r="A258" t="inlineStr">
        <is>
          <t>A 27148-2026</t>
        </is>
      </c>
      <c r="B258" t="inlineStr">
        <is>
          <t>avverkningsanmälan</t>
        </is>
      </c>
      <c r="C258" t="inlineStr">
        <is>
          <t>Avverkning för att bevara och utveckla /försöksver</t>
        </is>
      </c>
      <c r="D258" s="1" t="n">
        <v>46188</v>
      </c>
      <c r="E258" s="1" t="n">
        <v>46318</v>
      </c>
      <c r="F258" t="inlineStr">
        <is>
          <t>JÄMTLANDS LÄN</t>
        </is>
      </c>
      <c r="G258" t="inlineStr">
        <is>
          <t>STRÖMSUND</t>
        </is>
      </c>
      <c r="H258" t="inlineStr">
        <is>
          <t>SCA</t>
        </is>
      </c>
      <c r="I258" t="n">
        <v>1</v>
      </c>
      <c r="J258" t="n">
        <v>0</v>
      </c>
      <c r="K258" t="n">
        <v>2</v>
      </c>
      <c r="L258" t="n">
        <v>0</v>
      </c>
      <c r="M258" t="n">
        <v>0</v>
      </c>
      <c r="N258" t="n">
        <v>0</v>
      </c>
      <c r="O258" t="n">
        <v>0</v>
      </c>
      <c r="P258" t="n">
        <v>0</v>
      </c>
      <c r="Q258" t="n">
        <v>0</v>
      </c>
      <c r="R258" t="n">
        <v>0</v>
      </c>
      <c r="S258" t="n">
        <v>2</v>
      </c>
      <c r="T258" t="n">
        <v>2</v>
      </c>
      <c r="U258" t="n">
        <v>0</v>
      </c>
      <c r="V258" s="2" t="inlineStr">
        <is>
          <t>Rävticka
Vedticka</t>
        </is>
      </c>
      <c r="W258">
        <f>HYPERLINK("https://klasma.github.io/Logging_2313/artfynd/A 27148-2026 artfynd.xlsx", "A 27148-2026")</f>
        <v/>
      </c>
      <c r="X258">
        <f>HYPERLINK("https://klasma.github.io/Logging_2313/kartor/A 27148-2026 karta.png", "A 27148-2026")</f>
        <v/>
      </c>
      <c r="Y258">
        <f>HYPERLINK("https://klasma.github.io/Logging_2313/kartor_geotiff/A 27148-2026 georefererad karta.tif", "A 27148-2026")</f>
        <v/>
      </c>
      <c r="AA258">
        <f>HYPERLINK("https://klasma.github.io/Logging_2313/klagomål/A 27148-2026 FSC-klagomål.docx", "A 27148-2026")</f>
        <v/>
      </c>
      <c r="AB258">
        <f>HYPERLINK("https://klasma.github.io/Logging_2313/klagomålsmail/A 27148-2026 FSC-klagomål mail.docx", "A 27148-2026")</f>
        <v/>
      </c>
      <c r="AC258">
        <f>HYPERLINK("https://klasma.github.io/Logging_2313/tillsyn/A 27148-2026 tillsynsbegäran.docx", "A 27148-2026")</f>
        <v/>
      </c>
      <c r="AD258">
        <f>HYPERLINK("https://klasma.github.io/Logging_2313/tillsynsmail/A 27148-2026 tillsynsbegäran mail.docx", "A 27148-2026")</f>
        <v/>
      </c>
    </row>
    <row r="259" ht="15" customHeight="1">
      <c r="A259" t="inlineStr">
        <is>
          <t>A 4377-2024</t>
        </is>
      </c>
      <c r="B259" t="inlineStr">
        <is>
          <t>avverkningsanmälan</t>
        </is>
      </c>
      <c r="C259" t="inlineStr">
        <is>
          <t>Föryngringsavverkning</t>
        </is>
      </c>
      <c r="D259" s="1" t="n">
        <v>45326</v>
      </c>
      <c r="E259" s="1" t="n">
        <v>46318</v>
      </c>
      <c r="F259" t="inlineStr">
        <is>
          <t>JÄMTLANDS LÄN</t>
        </is>
      </c>
      <c r="G259" t="inlineStr">
        <is>
          <t>STRÖMSUND</t>
        </is>
      </c>
      <c r="H259" t="inlineStr">
        <is>
          <t>SCA</t>
        </is>
      </c>
      <c r="I259" t="n">
        <v>21.4</v>
      </c>
      <c r="J259" t="n">
        <v>0</v>
      </c>
      <c r="K259" t="n">
        <v>1</v>
      </c>
      <c r="L259" t="n">
        <v>1</v>
      </c>
      <c r="M259" t="n">
        <v>0</v>
      </c>
      <c r="N259" t="n">
        <v>0</v>
      </c>
      <c r="O259" t="n">
        <v>0</v>
      </c>
      <c r="P259" t="n">
        <v>0</v>
      </c>
      <c r="Q259" t="n">
        <v>1</v>
      </c>
      <c r="R259" t="n">
        <v>0</v>
      </c>
      <c r="S259" t="n">
        <v>2</v>
      </c>
      <c r="T259" t="n">
        <v>2</v>
      </c>
      <c r="U259" t="n">
        <v>1</v>
      </c>
      <c r="V259" s="2" t="inlineStr">
        <is>
          <t>Lunglav
Källmossa</t>
        </is>
      </c>
      <c r="W259">
        <f>HYPERLINK("https://klasma.github.io/Logging_2313/artfynd/A 4377-2024 artfynd.xlsx", "A 4377-2024")</f>
        <v/>
      </c>
      <c r="X259">
        <f>HYPERLINK("https://klasma.github.io/Logging_2313/kartor/A 4377-2024 karta.png", "A 4377-2024")</f>
        <v/>
      </c>
      <c r="Y259">
        <f>HYPERLINK("https://klasma.github.io/Logging_2313/kartor_geotiff/A 4377-2024 georefererad karta.tif", "A 4377-2024")</f>
        <v/>
      </c>
      <c r="AA259">
        <f>HYPERLINK("https://klasma.github.io/Logging_2313/klagomål/A 4377-2024 FSC-klagomål.docx", "A 4377-2024")</f>
        <v/>
      </c>
      <c r="AB259">
        <f>HYPERLINK("https://klasma.github.io/Logging_2313/klagomålsmail/A 4377-2024 FSC-klagomål mail.docx", "A 4377-2024")</f>
        <v/>
      </c>
      <c r="AC259">
        <f>HYPERLINK("https://klasma.github.io/Logging_2313/tillsyn/A 4377-2024 tillsynsbegäran.docx", "A 4377-2024")</f>
        <v/>
      </c>
      <c r="AD259">
        <f>HYPERLINK("https://klasma.github.io/Logging_2313/tillsynsmail/A 4377-2024 tillsynsbegäran mail.docx", "A 4377-2024")</f>
        <v/>
      </c>
    </row>
    <row r="260" ht="15" customHeight="1">
      <c r="A260" t="inlineStr">
        <is>
          <t>A 8299-2026</t>
        </is>
      </c>
      <c r="B260" t="inlineStr">
        <is>
          <t>avverkningsanmälan</t>
        </is>
      </c>
      <c r="C260" t="inlineStr">
        <is>
          <t>Avverkning för annat ändamål</t>
        </is>
      </c>
      <c r="D260" s="1" t="n">
        <v>46063</v>
      </c>
      <c r="E260" s="1" t="n">
        <v>46318</v>
      </c>
      <c r="F260" t="inlineStr">
        <is>
          <t>JÄMTLANDS LÄN</t>
        </is>
      </c>
      <c r="G260" t="inlineStr">
        <is>
          <t>STRÖMSUND</t>
        </is>
      </c>
      <c r="I260" t="n">
        <v>1.9</v>
      </c>
      <c r="J260" t="n">
        <v>1</v>
      </c>
      <c r="K260" t="n">
        <v>0</v>
      </c>
      <c r="L260" t="n">
        <v>1</v>
      </c>
      <c r="M260" t="n">
        <v>1</v>
      </c>
      <c r="N260" t="n">
        <v>0</v>
      </c>
      <c r="O260" t="n">
        <v>0</v>
      </c>
      <c r="P260" t="n">
        <v>0</v>
      </c>
      <c r="Q260" t="n">
        <v>2</v>
      </c>
      <c r="R260" t="n">
        <v>1</v>
      </c>
      <c r="S260" t="n">
        <v>2</v>
      </c>
      <c r="T260" t="n">
        <v>7</v>
      </c>
      <c r="U260" t="n">
        <v>7</v>
      </c>
      <c r="V260" s="2" t="inlineStr">
        <is>
          <t>Garnlav
Tretåig hackspett</t>
        </is>
      </c>
      <c r="W260">
        <f>HYPERLINK("https://klasma.github.io/Logging_2313/artfynd/A 8299-2026 artfynd.xlsx", "A 8299-2026")</f>
        <v/>
      </c>
      <c r="X260">
        <f>HYPERLINK("https://klasma.github.io/Logging_2313/kartor/A 8299-2026 karta.png", "A 8299-2026")</f>
        <v/>
      </c>
      <c r="Y260">
        <f>HYPERLINK("https://klasma.github.io/Logging_2313/kartor_geotiff/A 8299-2026 georefererad karta.tif", "A 8299-2026")</f>
        <v/>
      </c>
      <c r="AA260">
        <f>HYPERLINK("https://klasma.github.io/Logging_2313/klagomål/A 8299-2026 FSC-klagomål.docx", "A 8299-2026")</f>
        <v/>
      </c>
      <c r="AB260">
        <f>HYPERLINK("https://klasma.github.io/Logging_2313/klagomålsmail/A 8299-2026 FSC-klagomål mail.docx", "A 8299-2026")</f>
        <v/>
      </c>
      <c r="AC260">
        <f>HYPERLINK("https://klasma.github.io/Logging_2313/tillsyn/A 8299-2026 tillsynsbegäran.docx", "A 8299-2026")</f>
        <v/>
      </c>
      <c r="AD260">
        <f>HYPERLINK("https://klasma.github.io/Logging_2313/tillsynsmail/A 8299-2026 tillsynsbegäran mail.docx", "A 8299-2026")</f>
        <v/>
      </c>
      <c r="AE260">
        <f>HYPERLINK("https://klasma.github.io/Logging_2313/fåglar/A 8299-2026 prioriterade fågelarter.docx", "A 8299-2026")</f>
        <v/>
      </c>
    </row>
    <row r="261" ht="15" customHeight="1">
      <c r="A261" t="inlineStr">
        <is>
          <t>A 39189-2026</t>
        </is>
      </c>
      <c r="B261" t="inlineStr">
        <is>
          <t>avverkningsanmälan</t>
        </is>
      </c>
      <c r="C261" t="inlineStr">
        <is>
          <t>Föryngringsavverkning</t>
        </is>
      </c>
      <c r="D261" s="1" t="n">
        <v>46287</v>
      </c>
      <c r="E261" s="1" t="n">
        <v>46318</v>
      </c>
      <c r="F261" t="inlineStr">
        <is>
          <t>JÄMTLANDS LÄN</t>
        </is>
      </c>
      <c r="G261" t="inlineStr">
        <is>
          <t>STRÖMSUND</t>
        </is>
      </c>
      <c r="H261" t="inlineStr">
        <is>
          <t>Holmen skog AB</t>
        </is>
      </c>
      <c r="I261" t="n">
        <v>8.800000000000001</v>
      </c>
      <c r="J261" t="n">
        <v>1</v>
      </c>
      <c r="K261" t="n">
        <v>1</v>
      </c>
      <c r="L261" t="n">
        <v>0</v>
      </c>
      <c r="M261" t="n">
        <v>0</v>
      </c>
      <c r="N261" t="n">
        <v>0</v>
      </c>
      <c r="O261" t="n">
        <v>0</v>
      </c>
      <c r="P261" t="n">
        <v>0</v>
      </c>
      <c r="Q261" t="n">
        <v>0</v>
      </c>
      <c r="R261" t="n">
        <v>0</v>
      </c>
      <c r="S261" t="n">
        <v>2</v>
      </c>
      <c r="T261" t="n">
        <v>2</v>
      </c>
      <c r="U261" t="n">
        <v>0</v>
      </c>
      <c r="V261" s="2" t="inlineStr">
        <is>
          <t>Kransrams
Skogsrör</t>
        </is>
      </c>
      <c r="W261">
        <f>HYPERLINK("https://klasma.github.io/Logging_2313/artfynd/A 39189-2026 artfynd.xlsx", "A 39189-2026")</f>
        <v/>
      </c>
      <c r="X261">
        <f>HYPERLINK("https://klasma.github.io/Logging_2313/kartor/A 39189-2026 karta.png", "A 39189-2026")</f>
        <v/>
      </c>
      <c r="Y261">
        <f>HYPERLINK("https://klasma.github.io/Logging_2313/kartor_geotiff/A 39189-2026 georefererad karta.tif", "A 39189-2026")</f>
        <v/>
      </c>
      <c r="AA261">
        <f>HYPERLINK("https://klasma.github.io/Logging_2313/klagomål/A 39189-2026 FSC-klagomål.docx", "A 39189-2026")</f>
        <v/>
      </c>
      <c r="AB261">
        <f>HYPERLINK("https://klasma.github.io/Logging_2313/klagomålsmail/A 39189-2026 FSC-klagomål mail.docx", "A 39189-2026")</f>
        <v/>
      </c>
      <c r="AC261">
        <f>HYPERLINK("https://klasma.github.io/Logging_2313/tillsyn/A 39189-2026 tillsynsbegäran.docx", "A 39189-2026")</f>
        <v/>
      </c>
      <c r="AD261">
        <f>HYPERLINK("https://klasma.github.io/Logging_2313/tillsynsmail/A 39189-2026 tillsynsbegäran mail.docx", "A 39189-2026")</f>
        <v/>
      </c>
    </row>
    <row r="262" ht="15" customHeight="1">
      <c r="A262" t="inlineStr">
        <is>
          <t>A 23186-2022</t>
        </is>
      </c>
      <c r="B262" t="inlineStr">
        <is>
          <t>avverkningsanmälan</t>
        </is>
      </c>
      <c r="C262" t="inlineStr">
        <is>
          <t>Föryngringsavverkning</t>
        </is>
      </c>
      <c r="D262" s="1" t="n">
        <v>44719</v>
      </c>
      <c r="E262" s="1" t="n">
        <v>46318</v>
      </c>
      <c r="F262" t="inlineStr">
        <is>
          <t>JÄMTLANDS LÄN</t>
        </is>
      </c>
      <c r="G262" t="inlineStr">
        <is>
          <t>STRÖMSUND</t>
        </is>
      </c>
      <c r="I262" t="n">
        <v>14.3</v>
      </c>
      <c r="J262" t="n">
        <v>0</v>
      </c>
      <c r="K262" t="n">
        <v>0</v>
      </c>
      <c r="L262" t="n">
        <v>1</v>
      </c>
      <c r="M262" t="n">
        <v>1</v>
      </c>
      <c r="N262" t="n">
        <v>0</v>
      </c>
      <c r="O262" t="n">
        <v>0</v>
      </c>
      <c r="P262" t="n">
        <v>0</v>
      </c>
      <c r="Q262" t="n">
        <v>2</v>
      </c>
      <c r="R262" t="n">
        <v>1</v>
      </c>
      <c r="S262" t="n">
        <v>2</v>
      </c>
      <c r="T262" t="n">
        <v>5</v>
      </c>
      <c r="U262" t="n">
        <v>0</v>
      </c>
      <c r="V262" s="2" t="inlineStr">
        <is>
          <t>Garnlav
Lunglav</t>
        </is>
      </c>
      <c r="W262">
        <f>HYPERLINK("https://klasma.github.io/Logging_2313/artfynd/A 23186-2022 artfynd.xlsx", "A 23186-2022")</f>
        <v/>
      </c>
      <c r="X262">
        <f>HYPERLINK("https://klasma.github.io/Logging_2313/kartor/A 23186-2022 karta.png", "A 23186-2022")</f>
        <v/>
      </c>
      <c r="Y262">
        <f>HYPERLINK("https://klasma.github.io/Logging_2313/kartor_geotiff/A 23186-2022 georefererad karta.tif", "A 23186-2022")</f>
        <v/>
      </c>
      <c r="AA262">
        <f>HYPERLINK("https://klasma.github.io/Logging_2313/klagomål/A 23186-2022 FSC-klagomål.docx", "A 23186-2022")</f>
        <v/>
      </c>
      <c r="AB262">
        <f>HYPERLINK("https://klasma.github.io/Logging_2313/klagomålsmail/A 23186-2022 FSC-klagomål mail.docx", "A 23186-2022")</f>
        <v/>
      </c>
      <c r="AC262">
        <f>HYPERLINK("https://klasma.github.io/Logging_2313/tillsyn/A 23186-2022 tillsynsbegäran.docx", "A 23186-2022")</f>
        <v/>
      </c>
      <c r="AD262">
        <f>HYPERLINK("https://klasma.github.io/Logging_2313/tillsynsmail/A 23186-2022 tillsynsbegäran mail.docx", "A 23186-2022")</f>
        <v/>
      </c>
    </row>
    <row r="263" ht="15" customHeight="1">
      <c r="A263" t="inlineStr">
        <is>
          <t>A 17538-2026</t>
        </is>
      </c>
      <c r="B263" t="inlineStr">
        <is>
          <t>avverkningsanmälan</t>
        </is>
      </c>
      <c r="C263" t="inlineStr">
        <is>
          <t>Föryngringsavverkning</t>
        </is>
      </c>
      <c r="D263" s="1" t="n">
        <v>46120</v>
      </c>
      <c r="E263" s="1" t="n">
        <v>46318</v>
      </c>
      <c r="F263" t="inlineStr">
        <is>
          <t>JÄMTLANDS LÄN</t>
        </is>
      </c>
      <c r="G263" t="inlineStr">
        <is>
          <t>STRÖMSUND</t>
        </is>
      </c>
      <c r="H263" t="inlineStr">
        <is>
          <t>SCA</t>
        </is>
      </c>
      <c r="I263" t="n">
        <v>3.2</v>
      </c>
      <c r="J263" t="n">
        <v>0</v>
      </c>
      <c r="K263" t="n">
        <v>2</v>
      </c>
      <c r="L263" t="n">
        <v>0</v>
      </c>
      <c r="M263" t="n">
        <v>0</v>
      </c>
      <c r="N263" t="n">
        <v>0</v>
      </c>
      <c r="O263" t="n">
        <v>0</v>
      </c>
      <c r="P263" t="n">
        <v>0</v>
      </c>
      <c r="Q263" t="n">
        <v>0</v>
      </c>
      <c r="R263" t="n">
        <v>0</v>
      </c>
      <c r="S263" t="n">
        <v>2</v>
      </c>
      <c r="T263" t="n">
        <v>2</v>
      </c>
      <c r="U263" t="n">
        <v>0</v>
      </c>
      <c r="V263" s="2" t="inlineStr">
        <is>
          <t>Källmossa
Ögonpyrola</t>
        </is>
      </c>
      <c r="W263">
        <f>HYPERLINK("https://klasma.github.io/Logging_2313/artfynd/A 17538-2026 artfynd.xlsx", "A 17538-2026")</f>
        <v/>
      </c>
      <c r="X263">
        <f>HYPERLINK("https://klasma.github.io/Logging_2313/kartor/A 17538-2026 karta.png", "A 17538-2026")</f>
        <v/>
      </c>
      <c r="Y263">
        <f>HYPERLINK("https://klasma.github.io/Logging_2313/kartor_geotiff/A 17538-2026 georefererad karta.tif", "A 17538-2026")</f>
        <v/>
      </c>
      <c r="AA263">
        <f>HYPERLINK("https://klasma.github.io/Logging_2313/klagomål/A 17538-2026 FSC-klagomål.docx", "A 17538-2026")</f>
        <v/>
      </c>
      <c r="AB263">
        <f>HYPERLINK("https://klasma.github.io/Logging_2313/klagomålsmail/A 17538-2026 FSC-klagomål mail.docx", "A 17538-2026")</f>
        <v/>
      </c>
      <c r="AC263">
        <f>HYPERLINK("https://klasma.github.io/Logging_2313/tillsyn/A 17538-2026 tillsynsbegäran.docx", "A 17538-2026")</f>
        <v/>
      </c>
      <c r="AD263">
        <f>HYPERLINK("https://klasma.github.io/Logging_2313/tillsynsmail/A 17538-2026 tillsynsbegäran mail.docx", "A 17538-2026")</f>
        <v/>
      </c>
    </row>
    <row r="264" ht="15" customHeight="1">
      <c r="A264" t="inlineStr">
        <is>
          <t>A 26589-2026</t>
        </is>
      </c>
      <c r="B264" t="inlineStr">
        <is>
          <t>avverkningsanmälan</t>
        </is>
      </c>
      <c r="C264" t="inlineStr">
        <is>
          <t>Föryngringsavverkning</t>
        </is>
      </c>
      <c r="D264" s="1" t="n">
        <v>46183</v>
      </c>
      <c r="E264" s="1" t="n">
        <v>46318</v>
      </c>
      <c r="F264" t="inlineStr">
        <is>
          <t>JÄMTLANDS LÄN</t>
        </is>
      </c>
      <c r="G264" t="inlineStr">
        <is>
          <t>STRÖMSUND</t>
        </is>
      </c>
      <c r="H264" t="inlineStr">
        <is>
          <t>SCA</t>
        </is>
      </c>
      <c r="I264" t="n">
        <v>21.5</v>
      </c>
      <c r="J264" t="n">
        <v>0</v>
      </c>
      <c r="K264" t="n">
        <v>0</v>
      </c>
      <c r="L264" t="n">
        <v>2</v>
      </c>
      <c r="M264" t="n">
        <v>0</v>
      </c>
      <c r="N264" t="n">
        <v>0</v>
      </c>
      <c r="O264" t="n">
        <v>0</v>
      </c>
      <c r="P264" t="n">
        <v>0</v>
      </c>
      <c r="Q264" t="n">
        <v>2</v>
      </c>
      <c r="R264" t="n">
        <v>0</v>
      </c>
      <c r="S264" t="n">
        <v>2</v>
      </c>
      <c r="T264" t="n">
        <v>2</v>
      </c>
      <c r="U264" t="n">
        <v>0</v>
      </c>
      <c r="V264" s="2" t="inlineStr">
        <is>
          <t>Doftskinn
Gammelgransskål</t>
        </is>
      </c>
      <c r="W264">
        <f>HYPERLINK("https://klasma.github.io/Logging_2313/artfynd/A 26589-2026 artfynd.xlsx", "A 26589-2026")</f>
        <v/>
      </c>
      <c r="X264">
        <f>HYPERLINK("https://klasma.github.io/Logging_2313/kartor/A 26589-2026 karta.png", "A 26589-2026")</f>
        <v/>
      </c>
      <c r="Y264">
        <f>HYPERLINK("https://klasma.github.io/Logging_2313/kartor_geotiff/A 26589-2026 georefererad karta.tif", "A 26589-2026")</f>
        <v/>
      </c>
      <c r="AA264">
        <f>HYPERLINK("https://klasma.github.io/Logging_2313/klagomål/A 26589-2026 FSC-klagomål.docx", "A 26589-2026")</f>
        <v/>
      </c>
      <c r="AB264">
        <f>HYPERLINK("https://klasma.github.io/Logging_2313/klagomålsmail/A 26589-2026 FSC-klagomål mail.docx", "A 26589-2026")</f>
        <v/>
      </c>
      <c r="AC264">
        <f>HYPERLINK("https://klasma.github.io/Logging_2313/tillsyn/A 26589-2026 tillsynsbegäran.docx", "A 26589-2026")</f>
        <v/>
      </c>
      <c r="AD264">
        <f>HYPERLINK("https://klasma.github.io/Logging_2313/tillsynsmail/A 26589-2026 tillsynsbegäran mail.docx", "A 26589-2026")</f>
        <v/>
      </c>
    </row>
    <row r="265" ht="15" customHeight="1">
      <c r="A265" t="inlineStr">
        <is>
          <t>A 13189-2023</t>
        </is>
      </c>
      <c r="B265" t="inlineStr">
        <is>
          <t>avverkningsanmälan</t>
        </is>
      </c>
      <c r="C265" t="inlineStr">
        <is>
          <t>Föryngringsavverkning</t>
        </is>
      </c>
      <c r="D265" s="1" t="n">
        <v>45002</v>
      </c>
      <c r="E265" s="1" t="n">
        <v>46318</v>
      </c>
      <c r="F265" t="inlineStr">
        <is>
          <t>JÄMTLANDS LÄN</t>
        </is>
      </c>
      <c r="G265" t="inlineStr">
        <is>
          <t>STRÖMSUND</t>
        </is>
      </c>
      <c r="I265" t="n">
        <v>14.9</v>
      </c>
      <c r="J265" t="n">
        <v>1</v>
      </c>
      <c r="K265" t="n">
        <v>1</v>
      </c>
      <c r="L265" t="n">
        <v>1</v>
      </c>
      <c r="M265" t="n">
        <v>0</v>
      </c>
      <c r="N265" t="n">
        <v>0</v>
      </c>
      <c r="O265" t="n">
        <v>0</v>
      </c>
      <c r="P265" t="n">
        <v>0</v>
      </c>
      <c r="Q265" t="n">
        <v>1</v>
      </c>
      <c r="R265" t="n">
        <v>0</v>
      </c>
      <c r="S265" t="n">
        <v>2</v>
      </c>
      <c r="T265" t="n">
        <v>4</v>
      </c>
      <c r="U265" t="n">
        <v>3</v>
      </c>
      <c r="V265" s="2" t="inlineStr">
        <is>
          <t>Lunglav
Guckusko</t>
        </is>
      </c>
      <c r="W265">
        <f>HYPERLINK("https://klasma.github.io/Logging_2313/artfynd/A 13189-2023 artfynd.xlsx", "A 13189-2023")</f>
        <v/>
      </c>
      <c r="X265">
        <f>HYPERLINK("https://klasma.github.io/Logging_2313/kartor/A 13189-2023 karta.png", "A 13189-2023")</f>
        <v/>
      </c>
      <c r="Y265">
        <f>HYPERLINK("https://klasma.github.io/Logging_2313/kartor_geotiff/A 13189-2023 georefererad karta.tif", "A 13189-2023")</f>
        <v/>
      </c>
      <c r="AA265">
        <f>HYPERLINK("https://klasma.github.io/Logging_2313/klagomål/A 13189-2023 FSC-klagomål.docx", "A 13189-2023")</f>
        <v/>
      </c>
      <c r="AB265">
        <f>HYPERLINK("https://klasma.github.io/Logging_2313/klagomålsmail/A 13189-2023 FSC-klagomål mail.docx", "A 13189-2023")</f>
        <v/>
      </c>
      <c r="AC265">
        <f>HYPERLINK("https://klasma.github.io/Logging_2313/tillsyn/A 13189-2023 tillsynsbegäran.docx", "A 13189-2023")</f>
        <v/>
      </c>
      <c r="AD265">
        <f>HYPERLINK("https://klasma.github.io/Logging_2313/tillsynsmail/A 13189-2023 tillsynsbegäran mail.docx", "A 13189-2023")</f>
        <v/>
      </c>
    </row>
    <row r="266" ht="15" customHeight="1">
      <c r="A266" t="inlineStr">
        <is>
          <t>A 2305-2025</t>
        </is>
      </c>
      <c r="B266" t="inlineStr">
        <is>
          <t>avverkningsanmälan</t>
        </is>
      </c>
      <c r="C266" t="inlineStr">
        <is>
          <t>Föryngringsavverkning</t>
        </is>
      </c>
      <c r="D266" s="1" t="n">
        <v>45673</v>
      </c>
      <c r="E266" s="1" t="n">
        <v>46318</v>
      </c>
      <c r="F266" t="inlineStr">
        <is>
          <t>JÄMTLANDS LÄN</t>
        </is>
      </c>
      <c r="G266" t="inlineStr">
        <is>
          <t>STRÖMSUND</t>
        </is>
      </c>
      <c r="I266" t="n">
        <v>12.1</v>
      </c>
      <c r="J266" t="n">
        <v>1</v>
      </c>
      <c r="K266" t="n">
        <v>1</v>
      </c>
      <c r="L266" t="n">
        <v>0</v>
      </c>
      <c r="M266" t="n">
        <v>1</v>
      </c>
      <c r="N266" t="n">
        <v>0</v>
      </c>
      <c r="O266" t="n">
        <v>0</v>
      </c>
      <c r="P266" t="n">
        <v>0</v>
      </c>
      <c r="Q266" t="n">
        <v>1</v>
      </c>
      <c r="R266" t="n">
        <v>1</v>
      </c>
      <c r="S266" t="n">
        <v>2</v>
      </c>
      <c r="T266" t="n">
        <v>3</v>
      </c>
      <c r="U266" t="n">
        <v>0</v>
      </c>
      <c r="V266" s="2" t="inlineStr">
        <is>
          <t>Garnlav
Spindelblomster</t>
        </is>
      </c>
      <c r="W266">
        <f>HYPERLINK("https://klasma.github.io/Logging_2313/artfynd/A 2305-2025 artfynd.xlsx", "A 2305-2025")</f>
        <v/>
      </c>
      <c r="X266">
        <f>HYPERLINK("https://klasma.github.io/Logging_2313/kartor/A 2305-2025 karta.png", "A 2305-2025")</f>
        <v/>
      </c>
      <c r="Y266">
        <f>HYPERLINK("https://klasma.github.io/Logging_2313/kartor_geotiff/A 2305-2025 georefererad karta.tif", "A 2305-2025")</f>
        <v/>
      </c>
      <c r="AA266">
        <f>HYPERLINK("https://klasma.github.io/Logging_2313/klagomål/A 2305-2025 FSC-klagomål.docx", "A 2305-2025")</f>
        <v/>
      </c>
      <c r="AB266">
        <f>HYPERLINK("https://klasma.github.io/Logging_2313/klagomålsmail/A 2305-2025 FSC-klagomål mail.docx", "A 2305-2025")</f>
        <v/>
      </c>
      <c r="AC266">
        <f>HYPERLINK("https://klasma.github.io/Logging_2313/tillsyn/A 2305-2025 tillsynsbegäran.docx", "A 2305-2025")</f>
        <v/>
      </c>
      <c r="AD266">
        <f>HYPERLINK("https://klasma.github.io/Logging_2313/tillsynsmail/A 2305-2025 tillsynsbegäran mail.docx", "A 2305-2025")</f>
        <v/>
      </c>
    </row>
    <row r="267" ht="15" customHeight="1">
      <c r="A267" t="inlineStr">
        <is>
          <t>A 27367-2023</t>
        </is>
      </c>
      <c r="B267" t="inlineStr">
        <is>
          <t>avverkningsanmälan</t>
        </is>
      </c>
      <c r="C267" t="inlineStr">
        <is>
          <t>Föryngringsavverkning</t>
        </is>
      </c>
      <c r="D267" s="1" t="n">
        <v>45096</v>
      </c>
      <c r="E267" s="1" t="n">
        <v>46318</v>
      </c>
      <c r="F267" t="inlineStr">
        <is>
          <t>JÄMTLANDS LÄN</t>
        </is>
      </c>
      <c r="G267" t="inlineStr">
        <is>
          <t>STRÖMSUND</t>
        </is>
      </c>
      <c r="H267" t="inlineStr">
        <is>
          <t>SCA</t>
        </is>
      </c>
      <c r="I267" t="n">
        <v>2.8</v>
      </c>
      <c r="J267" t="n">
        <v>0</v>
      </c>
      <c r="K267" t="n">
        <v>2</v>
      </c>
      <c r="L267" t="n">
        <v>0</v>
      </c>
      <c r="M267" t="n">
        <v>0</v>
      </c>
      <c r="N267" t="n">
        <v>0</v>
      </c>
      <c r="O267" t="n">
        <v>0</v>
      </c>
      <c r="P267" t="n">
        <v>0</v>
      </c>
      <c r="Q267" t="n">
        <v>0</v>
      </c>
      <c r="R267" t="n">
        <v>0</v>
      </c>
      <c r="S267" t="n">
        <v>2</v>
      </c>
      <c r="T267" t="n">
        <v>2</v>
      </c>
      <c r="U267" t="n">
        <v>0</v>
      </c>
      <c r="V267" s="2" t="inlineStr">
        <is>
          <t>Bollvitmossa
Skinnlav</t>
        </is>
      </c>
      <c r="W267">
        <f>HYPERLINK("https://klasma.github.io/Logging_2313/artfynd/A 27367-2023 artfynd.xlsx", "A 27367-2023")</f>
        <v/>
      </c>
      <c r="X267">
        <f>HYPERLINK("https://klasma.github.io/Logging_2313/kartor/A 27367-2023 karta.png", "A 27367-2023")</f>
        <v/>
      </c>
      <c r="Y267">
        <f>HYPERLINK("https://klasma.github.io/Logging_2313/kartor_geotiff/A 27367-2023 georefererad karta.tif", "A 27367-2023")</f>
        <v/>
      </c>
      <c r="AA267">
        <f>HYPERLINK("https://klasma.github.io/Logging_2313/klagomål/A 27367-2023 FSC-klagomål.docx", "A 27367-2023")</f>
        <v/>
      </c>
      <c r="AB267">
        <f>HYPERLINK("https://klasma.github.io/Logging_2313/klagomålsmail/A 27367-2023 FSC-klagomål mail.docx", "A 27367-2023")</f>
        <v/>
      </c>
      <c r="AC267">
        <f>HYPERLINK("https://klasma.github.io/Logging_2313/tillsyn/A 27367-2023 tillsynsbegäran.docx", "A 27367-2023")</f>
        <v/>
      </c>
      <c r="AD267">
        <f>HYPERLINK("https://klasma.github.io/Logging_2313/tillsynsmail/A 27367-2023 tillsynsbegäran mail.docx", "A 27367-2023")</f>
        <v/>
      </c>
    </row>
    <row r="268" ht="15" customHeight="1">
      <c r="A268" t="inlineStr">
        <is>
          <t>A 18987-2023</t>
        </is>
      </c>
      <c r="B268" t="inlineStr">
        <is>
          <t>avverkningsanmälan</t>
        </is>
      </c>
      <c r="C268" t="inlineStr">
        <is>
          <t>Föryngringsavverkning</t>
        </is>
      </c>
      <c r="D268" s="1" t="n">
        <v>45044</v>
      </c>
      <c r="E268" s="1" t="n">
        <v>46318</v>
      </c>
      <c r="F268" t="inlineStr">
        <is>
          <t>JÄMTLANDS LÄN</t>
        </is>
      </c>
      <c r="G268" t="inlineStr">
        <is>
          <t>STRÖMSUND</t>
        </is>
      </c>
      <c r="H268" t="inlineStr">
        <is>
          <t>SCA</t>
        </is>
      </c>
      <c r="I268" t="n">
        <v>4.4</v>
      </c>
      <c r="J268" t="n">
        <v>0</v>
      </c>
      <c r="K268" t="n">
        <v>1</v>
      </c>
      <c r="L268" t="n">
        <v>1</v>
      </c>
      <c r="M268" t="n">
        <v>0</v>
      </c>
      <c r="N268" t="n">
        <v>0</v>
      </c>
      <c r="O268" t="n">
        <v>0</v>
      </c>
      <c r="P268" t="n">
        <v>0</v>
      </c>
      <c r="Q268" t="n">
        <v>1</v>
      </c>
      <c r="R268" t="n">
        <v>0</v>
      </c>
      <c r="S268" t="n">
        <v>2</v>
      </c>
      <c r="T268" t="n">
        <v>5</v>
      </c>
      <c r="U268" t="n">
        <v>0</v>
      </c>
      <c r="V268" s="2" t="inlineStr">
        <is>
          <t>Skrovellav
Mörk husmossa</t>
        </is>
      </c>
      <c r="W268">
        <f>HYPERLINK("https://klasma.github.io/Logging_2313/artfynd/A 18987-2023 artfynd.xlsx", "A 18987-2023")</f>
        <v/>
      </c>
      <c r="X268">
        <f>HYPERLINK("https://klasma.github.io/Logging_2313/kartor/A 18987-2023 karta.png", "A 18987-2023")</f>
        <v/>
      </c>
      <c r="Y268">
        <f>HYPERLINK("https://klasma.github.io/Logging_2313/kartor_geotiff/A 18987-2023 georefererad karta.tif", "A 18987-2023")</f>
        <v/>
      </c>
      <c r="AA268">
        <f>HYPERLINK("https://klasma.github.io/Logging_2313/klagomål/A 18987-2023 FSC-klagomål.docx", "A 18987-2023")</f>
        <v/>
      </c>
      <c r="AB268">
        <f>HYPERLINK("https://klasma.github.io/Logging_2313/klagomålsmail/A 18987-2023 FSC-klagomål mail.docx", "A 18987-2023")</f>
        <v/>
      </c>
      <c r="AC268">
        <f>HYPERLINK("https://klasma.github.io/Logging_2313/tillsyn/A 18987-2023 tillsynsbegäran.docx", "A 18987-2023")</f>
        <v/>
      </c>
      <c r="AD268">
        <f>HYPERLINK("https://klasma.github.io/Logging_2313/tillsynsmail/A 18987-2023 tillsynsbegäran mail.docx", "A 18987-2023")</f>
        <v/>
      </c>
    </row>
    <row r="269" ht="15" customHeight="1">
      <c r="A269" t="inlineStr">
        <is>
          <t>A 44413-2023</t>
        </is>
      </c>
      <c r="B269" t="inlineStr">
        <is>
          <t>avverkningsanmälan</t>
        </is>
      </c>
      <c r="C269" t="inlineStr">
        <is>
          <t>Avverkning för att bevara och utveckla /försöksver</t>
        </is>
      </c>
      <c r="D269" s="1" t="n">
        <v>45188</v>
      </c>
      <c r="E269" s="1" t="n">
        <v>46318</v>
      </c>
      <c r="F269" t="inlineStr">
        <is>
          <t>JÄMTLANDS LÄN</t>
        </is>
      </c>
      <c r="G269" t="inlineStr">
        <is>
          <t>STRÖMSUND</t>
        </is>
      </c>
      <c r="H269" t="inlineStr">
        <is>
          <t>SCA</t>
        </is>
      </c>
      <c r="I269" t="n">
        <v>2</v>
      </c>
      <c r="J269" t="n">
        <v>1</v>
      </c>
      <c r="K269" t="n">
        <v>1</v>
      </c>
      <c r="L269" t="n">
        <v>1</v>
      </c>
      <c r="M269" t="n">
        <v>0</v>
      </c>
      <c r="N269" t="n">
        <v>0</v>
      </c>
      <c r="O269" t="n">
        <v>0</v>
      </c>
      <c r="P269" t="n">
        <v>0</v>
      </c>
      <c r="Q269" t="n">
        <v>1</v>
      </c>
      <c r="R269" t="n">
        <v>0</v>
      </c>
      <c r="S269" t="n">
        <v>2</v>
      </c>
      <c r="T269" t="n">
        <v>2</v>
      </c>
      <c r="U269" t="n">
        <v>0</v>
      </c>
      <c r="V269" s="2" t="inlineStr">
        <is>
          <t>Gammelgransskål
Korallrot</t>
        </is>
      </c>
      <c r="W269">
        <f>HYPERLINK("https://klasma.github.io/Logging_2313/artfynd/A 44413-2023 artfynd.xlsx", "A 44413-2023")</f>
        <v/>
      </c>
      <c r="X269">
        <f>HYPERLINK("https://klasma.github.io/Logging_2313/kartor/A 44413-2023 karta.png", "A 44413-2023")</f>
        <v/>
      </c>
      <c r="Y269">
        <f>HYPERLINK("https://klasma.github.io/Logging_2313/kartor_geotiff/A 44413-2023 georefererad karta.tif", "A 44413-2023")</f>
        <v/>
      </c>
      <c r="AA269">
        <f>HYPERLINK("https://klasma.github.io/Logging_2313/klagomål/A 44413-2023 FSC-klagomål.docx", "A 44413-2023")</f>
        <v/>
      </c>
      <c r="AB269">
        <f>HYPERLINK("https://klasma.github.io/Logging_2313/klagomålsmail/A 44413-2023 FSC-klagomål mail.docx", "A 44413-2023")</f>
        <v/>
      </c>
      <c r="AC269">
        <f>HYPERLINK("https://klasma.github.io/Logging_2313/tillsyn/A 44413-2023 tillsynsbegäran.docx", "A 44413-2023")</f>
        <v/>
      </c>
      <c r="AD269">
        <f>HYPERLINK("https://klasma.github.io/Logging_2313/tillsynsmail/A 44413-2023 tillsynsbegäran mail.docx", "A 44413-2023")</f>
        <v/>
      </c>
    </row>
    <row r="270" ht="15" customHeight="1">
      <c r="A270" t="inlineStr">
        <is>
          <t>A 37564-2026</t>
        </is>
      </c>
      <c r="B270" t="inlineStr">
        <is>
          <t>avverkningsanmälan</t>
        </is>
      </c>
      <c r="C270" t="inlineStr">
        <is>
          <t>Föryngringsavverkning</t>
        </is>
      </c>
      <c r="D270" s="1" t="n">
        <v>46276</v>
      </c>
      <c r="E270" s="1" t="n">
        <v>46318</v>
      </c>
      <c r="F270" t="inlineStr">
        <is>
          <t>JÄMTLANDS LÄN</t>
        </is>
      </c>
      <c r="G270" t="inlineStr">
        <is>
          <t>STRÖMSUND</t>
        </is>
      </c>
      <c r="H270" t="inlineStr">
        <is>
          <t>Övriga statliga verk och myndigheter</t>
        </is>
      </c>
      <c r="I270" t="n">
        <v>3.2</v>
      </c>
      <c r="J270" t="n">
        <v>1</v>
      </c>
      <c r="K270" t="n">
        <v>0</v>
      </c>
      <c r="L270" t="n">
        <v>1</v>
      </c>
      <c r="M270" t="n">
        <v>1</v>
      </c>
      <c r="N270" t="n">
        <v>0</v>
      </c>
      <c r="O270" t="n">
        <v>0</v>
      </c>
      <c r="P270" t="n">
        <v>0</v>
      </c>
      <c r="Q270" t="n">
        <v>2</v>
      </c>
      <c r="R270" t="n">
        <v>1</v>
      </c>
      <c r="S270" t="n">
        <v>2</v>
      </c>
      <c r="T270" t="n">
        <v>2</v>
      </c>
      <c r="U270" t="n">
        <v>2</v>
      </c>
      <c r="V270" s="2" t="inlineStr">
        <is>
          <t>Norsk näverlav
Tretåig hackspett</t>
        </is>
      </c>
      <c r="W270">
        <f>HYPERLINK("https://klasma.github.io/Logging_2313/artfynd/A 37564-2026 artfynd.xlsx", "A 37564-2026")</f>
        <v/>
      </c>
      <c r="X270">
        <f>HYPERLINK("https://klasma.github.io/Logging_2313/kartor/A 37564-2026 karta.png", "A 37564-2026")</f>
        <v/>
      </c>
      <c r="Y270">
        <f>HYPERLINK("https://klasma.github.io/Logging_2313/kartor_geotiff/A 37564-2026 georefererad karta.tif", "A 37564-2026")</f>
        <v/>
      </c>
      <c r="AA270">
        <f>HYPERLINK("https://klasma.github.io/Logging_2313/klagomål/A 37564-2026 FSC-klagomål.docx", "A 37564-2026")</f>
        <v/>
      </c>
      <c r="AB270">
        <f>HYPERLINK("https://klasma.github.io/Logging_2313/klagomålsmail/A 37564-2026 FSC-klagomål mail.docx", "A 37564-2026")</f>
        <v/>
      </c>
      <c r="AC270">
        <f>HYPERLINK("https://klasma.github.io/Logging_2313/tillsyn/A 37564-2026 tillsynsbegäran.docx", "A 37564-2026")</f>
        <v/>
      </c>
      <c r="AD270">
        <f>HYPERLINK("https://klasma.github.io/Logging_2313/tillsynsmail/A 37564-2026 tillsynsbegäran mail.docx", "A 37564-2026")</f>
        <v/>
      </c>
      <c r="AE270">
        <f>HYPERLINK("https://klasma.github.io/Logging_2313/fåglar/A 37564-2026 prioriterade fågelarter.docx", "A 37564-2026")</f>
        <v/>
      </c>
    </row>
    <row r="271" ht="15" customHeight="1">
      <c r="A271" t="inlineStr">
        <is>
          <t>A 49183-2024</t>
        </is>
      </c>
      <c r="B271" t="inlineStr">
        <is>
          <t>avverkningsanmälan</t>
        </is>
      </c>
      <c r="C271" t="inlineStr">
        <is>
          <t>Föryngringsavverkning</t>
        </is>
      </c>
      <c r="D271" s="1" t="n">
        <v>45595</v>
      </c>
      <c r="E271" s="1" t="n">
        <v>46318</v>
      </c>
      <c r="F271" t="inlineStr">
        <is>
          <t>JÄMTLANDS LÄN</t>
        </is>
      </c>
      <c r="G271" t="inlineStr">
        <is>
          <t>STRÖMSUND</t>
        </is>
      </c>
      <c r="H271" t="inlineStr">
        <is>
          <t>SCA</t>
        </is>
      </c>
      <c r="I271" t="n">
        <v>3</v>
      </c>
      <c r="J271" t="n">
        <v>1</v>
      </c>
      <c r="K271" t="n">
        <v>0</v>
      </c>
      <c r="L271" t="n">
        <v>1</v>
      </c>
      <c r="M271" t="n">
        <v>0</v>
      </c>
      <c r="N271" t="n">
        <v>0</v>
      </c>
      <c r="O271" t="n">
        <v>0</v>
      </c>
      <c r="P271" t="n">
        <v>0</v>
      </c>
      <c r="Q271" t="n">
        <v>1</v>
      </c>
      <c r="R271" t="n">
        <v>0</v>
      </c>
      <c r="S271" t="n">
        <v>2</v>
      </c>
      <c r="T271" t="n">
        <v>5</v>
      </c>
      <c r="U271" t="n">
        <v>5</v>
      </c>
      <c r="V271" s="2" t="inlineStr">
        <is>
          <t>Ullticka
Revlummer</t>
        </is>
      </c>
      <c r="W271">
        <f>HYPERLINK("https://klasma.github.io/Logging_2313/artfynd/A 49183-2024 artfynd.xlsx", "A 49183-2024")</f>
        <v/>
      </c>
      <c r="X271">
        <f>HYPERLINK("https://klasma.github.io/Logging_2313/kartor/A 49183-2024 karta.png", "A 49183-2024")</f>
        <v/>
      </c>
      <c r="Y271">
        <f>HYPERLINK("https://klasma.github.io/Logging_2313/kartor_geotiff/A 49183-2024 georefererad karta.tif", "A 49183-2024")</f>
        <v/>
      </c>
      <c r="AA271">
        <f>HYPERLINK("https://klasma.github.io/Logging_2313/klagomål/A 49183-2024 FSC-klagomål.docx", "A 49183-2024")</f>
        <v/>
      </c>
      <c r="AB271">
        <f>HYPERLINK("https://klasma.github.io/Logging_2313/klagomålsmail/A 49183-2024 FSC-klagomål mail.docx", "A 49183-2024")</f>
        <v/>
      </c>
      <c r="AC271">
        <f>HYPERLINK("https://klasma.github.io/Logging_2313/tillsyn/A 49183-2024 tillsynsbegäran.docx", "A 49183-2024")</f>
        <v/>
      </c>
      <c r="AD271">
        <f>HYPERLINK("https://klasma.github.io/Logging_2313/tillsynsmail/A 49183-2024 tillsynsbegäran mail.docx", "A 49183-2024")</f>
        <v/>
      </c>
    </row>
    <row r="272" ht="15" customHeight="1">
      <c r="A272" t="inlineStr">
        <is>
          <t>A 39096-2026</t>
        </is>
      </c>
      <c r="B272" t="inlineStr">
        <is>
          <t>avverkningsanmälan</t>
        </is>
      </c>
      <c r="C272" t="inlineStr">
        <is>
          <t>Föryngringsavverkning</t>
        </is>
      </c>
      <c r="D272" s="1" t="n">
        <v>46287</v>
      </c>
      <c r="E272" s="1" t="n">
        <v>46318</v>
      </c>
      <c r="F272" t="inlineStr">
        <is>
          <t>JÄMTLANDS LÄN</t>
        </is>
      </c>
      <c r="G272" t="inlineStr">
        <is>
          <t>STRÖMSUND</t>
        </is>
      </c>
      <c r="H272" t="inlineStr">
        <is>
          <t>SCA</t>
        </is>
      </c>
      <c r="I272" t="n">
        <v>1.8</v>
      </c>
      <c r="J272" t="n">
        <v>0</v>
      </c>
      <c r="K272" t="n">
        <v>0</v>
      </c>
      <c r="L272" t="n">
        <v>2</v>
      </c>
      <c r="M272" t="n">
        <v>0</v>
      </c>
      <c r="N272" t="n">
        <v>0</v>
      </c>
      <c r="O272" t="n">
        <v>0</v>
      </c>
      <c r="P272" t="n">
        <v>0</v>
      </c>
      <c r="Q272" t="n">
        <v>2</v>
      </c>
      <c r="R272" t="n">
        <v>0</v>
      </c>
      <c r="S272" t="n">
        <v>2</v>
      </c>
      <c r="T272" t="n">
        <v>2</v>
      </c>
      <c r="U272" t="n">
        <v>0</v>
      </c>
      <c r="V272" s="2" t="inlineStr">
        <is>
          <t>Lunglav
Rosenticka</t>
        </is>
      </c>
      <c r="W272">
        <f>HYPERLINK("https://klasma.github.io/Logging_2313/artfynd/A 39096-2026 artfynd.xlsx", "A 39096-2026")</f>
        <v/>
      </c>
      <c r="X272">
        <f>HYPERLINK("https://klasma.github.io/Logging_2313/kartor/A 39096-2026 karta.png", "A 39096-2026")</f>
        <v/>
      </c>
      <c r="Y272">
        <f>HYPERLINK("https://klasma.github.io/Logging_2313/kartor_geotiff/A 39096-2026 georefererad karta.tif", "A 39096-2026")</f>
        <v/>
      </c>
      <c r="AA272">
        <f>HYPERLINK("https://klasma.github.io/Logging_2313/klagomål/A 39096-2026 FSC-klagomål.docx", "A 39096-2026")</f>
        <v/>
      </c>
      <c r="AB272">
        <f>HYPERLINK("https://klasma.github.io/Logging_2313/klagomålsmail/A 39096-2026 FSC-klagomål mail.docx", "A 39096-2026")</f>
        <v/>
      </c>
      <c r="AC272">
        <f>HYPERLINK("https://klasma.github.io/Logging_2313/tillsyn/A 39096-2026 tillsynsbegäran.docx", "A 39096-2026")</f>
        <v/>
      </c>
      <c r="AD272">
        <f>HYPERLINK("https://klasma.github.io/Logging_2313/tillsynsmail/A 39096-2026 tillsynsbegäran mail.docx", "A 39096-2026")</f>
        <v/>
      </c>
    </row>
    <row r="273" ht="15" customHeight="1">
      <c r="A273" t="inlineStr">
        <is>
          <t>A 39257-2026</t>
        </is>
      </c>
      <c r="B273" t="inlineStr">
        <is>
          <t>avverkningsanmälan</t>
        </is>
      </c>
      <c r="C273" t="inlineStr">
        <is>
          <t>Föryngringsavverkning</t>
        </is>
      </c>
      <c r="D273" s="1" t="n">
        <v>46288</v>
      </c>
      <c r="E273" s="1" t="n">
        <v>46318</v>
      </c>
      <c r="F273" t="inlineStr">
        <is>
          <t>JÄMTLANDS LÄN</t>
        </is>
      </c>
      <c r="G273" t="inlineStr">
        <is>
          <t>STRÖMSUND</t>
        </is>
      </c>
      <c r="H273" t="inlineStr">
        <is>
          <t>SCA</t>
        </is>
      </c>
      <c r="I273" t="n">
        <v>1.8</v>
      </c>
      <c r="J273" t="n">
        <v>0</v>
      </c>
      <c r="K273" t="n">
        <v>0</v>
      </c>
      <c r="L273" t="n">
        <v>1</v>
      </c>
      <c r="M273" t="n">
        <v>1</v>
      </c>
      <c r="N273" t="n">
        <v>0</v>
      </c>
      <c r="O273" t="n">
        <v>0</v>
      </c>
      <c r="P273" t="n">
        <v>0</v>
      </c>
      <c r="Q273" t="n">
        <v>2</v>
      </c>
      <c r="R273" t="n">
        <v>1</v>
      </c>
      <c r="S273" t="n">
        <v>2</v>
      </c>
      <c r="T273" t="n">
        <v>2</v>
      </c>
      <c r="U273" t="n">
        <v>0</v>
      </c>
      <c r="V273" s="2" t="inlineStr">
        <is>
          <t>Garnlav
Gammelgransskål</t>
        </is>
      </c>
      <c r="W273">
        <f>HYPERLINK("https://klasma.github.io/Logging_2313/artfynd/A 39257-2026 artfynd.xlsx", "A 39257-2026")</f>
        <v/>
      </c>
      <c r="X273">
        <f>HYPERLINK("https://klasma.github.io/Logging_2313/kartor/A 39257-2026 karta.png", "A 39257-2026")</f>
        <v/>
      </c>
      <c r="Y273">
        <f>HYPERLINK("https://klasma.github.io/Logging_2313/kartor_geotiff/A 39257-2026 georefererad karta.tif", "A 39257-2026")</f>
        <v/>
      </c>
      <c r="AA273">
        <f>HYPERLINK("https://klasma.github.io/Logging_2313/klagomål/A 39257-2026 FSC-klagomål.docx", "A 39257-2026")</f>
        <v/>
      </c>
      <c r="AB273">
        <f>HYPERLINK("https://klasma.github.io/Logging_2313/klagomålsmail/A 39257-2026 FSC-klagomål mail.docx", "A 39257-2026")</f>
        <v/>
      </c>
      <c r="AC273">
        <f>HYPERLINK("https://klasma.github.io/Logging_2313/tillsyn/A 39257-2026 tillsynsbegäran.docx", "A 39257-2026")</f>
        <v/>
      </c>
      <c r="AD273">
        <f>HYPERLINK("https://klasma.github.io/Logging_2313/tillsynsmail/A 39257-2026 tillsynsbegäran mail.docx", "A 39257-2026")</f>
        <v/>
      </c>
    </row>
    <row r="274" ht="15" customHeight="1">
      <c r="A274" t="inlineStr">
        <is>
          <t>A 39628-2026</t>
        </is>
      </c>
      <c r="B274" t="inlineStr">
        <is>
          <t>avverkningsanmälan</t>
        </is>
      </c>
      <c r="C274" t="inlineStr">
        <is>
          <t>Föryngringsavverkning</t>
        </is>
      </c>
      <c r="D274" s="1" t="n">
        <v>46289</v>
      </c>
      <c r="E274" s="1" t="n">
        <v>46318</v>
      </c>
      <c r="F274" t="inlineStr">
        <is>
          <t>JÄMTLANDS LÄN</t>
        </is>
      </c>
      <c r="G274" t="inlineStr">
        <is>
          <t>STRÖMSUND</t>
        </is>
      </c>
      <c r="I274" t="n">
        <v>3.1</v>
      </c>
      <c r="J274" t="n">
        <v>1</v>
      </c>
      <c r="K274" t="n">
        <v>0</v>
      </c>
      <c r="L274" t="n">
        <v>0</v>
      </c>
      <c r="M274" t="n">
        <v>0</v>
      </c>
      <c r="N274" t="n">
        <v>0</v>
      </c>
      <c r="O274" t="n">
        <v>0</v>
      </c>
      <c r="P274" t="n">
        <v>0</v>
      </c>
      <c r="Q274" t="n">
        <v>0</v>
      </c>
      <c r="R274" t="n">
        <v>0</v>
      </c>
      <c r="S274" t="n">
        <v>2</v>
      </c>
      <c r="T274" t="n">
        <v>4</v>
      </c>
      <c r="U274" t="n">
        <v>0</v>
      </c>
      <c r="V274" s="2" t="inlineStr">
        <is>
          <t>Nordisk stormhatt
Trana</t>
        </is>
      </c>
      <c r="W274">
        <f>HYPERLINK("https://klasma.github.io/Logging_2313/artfynd/A 39628-2026 artfynd.xlsx", "A 39628-2026")</f>
        <v/>
      </c>
      <c r="X274">
        <f>HYPERLINK("https://klasma.github.io/Logging_2313/kartor/A 39628-2026 karta.png", "A 39628-2026")</f>
        <v/>
      </c>
      <c r="Y274">
        <f>HYPERLINK("https://klasma.github.io/Logging_2313/kartor_geotiff/A 39628-2026 georefererad karta.tif", "A 39628-2026")</f>
        <v/>
      </c>
      <c r="AA274">
        <f>HYPERLINK("https://klasma.github.io/Logging_2313/klagomål/A 39628-2026 FSC-klagomål.docx", "A 39628-2026")</f>
        <v/>
      </c>
      <c r="AB274">
        <f>HYPERLINK("https://klasma.github.io/Logging_2313/klagomålsmail/A 39628-2026 FSC-klagomål mail.docx", "A 39628-2026")</f>
        <v/>
      </c>
      <c r="AC274">
        <f>HYPERLINK("https://klasma.github.io/Logging_2313/tillsyn/A 39628-2026 tillsynsbegäran.docx", "A 39628-2026")</f>
        <v/>
      </c>
      <c r="AD274">
        <f>HYPERLINK("https://klasma.github.io/Logging_2313/tillsynsmail/A 39628-2026 tillsynsbegäran mail.docx", "A 39628-2026")</f>
        <v/>
      </c>
      <c r="AE274">
        <f>HYPERLINK("https://klasma.github.io/Logging_2313/fåglar/A 39628-2026 prioriterade fågelarter.docx", "A 39628-2026")</f>
        <v/>
      </c>
    </row>
    <row r="275" ht="15" customHeight="1">
      <c r="A275" t="inlineStr">
        <is>
          <t>A 54944-2024</t>
        </is>
      </c>
      <c r="B275" t="inlineStr">
        <is>
          <t>avverkningsanmälan</t>
        </is>
      </c>
      <c r="C275" t="inlineStr">
        <is>
          <t>Föryngringsavverkning</t>
        </is>
      </c>
      <c r="D275" s="1" t="n">
        <v>45619</v>
      </c>
      <c r="E275" s="1" t="n">
        <v>46318</v>
      </c>
      <c r="F275" t="inlineStr">
        <is>
          <t>JÄMTLANDS LÄN</t>
        </is>
      </c>
      <c r="G275" t="inlineStr">
        <is>
          <t>STRÖMSUND</t>
        </is>
      </c>
      <c r="H275" t="inlineStr">
        <is>
          <t>SCA</t>
        </is>
      </c>
      <c r="I275" t="n">
        <v>3.6</v>
      </c>
      <c r="J275" t="n">
        <v>0</v>
      </c>
      <c r="K275" t="n">
        <v>0</v>
      </c>
      <c r="L275" t="n">
        <v>2</v>
      </c>
      <c r="M275" t="n">
        <v>0</v>
      </c>
      <c r="N275" t="n">
        <v>0</v>
      </c>
      <c r="O275" t="n">
        <v>0</v>
      </c>
      <c r="P275" t="n">
        <v>0</v>
      </c>
      <c r="Q275" t="n">
        <v>2</v>
      </c>
      <c r="R275" t="n">
        <v>0</v>
      </c>
      <c r="S275" t="n">
        <v>2</v>
      </c>
      <c r="T275" t="n">
        <v>2</v>
      </c>
      <c r="U275" t="n">
        <v>1</v>
      </c>
      <c r="V275" s="2" t="inlineStr">
        <is>
          <t>Orange taggsvamp
Skogshare</t>
        </is>
      </c>
      <c r="W275">
        <f>HYPERLINK("https://klasma.github.io/Logging_2313/artfynd/A 54944-2024 artfynd.xlsx", "A 54944-2024")</f>
        <v/>
      </c>
      <c r="X275">
        <f>HYPERLINK("https://klasma.github.io/Logging_2313/kartor/A 54944-2024 karta.png", "A 54944-2024")</f>
        <v/>
      </c>
      <c r="Y275">
        <f>HYPERLINK("https://klasma.github.io/Logging_2313/kartor_geotiff/A 54944-2024 georefererad karta.tif", "A 54944-2024")</f>
        <v/>
      </c>
      <c r="AA275">
        <f>HYPERLINK("https://klasma.github.io/Logging_2313/klagomål/A 54944-2024 FSC-klagomål.docx", "A 54944-2024")</f>
        <v/>
      </c>
      <c r="AB275">
        <f>HYPERLINK("https://klasma.github.io/Logging_2313/klagomålsmail/A 54944-2024 FSC-klagomål mail.docx", "A 54944-2024")</f>
        <v/>
      </c>
      <c r="AC275">
        <f>HYPERLINK("https://klasma.github.io/Logging_2313/tillsyn/A 54944-2024 tillsynsbegäran.docx", "A 54944-2024")</f>
        <v/>
      </c>
      <c r="AD275">
        <f>HYPERLINK("https://klasma.github.io/Logging_2313/tillsynsmail/A 54944-2024 tillsynsbegäran mail.docx", "A 54944-2024")</f>
        <v/>
      </c>
    </row>
    <row r="276" ht="15" customHeight="1">
      <c r="A276" t="inlineStr">
        <is>
          <t>A 36334-2024</t>
        </is>
      </c>
      <c r="B276" t="inlineStr">
        <is>
          <t>avverkningsanmälan</t>
        </is>
      </c>
      <c r="C276" t="inlineStr">
        <is>
          <t>Föryngringsavverkning</t>
        </is>
      </c>
      <c r="D276" s="1" t="n">
        <v>45534</v>
      </c>
      <c r="E276" s="1" t="n">
        <v>46318</v>
      </c>
      <c r="F276" t="inlineStr">
        <is>
          <t>JÄMTLANDS LÄN</t>
        </is>
      </c>
      <c r="G276" t="inlineStr">
        <is>
          <t>STRÖMSUND</t>
        </is>
      </c>
      <c r="H276" t="inlineStr">
        <is>
          <t>SCA</t>
        </is>
      </c>
      <c r="I276" t="n">
        <v>9.699999999999999</v>
      </c>
      <c r="J276" t="n">
        <v>1</v>
      </c>
      <c r="K276" t="n">
        <v>0</v>
      </c>
      <c r="L276" t="n">
        <v>1</v>
      </c>
      <c r="M276" t="n">
        <v>1</v>
      </c>
      <c r="N276" t="n">
        <v>0</v>
      </c>
      <c r="O276" t="n">
        <v>0</v>
      </c>
      <c r="P276" t="n">
        <v>0</v>
      </c>
      <c r="Q276" t="n">
        <v>2</v>
      </c>
      <c r="R276" t="n">
        <v>1</v>
      </c>
      <c r="S276" t="n">
        <v>2</v>
      </c>
      <c r="T276" t="n">
        <v>2</v>
      </c>
      <c r="U276" t="n">
        <v>0</v>
      </c>
      <c r="V276" s="2" t="inlineStr">
        <is>
          <t>Doftticka
Doftskinn</t>
        </is>
      </c>
      <c r="W276">
        <f>HYPERLINK("https://klasma.github.io/Logging_2313/artfynd/A 36334-2024 artfynd.xlsx", "A 36334-2024")</f>
        <v/>
      </c>
      <c r="X276">
        <f>HYPERLINK("https://klasma.github.io/Logging_2313/kartor/A 36334-2024 karta.png", "A 36334-2024")</f>
        <v/>
      </c>
      <c r="Y276">
        <f>HYPERLINK("https://klasma.github.io/Logging_2313/kartor_geotiff/A 36334-2024 georefererad karta.tif", "A 36334-2024")</f>
        <v/>
      </c>
      <c r="AA276">
        <f>HYPERLINK("https://klasma.github.io/Logging_2313/klagomål/A 36334-2024 FSC-klagomål.docx", "A 36334-2024")</f>
        <v/>
      </c>
      <c r="AB276">
        <f>HYPERLINK("https://klasma.github.io/Logging_2313/klagomålsmail/A 36334-2024 FSC-klagomål mail.docx", "A 36334-2024")</f>
        <v/>
      </c>
      <c r="AC276">
        <f>HYPERLINK("https://klasma.github.io/Logging_2313/tillsyn/A 36334-2024 tillsynsbegäran.docx", "A 36334-2024")</f>
        <v/>
      </c>
      <c r="AD276">
        <f>HYPERLINK("https://klasma.github.io/Logging_2313/tillsynsmail/A 36334-2024 tillsynsbegäran mail.docx", "A 36334-2024")</f>
        <v/>
      </c>
    </row>
    <row r="277" ht="15" customHeight="1">
      <c r="A277" t="inlineStr">
        <is>
          <t>A 50274-2025</t>
        </is>
      </c>
      <c r="B277" t="inlineStr">
        <is>
          <t>avverkningsanmälan</t>
        </is>
      </c>
      <c r="C277" t="inlineStr">
        <is>
          <t>Föryngringsavverkning</t>
        </is>
      </c>
      <c r="D277" s="1" t="n">
        <v>45944</v>
      </c>
      <c r="E277" s="1" t="n">
        <v>46318</v>
      </c>
      <c r="F277" t="inlineStr">
        <is>
          <t>JÄMTLANDS LÄN</t>
        </is>
      </c>
      <c r="G277" t="inlineStr">
        <is>
          <t>STRÖMSUND</t>
        </is>
      </c>
      <c r="I277" t="n">
        <v>2.8</v>
      </c>
      <c r="J277" t="n">
        <v>1</v>
      </c>
      <c r="K277" t="n">
        <v>0</v>
      </c>
      <c r="L277" t="n">
        <v>1</v>
      </c>
      <c r="M277" t="n">
        <v>1</v>
      </c>
      <c r="N277" t="n">
        <v>0</v>
      </c>
      <c r="O277" t="n">
        <v>0</v>
      </c>
      <c r="P277" t="n">
        <v>0</v>
      </c>
      <c r="Q277" t="n">
        <v>2</v>
      </c>
      <c r="R277" t="n">
        <v>1</v>
      </c>
      <c r="S277" t="n">
        <v>2</v>
      </c>
      <c r="T277" t="n">
        <v>5</v>
      </c>
      <c r="U277" t="n">
        <v>5</v>
      </c>
      <c r="V277" s="2" t="inlineStr">
        <is>
          <t>Garnlav
Tretåig hackspett</t>
        </is>
      </c>
      <c r="W277">
        <f>HYPERLINK("https://klasma.github.io/Logging_2313/artfynd/A 50274-2025 artfynd.xlsx", "A 50274-2025")</f>
        <v/>
      </c>
      <c r="X277">
        <f>HYPERLINK("https://klasma.github.io/Logging_2313/kartor/A 50274-2025 karta.png", "A 50274-2025")</f>
        <v/>
      </c>
      <c r="Y277">
        <f>HYPERLINK("https://klasma.github.io/Logging_2313/kartor_geotiff/A 50274-2025 georefererad karta.tif", "A 50274-2025")</f>
        <v/>
      </c>
      <c r="AA277">
        <f>HYPERLINK("https://klasma.github.io/Logging_2313/klagomål/A 50274-2025 FSC-klagomål.docx", "A 50274-2025")</f>
        <v/>
      </c>
      <c r="AB277">
        <f>HYPERLINK("https://klasma.github.io/Logging_2313/klagomålsmail/A 50274-2025 FSC-klagomål mail.docx", "A 50274-2025")</f>
        <v/>
      </c>
      <c r="AC277">
        <f>HYPERLINK("https://klasma.github.io/Logging_2313/tillsyn/A 50274-2025 tillsynsbegäran.docx", "A 50274-2025")</f>
        <v/>
      </c>
      <c r="AD277">
        <f>HYPERLINK("https://klasma.github.io/Logging_2313/tillsynsmail/A 50274-2025 tillsynsbegäran mail.docx", "A 50274-2025")</f>
        <v/>
      </c>
      <c r="AE277">
        <f>HYPERLINK("https://klasma.github.io/Logging_2313/fåglar/A 50274-2025 prioriterade fågelarter.docx", "A 50274-2025")</f>
        <v/>
      </c>
    </row>
    <row r="278" ht="15" customHeight="1">
      <c r="A278" t="inlineStr">
        <is>
          <t>A 46969-2024</t>
        </is>
      </c>
      <c r="B278" t="inlineStr">
        <is>
          <t>avverkningsanmälan</t>
        </is>
      </c>
      <c r="C278" t="inlineStr">
        <is>
          <t>Föryngringsavverkning</t>
        </is>
      </c>
      <c r="D278" s="1" t="n">
        <v>45586</v>
      </c>
      <c r="E278" s="1" t="n">
        <v>46318</v>
      </c>
      <c r="F278" t="inlineStr">
        <is>
          <t>JÄMTLANDS LÄN</t>
        </is>
      </c>
      <c r="G278" t="inlineStr">
        <is>
          <t>STRÖMSUND</t>
        </is>
      </c>
      <c r="H278" t="inlineStr">
        <is>
          <t>Holmen skog AB</t>
        </is>
      </c>
      <c r="I278" t="n">
        <v>4.9</v>
      </c>
      <c r="J278" t="n">
        <v>1</v>
      </c>
      <c r="K278" t="n">
        <v>0</v>
      </c>
      <c r="L278" t="n">
        <v>2</v>
      </c>
      <c r="M278" t="n">
        <v>0</v>
      </c>
      <c r="N278" t="n">
        <v>0</v>
      </c>
      <c r="O278" t="n">
        <v>0</v>
      </c>
      <c r="P278" t="n">
        <v>0</v>
      </c>
      <c r="Q278" t="n">
        <v>2</v>
      </c>
      <c r="R278" t="n">
        <v>0</v>
      </c>
      <c r="S278" t="n">
        <v>2</v>
      </c>
      <c r="T278" t="n">
        <v>4</v>
      </c>
      <c r="U278" t="n">
        <v>4</v>
      </c>
      <c r="V278" s="2" t="inlineStr">
        <is>
          <t>Harticka
Tretåig hackspett</t>
        </is>
      </c>
      <c r="W278">
        <f>HYPERLINK("https://klasma.github.io/Logging_2313/artfynd/A 46969-2024 artfynd.xlsx", "A 46969-2024")</f>
        <v/>
      </c>
      <c r="X278">
        <f>HYPERLINK("https://klasma.github.io/Logging_2313/kartor/A 46969-2024 karta.png", "A 46969-2024")</f>
        <v/>
      </c>
      <c r="Y278">
        <f>HYPERLINK("https://klasma.github.io/Logging_2313/kartor_geotiff/A 46969-2024 georefererad karta.tif", "A 46969-2024")</f>
        <v/>
      </c>
      <c r="AA278">
        <f>HYPERLINK("https://klasma.github.io/Logging_2313/klagomål/A 46969-2024 FSC-klagomål.docx", "A 46969-2024")</f>
        <v/>
      </c>
      <c r="AB278">
        <f>HYPERLINK("https://klasma.github.io/Logging_2313/klagomålsmail/A 46969-2024 FSC-klagomål mail.docx", "A 46969-2024")</f>
        <v/>
      </c>
      <c r="AC278">
        <f>HYPERLINK("https://klasma.github.io/Logging_2313/tillsyn/A 46969-2024 tillsynsbegäran.docx", "A 46969-2024")</f>
        <v/>
      </c>
      <c r="AD278">
        <f>HYPERLINK("https://klasma.github.io/Logging_2313/tillsynsmail/A 46969-2024 tillsynsbegäran mail.docx", "A 46969-2024")</f>
        <v/>
      </c>
      <c r="AE278">
        <f>HYPERLINK("https://klasma.github.io/Logging_2313/fåglar/A 46969-2024 prioriterade fågelarter.docx", "A 46969-2024")</f>
        <v/>
      </c>
    </row>
    <row r="279" ht="15" customHeight="1">
      <c r="A279" t="inlineStr">
        <is>
          <t>A 35466-2026</t>
        </is>
      </c>
      <c r="B279" t="inlineStr">
        <is>
          <t>avverkningsanmälan</t>
        </is>
      </c>
      <c r="C279" t="inlineStr">
        <is>
          <t>Föryngringsavverkning</t>
        </is>
      </c>
      <c r="D279" s="1" t="n">
        <v>46262</v>
      </c>
      <c r="E279" s="1" t="n">
        <v>46318</v>
      </c>
      <c r="F279" t="inlineStr">
        <is>
          <t>JÄMTLANDS LÄN</t>
        </is>
      </c>
      <c r="G279" t="inlineStr">
        <is>
          <t>STRÖMSUND</t>
        </is>
      </c>
      <c r="H279" t="inlineStr">
        <is>
          <t>Övriga statliga verk och myndigheter</t>
        </is>
      </c>
      <c r="I279" t="n">
        <v>3</v>
      </c>
      <c r="J279" t="n">
        <v>1</v>
      </c>
      <c r="K279" t="n">
        <v>0</v>
      </c>
      <c r="L279" t="n">
        <v>2</v>
      </c>
      <c r="M279" t="n">
        <v>0</v>
      </c>
      <c r="N279" t="n">
        <v>0</v>
      </c>
      <c r="O279" t="n">
        <v>0</v>
      </c>
      <c r="P279" t="n">
        <v>0</v>
      </c>
      <c r="Q279" t="n">
        <v>2</v>
      </c>
      <c r="R279" t="n">
        <v>0</v>
      </c>
      <c r="S279" t="n">
        <v>2</v>
      </c>
      <c r="T279" t="n">
        <v>2</v>
      </c>
      <c r="U279" t="n">
        <v>2</v>
      </c>
      <c r="V279" s="2" t="inlineStr">
        <is>
          <t>Harticka
Tretåig hackspett</t>
        </is>
      </c>
      <c r="W279">
        <f>HYPERLINK("https://klasma.github.io/Logging_2313/artfynd/A 35466-2026 artfynd.xlsx", "A 35466-2026")</f>
        <v/>
      </c>
      <c r="X279">
        <f>HYPERLINK("https://klasma.github.io/Logging_2313/kartor/A 35466-2026 karta.png", "A 35466-2026")</f>
        <v/>
      </c>
      <c r="Y279">
        <f>HYPERLINK("https://klasma.github.io/Logging_2313/kartor_geotiff/A 35466-2026 georefererad karta.tif", "A 35466-2026")</f>
        <v/>
      </c>
      <c r="AA279">
        <f>HYPERLINK("https://klasma.github.io/Logging_2313/klagomål/A 35466-2026 FSC-klagomål.docx", "A 35466-2026")</f>
        <v/>
      </c>
      <c r="AB279">
        <f>HYPERLINK("https://klasma.github.io/Logging_2313/klagomålsmail/A 35466-2026 FSC-klagomål mail.docx", "A 35466-2026")</f>
        <v/>
      </c>
      <c r="AC279">
        <f>HYPERLINK("https://klasma.github.io/Logging_2313/tillsyn/A 35466-2026 tillsynsbegäran.docx", "A 35466-2026")</f>
        <v/>
      </c>
      <c r="AD279">
        <f>HYPERLINK("https://klasma.github.io/Logging_2313/tillsynsmail/A 35466-2026 tillsynsbegäran mail.docx", "A 35466-2026")</f>
        <v/>
      </c>
      <c r="AE279">
        <f>HYPERLINK("https://klasma.github.io/Logging_2313/fåglar/A 35466-2026 prioriterade fågelarter.docx", "A 35466-2026")</f>
        <v/>
      </c>
    </row>
    <row r="280" ht="15" customHeight="1">
      <c r="A280" t="inlineStr">
        <is>
          <t>A 35462-2026</t>
        </is>
      </c>
      <c r="B280" t="inlineStr">
        <is>
          <t>avverkningsanmälan</t>
        </is>
      </c>
      <c r="C280" t="inlineStr">
        <is>
          <t>Föryngringsavverkning</t>
        </is>
      </c>
      <c r="D280" s="1" t="n">
        <v>46262</v>
      </c>
      <c r="E280" s="1" t="n">
        <v>46318</v>
      </c>
      <c r="F280" t="inlineStr">
        <is>
          <t>JÄMTLANDS LÄN</t>
        </is>
      </c>
      <c r="G280" t="inlineStr">
        <is>
          <t>STRÖMSUND</t>
        </is>
      </c>
      <c r="H280" t="inlineStr">
        <is>
          <t>Övriga statliga verk och myndigheter</t>
        </is>
      </c>
      <c r="I280" t="n">
        <v>3.8</v>
      </c>
      <c r="J280" t="n">
        <v>1</v>
      </c>
      <c r="K280" t="n">
        <v>0</v>
      </c>
      <c r="L280" t="n">
        <v>2</v>
      </c>
      <c r="M280" t="n">
        <v>0</v>
      </c>
      <c r="N280" t="n">
        <v>0</v>
      </c>
      <c r="O280" t="n">
        <v>0</v>
      </c>
      <c r="P280" t="n">
        <v>0</v>
      </c>
      <c r="Q280" t="n">
        <v>2</v>
      </c>
      <c r="R280" t="n">
        <v>0</v>
      </c>
      <c r="S280" t="n">
        <v>2</v>
      </c>
      <c r="T280" t="n">
        <v>3</v>
      </c>
      <c r="U280" t="n">
        <v>3</v>
      </c>
      <c r="V280" s="2" t="inlineStr">
        <is>
          <t>Harticka
Tretåig hackspett</t>
        </is>
      </c>
      <c r="W280">
        <f>HYPERLINK("https://klasma.github.io/Logging_2313/artfynd/A 35462-2026 artfynd.xlsx", "A 35462-2026")</f>
        <v/>
      </c>
      <c r="X280">
        <f>HYPERLINK("https://klasma.github.io/Logging_2313/kartor/A 35462-2026 karta.png", "A 35462-2026")</f>
        <v/>
      </c>
      <c r="Y280">
        <f>HYPERLINK("https://klasma.github.io/Logging_2313/kartor_geotiff/A 35462-2026 georefererad karta.tif", "A 35462-2026")</f>
        <v/>
      </c>
      <c r="AA280">
        <f>HYPERLINK("https://klasma.github.io/Logging_2313/klagomål/A 35462-2026 FSC-klagomål.docx", "A 35462-2026")</f>
        <v/>
      </c>
      <c r="AB280">
        <f>HYPERLINK("https://klasma.github.io/Logging_2313/klagomålsmail/A 35462-2026 FSC-klagomål mail.docx", "A 35462-2026")</f>
        <v/>
      </c>
      <c r="AC280">
        <f>HYPERLINK("https://klasma.github.io/Logging_2313/tillsyn/A 35462-2026 tillsynsbegäran.docx", "A 35462-2026")</f>
        <v/>
      </c>
      <c r="AD280">
        <f>HYPERLINK("https://klasma.github.io/Logging_2313/tillsynsmail/A 35462-2026 tillsynsbegäran mail.docx", "A 35462-2026")</f>
        <v/>
      </c>
      <c r="AE280">
        <f>HYPERLINK("https://klasma.github.io/Logging_2313/fåglar/A 35462-2026 prioriterade fågelarter.docx", "A 35462-2026")</f>
        <v/>
      </c>
    </row>
    <row r="281" ht="15" customHeight="1">
      <c r="A281" t="inlineStr">
        <is>
          <t>A 2533-2025</t>
        </is>
      </c>
      <c r="B281" t="inlineStr">
        <is>
          <t>avverkningsanmälan</t>
        </is>
      </c>
      <c r="C281" t="inlineStr">
        <is>
          <t>Föryngringsavverkning</t>
        </is>
      </c>
      <c r="D281" s="1" t="n">
        <v>45674</v>
      </c>
      <c r="E281" s="1" t="n">
        <v>46318</v>
      </c>
      <c r="F281" t="inlineStr">
        <is>
          <t>JÄMTLANDS LÄN</t>
        </is>
      </c>
      <c r="G281" t="inlineStr">
        <is>
          <t>STRÖMSUND</t>
        </is>
      </c>
      <c r="H281" t="inlineStr">
        <is>
          <t>SCA</t>
        </is>
      </c>
      <c r="I281" t="n">
        <v>3.1</v>
      </c>
      <c r="J281" t="n">
        <v>2</v>
      </c>
      <c r="K281" t="n">
        <v>2</v>
      </c>
      <c r="L281" t="n">
        <v>0</v>
      </c>
      <c r="M281" t="n">
        <v>0</v>
      </c>
      <c r="N281" t="n">
        <v>0</v>
      </c>
      <c r="O281" t="n">
        <v>0</v>
      </c>
      <c r="P281" t="n">
        <v>0</v>
      </c>
      <c r="Q281" t="n">
        <v>0</v>
      </c>
      <c r="R281" t="n">
        <v>0</v>
      </c>
      <c r="S281" t="n">
        <v>2</v>
      </c>
      <c r="T281" t="n">
        <v>2</v>
      </c>
      <c r="U281" t="n">
        <v>0</v>
      </c>
      <c r="V281" s="2" t="inlineStr">
        <is>
          <t>Guckusko
Tvåblad</t>
        </is>
      </c>
      <c r="W281">
        <f>HYPERLINK("https://klasma.github.io/Logging_2313/artfynd/A 2533-2025 artfynd.xlsx", "A 2533-2025")</f>
        <v/>
      </c>
      <c r="X281">
        <f>HYPERLINK("https://klasma.github.io/Logging_2313/kartor/A 2533-2025 karta.png", "A 2533-2025")</f>
        <v/>
      </c>
      <c r="Y281">
        <f>HYPERLINK("https://klasma.github.io/Logging_2313/kartor_geotiff/A 2533-2025 georefererad karta.tif", "A 2533-2025")</f>
        <v/>
      </c>
      <c r="AA281">
        <f>HYPERLINK("https://klasma.github.io/Logging_2313/klagomål/A 2533-2025 FSC-klagomål.docx", "A 2533-2025")</f>
        <v/>
      </c>
      <c r="AB281">
        <f>HYPERLINK("https://klasma.github.io/Logging_2313/klagomålsmail/A 2533-2025 FSC-klagomål mail.docx", "A 2533-2025")</f>
        <v/>
      </c>
      <c r="AC281">
        <f>HYPERLINK("https://klasma.github.io/Logging_2313/tillsyn/A 2533-2025 tillsynsbegäran.docx", "A 2533-2025")</f>
        <v/>
      </c>
      <c r="AD281">
        <f>HYPERLINK("https://klasma.github.io/Logging_2313/tillsynsmail/A 2533-2025 tillsynsbegäran mail.docx", "A 2533-2025")</f>
        <v/>
      </c>
    </row>
    <row r="282" ht="15" customHeight="1">
      <c r="A282" t="inlineStr">
        <is>
          <t>S 1722-2024</t>
        </is>
      </c>
      <c r="B282" t="inlineStr">
        <is>
          <t>samrådsanmälan</t>
        </is>
      </c>
      <c r="C282" t="inlineStr">
        <is>
          <t>Annan skogsbruksåtgärd</t>
        </is>
      </c>
      <c r="D282" s="1" t="n">
        <v>45434</v>
      </c>
      <c r="E282" s="1" t="n">
        <v>46318</v>
      </c>
      <c r="F282" t="inlineStr">
        <is>
          <t>JÄMTLANDS LÄN</t>
        </is>
      </c>
      <c r="G282" t="inlineStr">
        <is>
          <t>STRÖMSUND</t>
        </is>
      </c>
      <c r="H282" t="inlineStr">
        <is>
          <t>SCA</t>
        </is>
      </c>
      <c r="I282" t="n">
        <v>4.6</v>
      </c>
      <c r="J282" t="n">
        <v>1</v>
      </c>
      <c r="K282" t="n">
        <v>0</v>
      </c>
      <c r="L282" t="n">
        <v>1</v>
      </c>
      <c r="M282" t="n">
        <v>1</v>
      </c>
      <c r="N282" t="n">
        <v>0</v>
      </c>
      <c r="O282" t="n">
        <v>0</v>
      </c>
      <c r="P282" t="n">
        <v>0</v>
      </c>
      <c r="Q282" t="n">
        <v>2</v>
      </c>
      <c r="R282" t="n">
        <v>1</v>
      </c>
      <c r="S282" t="n">
        <v>2</v>
      </c>
      <c r="T282" t="n">
        <v>2</v>
      </c>
      <c r="U282" t="n">
        <v>0</v>
      </c>
      <c r="V282" s="2" t="inlineStr">
        <is>
          <t>Knärot
Lunglav</t>
        </is>
      </c>
      <c r="W282">
        <f>HYPERLINK("https://klasma.github.io/Logging_2313/artfynd/S 1722-2024 artfynd.xlsx", "S 1722-2024")</f>
        <v/>
      </c>
      <c r="X282">
        <f>HYPERLINK("https://klasma.github.io/Logging_2313/kartor/S 1722-2024 karta.png", "S 1722-2024")</f>
        <v/>
      </c>
      <c r="Y282">
        <f>HYPERLINK("https://klasma.github.io/Logging_2313/kartor_geotiff/S 1722-2024 georefererad karta.tif", "S 1722-2024")</f>
        <v/>
      </c>
      <c r="Z282">
        <f>HYPERLINK("https://klasma.github.io/Logging_2313/knärot/S 1722-2024 karta knärot.png", "S 1722-2024")</f>
        <v/>
      </c>
      <c r="AA282">
        <f>HYPERLINK("https://klasma.github.io/Logging_2313/klagomål/S 1722-2024 FSC-klagomål.docx", "S 1722-2024")</f>
        <v/>
      </c>
      <c r="AB282">
        <f>HYPERLINK("https://klasma.github.io/Logging_2313/klagomålsmail/S 1722-2024 FSC-klagomål mail.docx", "S 1722-2024")</f>
        <v/>
      </c>
      <c r="AC282">
        <f>HYPERLINK("https://klasma.github.io/Logging_2313/tillsyn/S 1722-2024 tillsynsbegäran.docx", "S 1722-2024")</f>
        <v/>
      </c>
      <c r="AD282">
        <f>HYPERLINK("https://klasma.github.io/Logging_2313/tillsynsmail/S 1722-2024 tillsynsbegäran mail.docx", "S 1722-2024")</f>
        <v/>
      </c>
    </row>
    <row r="283" ht="15" customHeight="1">
      <c r="A283" t="inlineStr">
        <is>
          <t>S 1554-2025</t>
        </is>
      </c>
      <c r="B283" t="inlineStr">
        <is>
          <t>samrådsanmälan</t>
        </is>
      </c>
      <c r="C283" t="inlineStr">
        <is>
          <t>Annan skogsbruksåtgärd</t>
        </is>
      </c>
      <c r="D283" s="1" t="n">
        <v>45792</v>
      </c>
      <c r="E283" s="1" t="n">
        <v>46318</v>
      </c>
      <c r="F283" t="inlineStr">
        <is>
          <t>JÄMTLANDS LÄN</t>
        </is>
      </c>
      <c r="G283" t="inlineStr">
        <is>
          <t>STRÖMSUND</t>
        </is>
      </c>
      <c r="I283" t="n">
        <v>0.4</v>
      </c>
      <c r="J283" t="n">
        <v>0</v>
      </c>
      <c r="K283" t="n">
        <v>0</v>
      </c>
      <c r="L283" t="n">
        <v>1</v>
      </c>
      <c r="M283" t="n">
        <v>1</v>
      </c>
      <c r="N283" t="n">
        <v>0</v>
      </c>
      <c r="O283" t="n">
        <v>0</v>
      </c>
      <c r="P283" t="n">
        <v>0</v>
      </c>
      <c r="Q283" t="n">
        <v>2</v>
      </c>
      <c r="R283" t="n">
        <v>1</v>
      </c>
      <c r="S283" t="n">
        <v>2</v>
      </c>
      <c r="T283" t="n">
        <v>2</v>
      </c>
      <c r="U283" t="n">
        <v>1</v>
      </c>
      <c r="V283" s="2" t="inlineStr">
        <is>
          <t>Silverblåvinge
Storgröe</t>
        </is>
      </c>
      <c r="W283">
        <f>HYPERLINK("https://klasma.github.io/Logging_2313/artfynd/S 1554-2025 artfynd.xlsx", "S 1554-2025")</f>
        <v/>
      </c>
      <c r="X283">
        <f>HYPERLINK("https://klasma.github.io/Logging_2313/kartor/S 1554-2025 karta.png", "S 1554-2025")</f>
        <v/>
      </c>
      <c r="Y283">
        <f>HYPERLINK("https://klasma.github.io/Logging_2313/kartor_geotiff/S 1554-2025 georefererad karta.tif", "S 1554-2025")</f>
        <v/>
      </c>
      <c r="AA283">
        <f>HYPERLINK("https://klasma.github.io/Logging_2313/klagomål/S 1554-2025 FSC-klagomål.docx", "S 1554-2025")</f>
        <v/>
      </c>
      <c r="AB283">
        <f>HYPERLINK("https://klasma.github.io/Logging_2313/klagomålsmail/S 1554-2025 FSC-klagomål mail.docx", "S 1554-2025")</f>
        <v/>
      </c>
      <c r="AC283">
        <f>HYPERLINK("https://klasma.github.io/Logging_2313/tillsyn/S 1554-2025 tillsynsbegäran.docx", "S 1554-2025")</f>
        <v/>
      </c>
      <c r="AD283">
        <f>HYPERLINK("https://klasma.github.io/Logging_2313/tillsynsmail/S 1554-2025 tillsynsbegäran mail.docx", "S 1554-2025")</f>
        <v/>
      </c>
    </row>
    <row r="284" ht="15" customHeight="1">
      <c r="A284" t="inlineStr">
        <is>
          <t>S 829-2025</t>
        </is>
      </c>
      <c r="B284" t="inlineStr">
        <is>
          <t>samrådsanmälan</t>
        </is>
      </c>
      <c r="C284" t="inlineStr">
        <is>
          <t>Skogsgödsling</t>
        </is>
      </c>
      <c r="D284" s="1" t="n">
        <v>45733</v>
      </c>
      <c r="E284" s="1" t="n">
        <v>46318</v>
      </c>
      <c r="F284" t="inlineStr">
        <is>
          <t>JÄMTLANDS LÄN</t>
        </is>
      </c>
      <c r="G284" t="inlineStr">
        <is>
          <t>STRÖMSUND</t>
        </is>
      </c>
      <c r="H284" t="inlineStr">
        <is>
          <t>SCA</t>
        </is>
      </c>
      <c r="I284" t="n">
        <v>509.7</v>
      </c>
      <c r="J284" t="n">
        <v>1</v>
      </c>
      <c r="K284" t="n">
        <v>0</v>
      </c>
      <c r="L284" t="n">
        <v>1</v>
      </c>
      <c r="M284" t="n">
        <v>0</v>
      </c>
      <c r="N284" t="n">
        <v>0</v>
      </c>
      <c r="O284" t="n">
        <v>0</v>
      </c>
      <c r="P284" t="n">
        <v>0</v>
      </c>
      <c r="Q284" t="n">
        <v>1</v>
      </c>
      <c r="R284" t="n">
        <v>0</v>
      </c>
      <c r="S284" t="n">
        <v>2</v>
      </c>
      <c r="T284" t="n">
        <v>2</v>
      </c>
      <c r="U284" t="n">
        <v>1</v>
      </c>
      <c r="V284" s="2" t="inlineStr">
        <is>
          <t>Lunglav
Revlummer</t>
        </is>
      </c>
      <c r="W284">
        <f>HYPERLINK("https://klasma.github.io/Logging_2313/artfynd/S 829-2025 artfynd.xlsx", "S 829-2025")</f>
        <v/>
      </c>
      <c r="X284">
        <f>HYPERLINK("https://klasma.github.io/Logging_2313/kartor/S 829-2025 karta.png", "S 829-2025")</f>
        <v/>
      </c>
      <c r="Y284">
        <f>HYPERLINK("https://klasma.github.io/Logging_2313/kartor_geotiff/S 829-2025 georefererad karta.tif", "S 829-2025")</f>
        <v/>
      </c>
      <c r="AA284">
        <f>HYPERLINK("https://klasma.github.io/Logging_2313/klagomål/S 829-2025 FSC-klagomål.docx", "S 829-2025")</f>
        <v/>
      </c>
      <c r="AB284">
        <f>HYPERLINK("https://klasma.github.io/Logging_2313/klagomålsmail/S 829-2025 FSC-klagomål mail.docx", "S 829-2025")</f>
        <v/>
      </c>
      <c r="AC284">
        <f>HYPERLINK("https://klasma.github.io/Logging_2313/tillsyn/S 829-2025 tillsynsbegäran.docx", "S 829-2025")</f>
        <v/>
      </c>
      <c r="AD284">
        <f>HYPERLINK("https://klasma.github.io/Logging_2313/tillsynsmail/S 829-2025 tillsynsbegäran mail.docx", "S 829-2025")</f>
        <v/>
      </c>
    </row>
    <row r="285" ht="15" customHeight="1">
      <c r="A285" t="inlineStr">
        <is>
          <t>S 1221-2026</t>
        </is>
      </c>
      <c r="B285" t="inlineStr">
        <is>
          <t>samrådsanmälan</t>
        </is>
      </c>
      <c r="C285" t="inlineStr">
        <is>
          <t>Annan skogsbruksåtgärd</t>
        </is>
      </c>
      <c r="D285" s="1" t="n">
        <v>46139</v>
      </c>
      <c r="E285" s="1" t="n">
        <v>46318</v>
      </c>
      <c r="F285" t="inlineStr">
        <is>
          <t>JÄMTLANDS LÄN</t>
        </is>
      </c>
      <c r="G285" t="inlineStr">
        <is>
          <t>STRÖMSUND</t>
        </is>
      </c>
      <c r="H285" t="inlineStr">
        <is>
          <t>Holmen skog AB</t>
        </is>
      </c>
      <c r="I285" t="n">
        <v>10.1</v>
      </c>
      <c r="J285" t="n">
        <v>1</v>
      </c>
      <c r="K285" t="n">
        <v>0</v>
      </c>
      <c r="L285" t="n">
        <v>1</v>
      </c>
      <c r="M285" t="n">
        <v>1</v>
      </c>
      <c r="N285" t="n">
        <v>0</v>
      </c>
      <c r="O285" t="n">
        <v>0</v>
      </c>
      <c r="P285" t="n">
        <v>0</v>
      </c>
      <c r="Q285" t="n">
        <v>2</v>
      </c>
      <c r="R285" t="n">
        <v>1</v>
      </c>
      <c r="S285" t="n">
        <v>2</v>
      </c>
      <c r="T285" t="n">
        <v>3</v>
      </c>
      <c r="U285" t="n">
        <v>0</v>
      </c>
      <c r="V285" s="2" t="inlineStr">
        <is>
          <t>Knärot
Kolflarnlav</t>
        </is>
      </c>
      <c r="W285">
        <f>HYPERLINK("https://klasma.github.io/Logging_2313/artfynd/S 1221-2026 artfynd.xlsx", "S 1221-2026")</f>
        <v/>
      </c>
      <c r="X285">
        <f>HYPERLINK("https://klasma.github.io/Logging_2313/kartor/S 1221-2026 karta.png", "S 1221-2026")</f>
        <v/>
      </c>
      <c r="Y285">
        <f>HYPERLINK("https://klasma.github.io/Logging_2313/kartor_geotiff/S 1221-2026 georefererad karta.tif", "S 1221-2026")</f>
        <v/>
      </c>
      <c r="Z285">
        <f>HYPERLINK("https://klasma.github.io/Logging_2313/knärot/S 1221-2026 karta knärot.png", "S 1221-2026")</f>
        <v/>
      </c>
      <c r="AA285">
        <f>HYPERLINK("https://klasma.github.io/Logging_2313/klagomål/S 1221-2026 FSC-klagomål.docx", "S 1221-2026")</f>
        <v/>
      </c>
      <c r="AB285">
        <f>HYPERLINK("https://klasma.github.io/Logging_2313/klagomålsmail/S 1221-2026 FSC-klagomål mail.docx", "S 1221-2026")</f>
        <v/>
      </c>
      <c r="AC285">
        <f>HYPERLINK("https://klasma.github.io/Logging_2313/tillsyn/S 1221-2026 tillsynsbegäran.docx", "S 1221-2026")</f>
        <v/>
      </c>
      <c r="AD285">
        <f>HYPERLINK("https://klasma.github.io/Logging_2313/tillsynsmail/S 1221-2026 tillsynsbegäran mail.docx", "S 1221-2026")</f>
        <v/>
      </c>
    </row>
    <row r="286" ht="15" customHeight="1">
      <c r="A286" t="inlineStr">
        <is>
          <t>A 39696-2022</t>
        </is>
      </c>
      <c r="B286" t="inlineStr">
        <is>
          <t>avverkningsanmälan</t>
        </is>
      </c>
      <c r="C286" t="inlineStr">
        <is>
          <t>Föryngringsavverkning</t>
        </is>
      </c>
      <c r="D286" s="1" t="n">
        <v>44818</v>
      </c>
      <c r="E286" s="1" t="n">
        <v>46318</v>
      </c>
      <c r="F286" t="inlineStr">
        <is>
          <t>JÄMTLANDS LÄN</t>
        </is>
      </c>
      <c r="G286" t="inlineStr">
        <is>
          <t>STRÖMSUND</t>
        </is>
      </c>
      <c r="H286" t="inlineStr">
        <is>
          <t>SCA</t>
        </is>
      </c>
      <c r="I286" t="n">
        <v>4.6</v>
      </c>
      <c r="J286" t="n">
        <v>0</v>
      </c>
      <c r="K286" t="n">
        <v>0</v>
      </c>
      <c r="L286" t="n">
        <v>0</v>
      </c>
      <c r="M286" t="n">
        <v>1</v>
      </c>
      <c r="N286" t="n">
        <v>0</v>
      </c>
      <c r="O286" t="n">
        <v>0</v>
      </c>
      <c r="P286" t="n">
        <v>0</v>
      </c>
      <c r="Q286" t="n">
        <v>1</v>
      </c>
      <c r="R286" t="n">
        <v>1</v>
      </c>
      <c r="S286" t="n">
        <v>1</v>
      </c>
      <c r="T286" t="n">
        <v>1</v>
      </c>
      <c r="U286" t="n">
        <v>0</v>
      </c>
      <c r="V286" s="2" t="inlineStr">
        <is>
          <t>Gräddporing</t>
        </is>
      </c>
      <c r="W286">
        <f>HYPERLINK("https://klasma.github.io/Logging_2313/artfynd/A 39696-2022 artfynd.xlsx", "A 39696-2022")</f>
        <v/>
      </c>
      <c r="X286">
        <f>HYPERLINK("https://klasma.github.io/Logging_2313/kartor/A 39696-2022 karta.png", "A 39696-2022")</f>
        <v/>
      </c>
      <c r="Y286">
        <f>HYPERLINK("https://klasma.github.io/Logging_2313/kartor_geotiff/A 39696-2022 georefererad karta.tif", "A 39696-2022")</f>
        <v/>
      </c>
      <c r="AA286">
        <f>HYPERLINK("https://klasma.github.io/Logging_2313/klagomål/A 39696-2022 FSC-klagomål.docx", "A 39696-2022")</f>
        <v/>
      </c>
      <c r="AB286">
        <f>HYPERLINK("https://klasma.github.io/Logging_2313/klagomålsmail/A 39696-2022 FSC-klagomål mail.docx", "A 39696-2022")</f>
        <v/>
      </c>
      <c r="AC286">
        <f>HYPERLINK("https://klasma.github.io/Logging_2313/tillsyn/A 39696-2022 tillsynsbegäran.docx", "A 39696-2022")</f>
        <v/>
      </c>
      <c r="AD286">
        <f>HYPERLINK("https://klasma.github.io/Logging_2313/tillsynsmail/A 39696-2022 tillsynsbegäran mail.docx", "A 39696-2022")</f>
        <v/>
      </c>
    </row>
    <row r="287" ht="15" customHeight="1">
      <c r="A287" t="inlineStr">
        <is>
          <t>A 15971-2022</t>
        </is>
      </c>
      <c r="B287" t="inlineStr">
        <is>
          <t>avverkningsanmälan</t>
        </is>
      </c>
      <c r="C287" t="inlineStr">
        <is>
          <t>Avverkning för att bevara och utveckla /försöksver</t>
        </is>
      </c>
      <c r="D287" s="1" t="n">
        <v>44664</v>
      </c>
      <c r="E287" s="1" t="n">
        <v>46318</v>
      </c>
      <c r="F287" t="inlineStr">
        <is>
          <t>JÄMTLANDS LÄN</t>
        </is>
      </c>
      <c r="G287" t="inlineStr">
        <is>
          <t>STRÖMSUND</t>
        </is>
      </c>
      <c r="H287" t="inlineStr">
        <is>
          <t>SCA</t>
        </is>
      </c>
      <c r="I287" t="n">
        <v>4.3</v>
      </c>
      <c r="J287" t="n">
        <v>1</v>
      </c>
      <c r="K287" t="n">
        <v>0</v>
      </c>
      <c r="L287" t="n">
        <v>0</v>
      </c>
      <c r="M287" t="n">
        <v>0</v>
      </c>
      <c r="N287" t="n">
        <v>0</v>
      </c>
      <c r="O287" t="n">
        <v>0</v>
      </c>
      <c r="P287" t="n">
        <v>0</v>
      </c>
      <c r="Q287" t="n">
        <v>0</v>
      </c>
      <c r="R287" t="n">
        <v>0</v>
      </c>
      <c r="S287" t="n">
        <v>1</v>
      </c>
      <c r="T287" t="n">
        <v>1</v>
      </c>
      <c r="U287" t="n">
        <v>1</v>
      </c>
      <c r="V287" s="2" t="inlineStr">
        <is>
          <t>Fläcknycklar</t>
        </is>
      </c>
      <c r="W287">
        <f>HYPERLINK("https://klasma.github.io/Logging_2313/artfynd/A 15971-2022 artfynd.xlsx", "A 15971-2022")</f>
        <v/>
      </c>
      <c r="X287">
        <f>HYPERLINK("https://klasma.github.io/Logging_2313/kartor/A 15971-2022 karta.png", "A 15971-2022")</f>
        <v/>
      </c>
      <c r="Y287">
        <f>HYPERLINK("https://klasma.github.io/Logging_2313/kartor_geotiff/A 15971-2022 georefererad karta.tif", "A 15971-2022")</f>
        <v/>
      </c>
      <c r="AA287">
        <f>HYPERLINK("https://klasma.github.io/Logging_2313/klagomål/A 15971-2022 FSC-klagomål.docx", "A 15971-2022")</f>
        <v/>
      </c>
      <c r="AB287">
        <f>HYPERLINK("https://klasma.github.io/Logging_2313/klagomålsmail/A 15971-2022 FSC-klagomål mail.docx", "A 15971-2022")</f>
        <v/>
      </c>
      <c r="AC287">
        <f>HYPERLINK("https://klasma.github.io/Logging_2313/tillsyn/A 15971-2022 tillsynsbegäran.docx", "A 15971-2022")</f>
        <v/>
      </c>
      <c r="AD287">
        <f>HYPERLINK("https://klasma.github.io/Logging_2313/tillsynsmail/A 15971-2022 tillsynsbegäran mail.docx", "A 15971-2022")</f>
        <v/>
      </c>
    </row>
    <row r="288" ht="15" customHeight="1">
      <c r="A288" t="inlineStr">
        <is>
          <t>A 64291-2021</t>
        </is>
      </c>
      <c r="B288" t="inlineStr">
        <is>
          <t>avverkningsanmälan</t>
        </is>
      </c>
      <c r="C288" t="inlineStr">
        <is>
          <t>Avverkning för annat ändamål</t>
        </is>
      </c>
      <c r="D288" s="1" t="n">
        <v>44510</v>
      </c>
      <c r="E288" s="1" t="n">
        <v>46318</v>
      </c>
      <c r="F288" t="inlineStr">
        <is>
          <t>JÄMTLANDS LÄN</t>
        </is>
      </c>
      <c r="G288" t="inlineStr">
        <is>
          <t>STRÖMSUND</t>
        </is>
      </c>
      <c r="I288" t="n">
        <v>3.2</v>
      </c>
      <c r="J288" t="n">
        <v>0</v>
      </c>
      <c r="K288" t="n">
        <v>1</v>
      </c>
      <c r="L288" t="n">
        <v>0</v>
      </c>
      <c r="M288" t="n">
        <v>0</v>
      </c>
      <c r="N288" t="n">
        <v>0</v>
      </c>
      <c r="O288" t="n">
        <v>0</v>
      </c>
      <c r="P288" t="n">
        <v>0</v>
      </c>
      <c r="Q288" t="n">
        <v>0</v>
      </c>
      <c r="R288" t="n">
        <v>0</v>
      </c>
      <c r="S288" t="n">
        <v>1</v>
      </c>
      <c r="T288" t="n">
        <v>1</v>
      </c>
      <c r="U288" t="n">
        <v>0</v>
      </c>
      <c r="V288" s="2" t="inlineStr">
        <is>
          <t>Tibast</t>
        </is>
      </c>
      <c r="W288">
        <f>HYPERLINK("https://klasma.github.io/Logging_2313/artfynd/A 64291-2021 artfynd.xlsx", "A 64291-2021")</f>
        <v/>
      </c>
      <c r="X288">
        <f>HYPERLINK("https://klasma.github.io/Logging_2313/kartor/A 64291-2021 karta.png", "A 64291-2021")</f>
        <v/>
      </c>
      <c r="Y288">
        <f>HYPERLINK("https://klasma.github.io/Logging_2313/kartor_geotiff/A 64291-2021 georefererad karta.tif", "A 64291-2021")</f>
        <v/>
      </c>
      <c r="AA288">
        <f>HYPERLINK("https://klasma.github.io/Logging_2313/klagomål/A 64291-2021 FSC-klagomål.docx", "A 64291-2021")</f>
        <v/>
      </c>
      <c r="AB288">
        <f>HYPERLINK("https://klasma.github.io/Logging_2313/klagomålsmail/A 64291-2021 FSC-klagomål mail.docx", "A 64291-2021")</f>
        <v/>
      </c>
      <c r="AC288">
        <f>HYPERLINK("https://klasma.github.io/Logging_2313/tillsyn/A 64291-2021 tillsynsbegäran.docx", "A 64291-2021")</f>
        <v/>
      </c>
      <c r="AD288">
        <f>HYPERLINK("https://klasma.github.io/Logging_2313/tillsynsmail/A 64291-2021 tillsynsbegäran mail.docx", "A 64291-2021")</f>
        <v/>
      </c>
    </row>
    <row r="289" ht="15" customHeight="1">
      <c r="A289" t="inlineStr">
        <is>
          <t>A 29296-2022</t>
        </is>
      </c>
      <c r="B289" t="inlineStr">
        <is>
          <t>avverkningsanmälan</t>
        </is>
      </c>
      <c r="C289" t="inlineStr">
        <is>
          <t>Föryngringsavverkning</t>
        </is>
      </c>
      <c r="D289" s="1" t="n">
        <v>44750</v>
      </c>
      <c r="E289" s="1" t="n">
        <v>46318</v>
      </c>
      <c r="F289" t="inlineStr">
        <is>
          <t>JÄMTLANDS LÄN</t>
        </is>
      </c>
      <c r="G289" t="inlineStr">
        <is>
          <t>STRÖMSUND</t>
        </is>
      </c>
      <c r="H289" t="inlineStr">
        <is>
          <t>SCA</t>
        </is>
      </c>
      <c r="I289" t="n">
        <v>6</v>
      </c>
      <c r="J289" t="n">
        <v>0</v>
      </c>
      <c r="K289" t="n">
        <v>0</v>
      </c>
      <c r="L289" t="n">
        <v>1</v>
      </c>
      <c r="M289" t="n">
        <v>0</v>
      </c>
      <c r="N289" t="n">
        <v>0</v>
      </c>
      <c r="O289" t="n">
        <v>0</v>
      </c>
      <c r="P289" t="n">
        <v>0</v>
      </c>
      <c r="Q289" t="n">
        <v>1</v>
      </c>
      <c r="R289" t="n">
        <v>0</v>
      </c>
      <c r="S289" t="n">
        <v>1</v>
      </c>
      <c r="T289" t="n">
        <v>1</v>
      </c>
      <c r="U289" t="n">
        <v>0</v>
      </c>
      <c r="V289" s="2" t="inlineStr">
        <is>
          <t>Gammelgransskål</t>
        </is>
      </c>
      <c r="W289">
        <f>HYPERLINK("https://klasma.github.io/Logging_2313/artfynd/A 29296-2022 artfynd.xlsx", "A 29296-2022")</f>
        <v/>
      </c>
      <c r="X289">
        <f>HYPERLINK("https://klasma.github.io/Logging_2313/kartor/A 29296-2022 karta.png", "A 29296-2022")</f>
        <v/>
      </c>
      <c r="Y289">
        <f>HYPERLINK("https://klasma.github.io/Logging_2313/kartor_geotiff/A 29296-2022 georefererad karta.tif", "A 29296-2022")</f>
        <v/>
      </c>
      <c r="AA289">
        <f>HYPERLINK("https://klasma.github.io/Logging_2313/klagomål/A 29296-2022 FSC-klagomål.docx", "A 29296-2022")</f>
        <v/>
      </c>
      <c r="AB289">
        <f>HYPERLINK("https://klasma.github.io/Logging_2313/klagomålsmail/A 29296-2022 FSC-klagomål mail.docx", "A 29296-2022")</f>
        <v/>
      </c>
      <c r="AC289">
        <f>HYPERLINK("https://klasma.github.io/Logging_2313/tillsyn/A 29296-2022 tillsynsbegäran.docx", "A 29296-2022")</f>
        <v/>
      </c>
      <c r="AD289">
        <f>HYPERLINK("https://klasma.github.io/Logging_2313/tillsynsmail/A 29296-2022 tillsynsbegäran mail.docx", "A 29296-2022")</f>
        <v/>
      </c>
    </row>
    <row r="290" ht="15" customHeight="1">
      <c r="A290" t="inlineStr">
        <is>
          <t>A 34009-2022</t>
        </is>
      </c>
      <c r="B290" t="inlineStr">
        <is>
          <t>avverkningsanmälan</t>
        </is>
      </c>
      <c r="C290" t="inlineStr">
        <is>
          <t>Avverkning för att bevara och utveckla /försöksver</t>
        </is>
      </c>
      <c r="D290" s="1" t="n">
        <v>44790</v>
      </c>
      <c r="E290" s="1" t="n">
        <v>46318</v>
      </c>
      <c r="F290" t="inlineStr">
        <is>
          <t>JÄMTLANDS LÄN</t>
        </is>
      </c>
      <c r="G290" t="inlineStr">
        <is>
          <t>STRÖMSUND</t>
        </is>
      </c>
      <c r="H290" t="inlineStr">
        <is>
          <t>SCA</t>
        </is>
      </c>
      <c r="I290" t="n">
        <v>8.5</v>
      </c>
      <c r="J290" t="n">
        <v>0</v>
      </c>
      <c r="K290" t="n">
        <v>0</v>
      </c>
      <c r="L290" t="n">
        <v>1</v>
      </c>
      <c r="M290" t="n">
        <v>0</v>
      </c>
      <c r="N290" t="n">
        <v>0</v>
      </c>
      <c r="O290" t="n">
        <v>0</v>
      </c>
      <c r="P290" t="n">
        <v>0</v>
      </c>
      <c r="Q290" t="n">
        <v>1</v>
      </c>
      <c r="R290" t="n">
        <v>0</v>
      </c>
      <c r="S290" t="n">
        <v>1</v>
      </c>
      <c r="T290" t="n">
        <v>1</v>
      </c>
      <c r="U290" t="n">
        <v>0</v>
      </c>
      <c r="V290" s="2" t="inlineStr">
        <is>
          <t>Rynkskinn</t>
        </is>
      </c>
      <c r="W290">
        <f>HYPERLINK("https://klasma.github.io/Logging_2313/artfynd/A 34009-2022 artfynd.xlsx", "A 34009-2022")</f>
        <v/>
      </c>
      <c r="X290">
        <f>HYPERLINK("https://klasma.github.io/Logging_2313/kartor/A 34009-2022 karta.png", "A 34009-2022")</f>
        <v/>
      </c>
      <c r="Y290">
        <f>HYPERLINK("https://klasma.github.io/Logging_2313/kartor_geotiff/A 34009-2022 georefererad karta.tif", "A 34009-2022")</f>
        <v/>
      </c>
      <c r="AA290">
        <f>HYPERLINK("https://klasma.github.io/Logging_2313/klagomål/A 34009-2022 FSC-klagomål.docx", "A 34009-2022")</f>
        <v/>
      </c>
      <c r="AB290">
        <f>HYPERLINK("https://klasma.github.io/Logging_2313/klagomålsmail/A 34009-2022 FSC-klagomål mail.docx", "A 34009-2022")</f>
        <v/>
      </c>
      <c r="AC290">
        <f>HYPERLINK("https://klasma.github.io/Logging_2313/tillsyn/A 34009-2022 tillsynsbegäran.docx", "A 34009-2022")</f>
        <v/>
      </c>
      <c r="AD290">
        <f>HYPERLINK("https://klasma.github.io/Logging_2313/tillsynsmail/A 34009-2022 tillsynsbegäran mail.docx", "A 34009-2022")</f>
        <v/>
      </c>
    </row>
    <row r="291" ht="15" customHeight="1">
      <c r="A291" t="inlineStr">
        <is>
          <t>A 32349-2022</t>
        </is>
      </c>
      <c r="B291" t="inlineStr">
        <is>
          <t>avverkningsanmälan</t>
        </is>
      </c>
      <c r="C291" t="inlineStr">
        <is>
          <t>Föryngringsavverkning</t>
        </is>
      </c>
      <c r="D291" s="1" t="n">
        <v>44781</v>
      </c>
      <c r="E291" s="1" t="n">
        <v>46318</v>
      </c>
      <c r="F291" t="inlineStr">
        <is>
          <t>JÄMTLANDS LÄN</t>
        </is>
      </c>
      <c r="G291" t="inlineStr">
        <is>
          <t>STRÖMSUND</t>
        </is>
      </c>
      <c r="H291" t="inlineStr">
        <is>
          <t>SCA</t>
        </is>
      </c>
      <c r="I291" t="n">
        <v>3</v>
      </c>
      <c r="J291" t="n">
        <v>0</v>
      </c>
      <c r="K291" t="n">
        <v>0</v>
      </c>
      <c r="L291" t="n">
        <v>1</v>
      </c>
      <c r="M291" t="n">
        <v>0</v>
      </c>
      <c r="N291" t="n">
        <v>0</v>
      </c>
      <c r="O291" t="n">
        <v>0</v>
      </c>
      <c r="P291" t="n">
        <v>0</v>
      </c>
      <c r="Q291" t="n">
        <v>1</v>
      </c>
      <c r="R291" t="n">
        <v>0</v>
      </c>
      <c r="S291" t="n">
        <v>1</v>
      </c>
      <c r="T291" t="n">
        <v>1</v>
      </c>
      <c r="U291" t="n">
        <v>1</v>
      </c>
      <c r="V291" s="2" t="inlineStr">
        <is>
          <t>Lunglav</t>
        </is>
      </c>
      <c r="W291">
        <f>HYPERLINK("https://klasma.github.io/Logging_2313/artfynd/A 32349-2022 artfynd.xlsx", "A 32349-2022")</f>
        <v/>
      </c>
      <c r="X291">
        <f>HYPERLINK("https://klasma.github.io/Logging_2313/kartor/A 32349-2022 karta.png", "A 32349-2022")</f>
        <v/>
      </c>
      <c r="Y291">
        <f>HYPERLINK("https://klasma.github.io/Logging_2313/kartor_geotiff/A 32349-2022 georefererad karta.tif", "A 32349-2022")</f>
        <v/>
      </c>
      <c r="AA291">
        <f>HYPERLINK("https://klasma.github.io/Logging_2313/klagomål/A 32349-2022 FSC-klagomål.docx", "A 32349-2022")</f>
        <v/>
      </c>
      <c r="AB291">
        <f>HYPERLINK("https://klasma.github.io/Logging_2313/klagomålsmail/A 32349-2022 FSC-klagomål mail.docx", "A 32349-2022")</f>
        <v/>
      </c>
      <c r="AC291">
        <f>HYPERLINK("https://klasma.github.io/Logging_2313/tillsyn/A 32349-2022 tillsynsbegäran.docx", "A 32349-2022")</f>
        <v/>
      </c>
      <c r="AD291">
        <f>HYPERLINK("https://klasma.github.io/Logging_2313/tillsynsmail/A 32349-2022 tillsynsbegäran mail.docx", "A 32349-2022")</f>
        <v/>
      </c>
    </row>
    <row r="292" ht="15" customHeight="1">
      <c r="A292" t="inlineStr">
        <is>
          <t>A 32351-2022</t>
        </is>
      </c>
      <c r="B292" t="inlineStr">
        <is>
          <t>avverkningsanmälan</t>
        </is>
      </c>
      <c r="C292" t="inlineStr">
        <is>
          <t>Föryngringsavverkning</t>
        </is>
      </c>
      <c r="D292" s="1" t="n">
        <v>44781</v>
      </c>
      <c r="E292" s="1" t="n">
        <v>46318</v>
      </c>
      <c r="F292" t="inlineStr">
        <is>
          <t>JÄMTLANDS LÄN</t>
        </is>
      </c>
      <c r="G292" t="inlineStr">
        <is>
          <t>STRÖMSUND</t>
        </is>
      </c>
      <c r="H292" t="inlineStr">
        <is>
          <t>SCA</t>
        </is>
      </c>
      <c r="I292" t="n">
        <v>13.2</v>
      </c>
      <c r="J292" t="n">
        <v>0</v>
      </c>
      <c r="K292" t="n">
        <v>0</v>
      </c>
      <c r="L292" t="n">
        <v>1</v>
      </c>
      <c r="M292" t="n">
        <v>0</v>
      </c>
      <c r="N292" t="n">
        <v>0</v>
      </c>
      <c r="O292" t="n">
        <v>0</v>
      </c>
      <c r="P292" t="n">
        <v>0</v>
      </c>
      <c r="Q292" t="n">
        <v>1</v>
      </c>
      <c r="R292" t="n">
        <v>0</v>
      </c>
      <c r="S292" t="n">
        <v>1</v>
      </c>
      <c r="T292" t="n">
        <v>1</v>
      </c>
      <c r="U292" t="n">
        <v>0</v>
      </c>
      <c r="V292" s="2" t="inlineStr">
        <is>
          <t>Harticka</t>
        </is>
      </c>
      <c r="W292">
        <f>HYPERLINK("https://klasma.github.io/Logging_2313/artfynd/A 32351-2022 artfynd.xlsx", "A 32351-2022")</f>
        <v/>
      </c>
      <c r="X292">
        <f>HYPERLINK("https://klasma.github.io/Logging_2313/kartor/A 32351-2022 karta.png", "A 32351-2022")</f>
        <v/>
      </c>
      <c r="Y292">
        <f>HYPERLINK("https://klasma.github.io/Logging_2313/kartor_geotiff/A 32351-2022 georefererad karta.tif", "A 32351-2022")</f>
        <v/>
      </c>
      <c r="AA292">
        <f>HYPERLINK("https://klasma.github.io/Logging_2313/klagomål/A 32351-2022 FSC-klagomål.docx", "A 32351-2022")</f>
        <v/>
      </c>
      <c r="AB292">
        <f>HYPERLINK("https://klasma.github.io/Logging_2313/klagomålsmail/A 32351-2022 FSC-klagomål mail.docx", "A 32351-2022")</f>
        <v/>
      </c>
      <c r="AC292">
        <f>HYPERLINK("https://klasma.github.io/Logging_2313/tillsyn/A 32351-2022 tillsynsbegäran.docx", "A 32351-2022")</f>
        <v/>
      </c>
      <c r="AD292">
        <f>HYPERLINK("https://klasma.github.io/Logging_2313/tillsynsmail/A 32351-2022 tillsynsbegäran mail.docx", "A 32351-2022")</f>
        <v/>
      </c>
    </row>
    <row r="293" ht="15" customHeight="1">
      <c r="A293" t="inlineStr">
        <is>
          <t>A 23208-2022</t>
        </is>
      </c>
      <c r="B293" t="inlineStr">
        <is>
          <t>avverkningsanmälan</t>
        </is>
      </c>
      <c r="C293" t="inlineStr">
        <is>
          <t>Avverkning för att bevara och utveckla /försöksver</t>
        </is>
      </c>
      <c r="D293" s="1" t="n">
        <v>44719</v>
      </c>
      <c r="E293" s="1" t="n">
        <v>46318</v>
      </c>
      <c r="F293" t="inlineStr">
        <is>
          <t>JÄMTLANDS LÄN</t>
        </is>
      </c>
      <c r="G293" t="inlineStr">
        <is>
          <t>STRÖMSUND</t>
        </is>
      </c>
      <c r="H293" t="inlineStr">
        <is>
          <t>SCA</t>
        </is>
      </c>
      <c r="I293" t="n">
        <v>2</v>
      </c>
      <c r="J293" t="n">
        <v>0</v>
      </c>
      <c r="K293" t="n">
        <v>0</v>
      </c>
      <c r="L293" t="n">
        <v>1</v>
      </c>
      <c r="M293" t="n">
        <v>0</v>
      </c>
      <c r="N293" t="n">
        <v>0</v>
      </c>
      <c r="O293" t="n">
        <v>0</v>
      </c>
      <c r="P293" t="n">
        <v>0</v>
      </c>
      <c r="Q293" t="n">
        <v>1</v>
      </c>
      <c r="R293" t="n">
        <v>0</v>
      </c>
      <c r="S293" t="n">
        <v>1</v>
      </c>
      <c r="T293" t="n">
        <v>1</v>
      </c>
      <c r="U293" t="n">
        <v>0</v>
      </c>
      <c r="V293" s="2" t="inlineStr">
        <is>
          <t>Ullticka</t>
        </is>
      </c>
      <c r="W293">
        <f>HYPERLINK("https://klasma.github.io/Logging_2313/artfynd/A 23208-2022 artfynd.xlsx", "A 23208-2022")</f>
        <v/>
      </c>
      <c r="X293">
        <f>HYPERLINK("https://klasma.github.io/Logging_2313/kartor/A 23208-2022 karta.png", "A 23208-2022")</f>
        <v/>
      </c>
      <c r="Y293">
        <f>HYPERLINK("https://klasma.github.io/Logging_2313/kartor_geotiff/A 23208-2022 georefererad karta.tif", "A 23208-2022")</f>
        <v/>
      </c>
      <c r="AA293">
        <f>HYPERLINK("https://klasma.github.io/Logging_2313/klagomål/A 23208-2022 FSC-klagomål.docx", "A 23208-2022")</f>
        <v/>
      </c>
      <c r="AB293">
        <f>HYPERLINK("https://klasma.github.io/Logging_2313/klagomålsmail/A 23208-2022 FSC-klagomål mail.docx", "A 23208-2022")</f>
        <v/>
      </c>
      <c r="AC293">
        <f>HYPERLINK("https://klasma.github.io/Logging_2313/tillsyn/A 23208-2022 tillsynsbegäran.docx", "A 23208-2022")</f>
        <v/>
      </c>
      <c r="AD293">
        <f>HYPERLINK("https://klasma.github.io/Logging_2313/tillsynsmail/A 23208-2022 tillsynsbegäran mail.docx", "A 23208-2022")</f>
        <v/>
      </c>
    </row>
    <row r="294" ht="15" customHeight="1">
      <c r="A294" t="inlineStr">
        <is>
          <t>A 61437-2021</t>
        </is>
      </c>
      <c r="B294" t="inlineStr">
        <is>
          <t>avverkningsanmälan</t>
        </is>
      </c>
      <c r="C294" t="inlineStr">
        <is>
          <t>Avverkning för att bevara och utveckla /försöksver</t>
        </is>
      </c>
      <c r="D294" s="1" t="n">
        <v>44500</v>
      </c>
      <c r="E294" s="1" t="n">
        <v>46318</v>
      </c>
      <c r="F294" t="inlineStr">
        <is>
          <t>JÄMTLANDS LÄN</t>
        </is>
      </c>
      <c r="G294" t="inlineStr">
        <is>
          <t>STRÖMSUND</t>
        </is>
      </c>
      <c r="H294" t="inlineStr">
        <is>
          <t>SCA</t>
        </is>
      </c>
      <c r="I294" t="n">
        <v>3.6</v>
      </c>
      <c r="J294" t="n">
        <v>0</v>
      </c>
      <c r="K294" t="n">
        <v>0</v>
      </c>
      <c r="L294" t="n">
        <v>1</v>
      </c>
      <c r="M294" t="n">
        <v>0</v>
      </c>
      <c r="N294" t="n">
        <v>0</v>
      </c>
      <c r="O294" t="n">
        <v>0</v>
      </c>
      <c r="P294" t="n">
        <v>0</v>
      </c>
      <c r="Q294" t="n">
        <v>1</v>
      </c>
      <c r="R294" t="n">
        <v>0</v>
      </c>
      <c r="S294" t="n">
        <v>1</v>
      </c>
      <c r="T294" t="n">
        <v>1</v>
      </c>
      <c r="U294" t="n">
        <v>0</v>
      </c>
      <c r="V294" s="2" t="inlineStr">
        <is>
          <t>Rödbrun klubbdyna</t>
        </is>
      </c>
      <c r="W294">
        <f>HYPERLINK("https://klasma.github.io/Logging_2313/artfynd/A 61437-2021 artfynd.xlsx", "A 61437-2021")</f>
        <v/>
      </c>
      <c r="X294">
        <f>HYPERLINK("https://klasma.github.io/Logging_2313/kartor/A 61437-2021 karta.png", "A 61437-2021")</f>
        <v/>
      </c>
      <c r="Y294">
        <f>HYPERLINK("https://klasma.github.io/Logging_2313/kartor_geotiff/A 61437-2021 georefererad karta.tif", "A 61437-2021")</f>
        <v/>
      </c>
      <c r="AA294">
        <f>HYPERLINK("https://klasma.github.io/Logging_2313/klagomål/A 61437-2021 FSC-klagomål.docx", "A 61437-2021")</f>
        <v/>
      </c>
      <c r="AB294">
        <f>HYPERLINK("https://klasma.github.io/Logging_2313/klagomålsmail/A 61437-2021 FSC-klagomål mail.docx", "A 61437-2021")</f>
        <v/>
      </c>
      <c r="AC294">
        <f>HYPERLINK("https://klasma.github.io/Logging_2313/tillsyn/A 61437-2021 tillsynsbegäran.docx", "A 61437-2021")</f>
        <v/>
      </c>
      <c r="AD294">
        <f>HYPERLINK("https://klasma.github.io/Logging_2313/tillsynsmail/A 61437-2021 tillsynsbegäran mail.docx", "A 61437-2021")</f>
        <v/>
      </c>
    </row>
    <row r="295" ht="15" customHeight="1">
      <c r="A295" t="inlineStr">
        <is>
          <t>A 23206-2022</t>
        </is>
      </c>
      <c r="B295" t="inlineStr">
        <is>
          <t>avverkningsanmälan</t>
        </is>
      </c>
      <c r="C295" t="inlineStr">
        <is>
          <t>Avverkning för att bevara och utveckla /försöksver</t>
        </is>
      </c>
      <c r="D295" s="1" t="n">
        <v>44719</v>
      </c>
      <c r="E295" s="1" t="n">
        <v>46318</v>
      </c>
      <c r="F295" t="inlineStr">
        <is>
          <t>JÄMTLANDS LÄN</t>
        </is>
      </c>
      <c r="G295" t="inlineStr">
        <is>
          <t>STRÖMSUND</t>
        </is>
      </c>
      <c r="H295" t="inlineStr">
        <is>
          <t>SCA</t>
        </is>
      </c>
      <c r="I295" t="n">
        <v>2</v>
      </c>
      <c r="J295" t="n">
        <v>0</v>
      </c>
      <c r="K295" t="n">
        <v>0</v>
      </c>
      <c r="L295" t="n">
        <v>1</v>
      </c>
      <c r="M295" t="n">
        <v>0</v>
      </c>
      <c r="N295" t="n">
        <v>0</v>
      </c>
      <c r="O295" t="n">
        <v>0</v>
      </c>
      <c r="P295" t="n">
        <v>0</v>
      </c>
      <c r="Q295" t="n">
        <v>1</v>
      </c>
      <c r="R295" t="n">
        <v>0</v>
      </c>
      <c r="S295" t="n">
        <v>1</v>
      </c>
      <c r="T295" t="n">
        <v>1</v>
      </c>
      <c r="U295" t="n">
        <v>0</v>
      </c>
      <c r="V295" s="2" t="inlineStr">
        <is>
          <t>Lunglav</t>
        </is>
      </c>
      <c r="W295">
        <f>HYPERLINK("https://klasma.github.io/Logging_2313/artfynd/A 23206-2022 artfynd.xlsx", "A 23206-2022")</f>
        <v/>
      </c>
      <c r="X295">
        <f>HYPERLINK("https://klasma.github.io/Logging_2313/kartor/A 23206-2022 karta.png", "A 23206-2022")</f>
        <v/>
      </c>
      <c r="Y295">
        <f>HYPERLINK("https://klasma.github.io/Logging_2313/kartor_geotiff/A 23206-2022 georefererad karta.tif", "A 23206-2022")</f>
        <v/>
      </c>
      <c r="AA295">
        <f>HYPERLINK("https://klasma.github.io/Logging_2313/klagomål/A 23206-2022 FSC-klagomål.docx", "A 23206-2022")</f>
        <v/>
      </c>
      <c r="AB295">
        <f>HYPERLINK("https://klasma.github.io/Logging_2313/klagomålsmail/A 23206-2022 FSC-klagomål mail.docx", "A 23206-2022")</f>
        <v/>
      </c>
      <c r="AC295">
        <f>HYPERLINK("https://klasma.github.io/Logging_2313/tillsyn/A 23206-2022 tillsynsbegäran.docx", "A 23206-2022")</f>
        <v/>
      </c>
      <c r="AD295">
        <f>HYPERLINK("https://klasma.github.io/Logging_2313/tillsynsmail/A 23206-2022 tillsynsbegäran mail.docx", "A 23206-2022")</f>
        <v/>
      </c>
    </row>
    <row r="296" ht="15" customHeight="1">
      <c r="A296" t="inlineStr">
        <is>
          <t>A 10696-2022</t>
        </is>
      </c>
      <c r="B296" t="inlineStr">
        <is>
          <t>avverkningsanmälan</t>
        </is>
      </c>
      <c r="C296" t="inlineStr">
        <is>
          <t>Avverkning för att bevara och utveckla /försöksver</t>
        </is>
      </c>
      <c r="D296" s="1" t="n">
        <v>44624</v>
      </c>
      <c r="E296" s="1" t="n">
        <v>46318</v>
      </c>
      <c r="F296" t="inlineStr">
        <is>
          <t>JÄMTLANDS LÄN</t>
        </is>
      </c>
      <c r="G296" t="inlineStr">
        <is>
          <t>STRÖMSUND</t>
        </is>
      </c>
      <c r="H296" t="inlineStr">
        <is>
          <t>SCA</t>
        </is>
      </c>
      <c r="I296" t="n">
        <v>9</v>
      </c>
      <c r="J296" t="n">
        <v>0</v>
      </c>
      <c r="K296" t="n">
        <v>0</v>
      </c>
      <c r="L296" t="n">
        <v>0</v>
      </c>
      <c r="M296" t="n">
        <v>1</v>
      </c>
      <c r="N296" t="n">
        <v>0</v>
      </c>
      <c r="O296" t="n">
        <v>0</v>
      </c>
      <c r="P296" t="n">
        <v>0</v>
      </c>
      <c r="Q296" t="n">
        <v>1</v>
      </c>
      <c r="R296" t="n">
        <v>1</v>
      </c>
      <c r="S296" t="n">
        <v>1</v>
      </c>
      <c r="T296" t="n">
        <v>1</v>
      </c>
      <c r="U296" t="n">
        <v>0</v>
      </c>
      <c r="V296" s="2" t="inlineStr">
        <is>
          <t>Smalskaftslav</t>
        </is>
      </c>
      <c r="W296">
        <f>HYPERLINK("https://klasma.github.io/Logging_2313/artfynd/A 10696-2022 artfynd.xlsx", "A 10696-2022")</f>
        <v/>
      </c>
      <c r="X296">
        <f>HYPERLINK("https://klasma.github.io/Logging_2313/kartor/A 10696-2022 karta.png", "A 10696-2022")</f>
        <v/>
      </c>
      <c r="Y296">
        <f>HYPERLINK("https://klasma.github.io/Logging_2313/kartor_geotiff/A 10696-2022 georefererad karta.tif", "A 10696-2022")</f>
        <v/>
      </c>
      <c r="AA296">
        <f>HYPERLINK("https://klasma.github.io/Logging_2313/klagomål/A 10696-2022 FSC-klagomål.docx", "A 10696-2022")</f>
        <v/>
      </c>
      <c r="AB296">
        <f>HYPERLINK("https://klasma.github.io/Logging_2313/klagomålsmail/A 10696-2022 FSC-klagomål mail.docx", "A 10696-2022")</f>
        <v/>
      </c>
      <c r="AC296">
        <f>HYPERLINK("https://klasma.github.io/Logging_2313/tillsyn/A 10696-2022 tillsynsbegäran.docx", "A 10696-2022")</f>
        <v/>
      </c>
      <c r="AD296">
        <f>HYPERLINK("https://klasma.github.io/Logging_2313/tillsynsmail/A 10696-2022 tillsynsbegäran mail.docx", "A 10696-2022")</f>
        <v/>
      </c>
    </row>
    <row r="297" ht="15" customHeight="1">
      <c r="A297" t="inlineStr">
        <is>
          <t>A 48544-2022</t>
        </is>
      </c>
      <c r="B297" t="inlineStr">
        <is>
          <t>avverkningsanmälan</t>
        </is>
      </c>
      <c r="C297" t="inlineStr">
        <is>
          <t>Avverkning för att bevara och utveckla /försöksver</t>
        </is>
      </c>
      <c r="D297" s="1" t="n">
        <v>44858</v>
      </c>
      <c r="E297" s="1" t="n">
        <v>46318</v>
      </c>
      <c r="F297" t="inlineStr">
        <is>
          <t>JÄMTLANDS LÄN</t>
        </is>
      </c>
      <c r="G297" t="inlineStr">
        <is>
          <t>STRÖMSUND</t>
        </is>
      </c>
      <c r="H297" t="inlineStr">
        <is>
          <t>SCA</t>
        </is>
      </c>
      <c r="I297" t="n">
        <v>2.6</v>
      </c>
      <c r="J297" t="n">
        <v>1</v>
      </c>
      <c r="K297" t="n">
        <v>0</v>
      </c>
      <c r="L297" t="n">
        <v>0</v>
      </c>
      <c r="M297" t="n">
        <v>1</v>
      </c>
      <c r="N297" t="n">
        <v>0</v>
      </c>
      <c r="O297" t="n">
        <v>0</v>
      </c>
      <c r="P297" t="n">
        <v>0</v>
      </c>
      <c r="Q297" t="n">
        <v>1</v>
      </c>
      <c r="R297" t="n">
        <v>1</v>
      </c>
      <c r="S297" t="n">
        <v>1</v>
      </c>
      <c r="T297" t="n">
        <v>1</v>
      </c>
      <c r="U297" t="n">
        <v>0</v>
      </c>
      <c r="V297" s="2" t="inlineStr">
        <is>
          <t>Doftticka</t>
        </is>
      </c>
      <c r="W297">
        <f>HYPERLINK("https://klasma.github.io/Logging_2313/artfynd/A 48544-2022 artfynd.xlsx", "A 48544-2022")</f>
        <v/>
      </c>
      <c r="X297">
        <f>HYPERLINK("https://klasma.github.io/Logging_2313/kartor/A 48544-2022 karta.png", "A 48544-2022")</f>
        <v/>
      </c>
      <c r="Y297">
        <f>HYPERLINK("https://klasma.github.io/Logging_2313/kartor_geotiff/A 48544-2022 georefererad karta.tif", "A 48544-2022")</f>
        <v/>
      </c>
      <c r="AA297">
        <f>HYPERLINK("https://klasma.github.io/Logging_2313/klagomål/A 48544-2022 FSC-klagomål.docx", "A 48544-2022")</f>
        <v/>
      </c>
      <c r="AB297">
        <f>HYPERLINK("https://klasma.github.io/Logging_2313/klagomålsmail/A 48544-2022 FSC-klagomål mail.docx", "A 48544-2022")</f>
        <v/>
      </c>
      <c r="AC297">
        <f>HYPERLINK("https://klasma.github.io/Logging_2313/tillsyn/A 48544-2022 tillsynsbegäran.docx", "A 48544-2022")</f>
        <v/>
      </c>
      <c r="AD297">
        <f>HYPERLINK("https://klasma.github.io/Logging_2313/tillsynsmail/A 48544-2022 tillsynsbegäran mail.docx", "A 48544-2022")</f>
        <v/>
      </c>
    </row>
    <row r="298" ht="15" customHeight="1">
      <c r="A298" t="inlineStr">
        <is>
          <t>A 27037-2022</t>
        </is>
      </c>
      <c r="B298" t="inlineStr">
        <is>
          <t>avverkningsanmälan</t>
        </is>
      </c>
      <c r="C298" t="inlineStr">
        <is>
          <t>Avverkning för att bevara och utveckla /försöksver</t>
        </is>
      </c>
      <c r="D298" s="1" t="n">
        <v>44740</v>
      </c>
      <c r="E298" s="1" t="n">
        <v>46318</v>
      </c>
      <c r="F298" t="inlineStr">
        <is>
          <t>JÄMTLANDS LÄN</t>
        </is>
      </c>
      <c r="G298" t="inlineStr">
        <is>
          <t>STRÖMSUND</t>
        </is>
      </c>
      <c r="H298" t="inlineStr">
        <is>
          <t>SCA</t>
        </is>
      </c>
      <c r="I298" t="n">
        <v>4.5</v>
      </c>
      <c r="J298" t="n">
        <v>1</v>
      </c>
      <c r="K298" t="n">
        <v>1</v>
      </c>
      <c r="L298" t="n">
        <v>0</v>
      </c>
      <c r="M298" t="n">
        <v>0</v>
      </c>
      <c r="N298" t="n">
        <v>0</v>
      </c>
      <c r="O298" t="n">
        <v>0</v>
      </c>
      <c r="P298" t="n">
        <v>0</v>
      </c>
      <c r="Q298" t="n">
        <v>0</v>
      </c>
      <c r="R298" t="n">
        <v>0</v>
      </c>
      <c r="S298" t="n">
        <v>1</v>
      </c>
      <c r="T298" t="n">
        <v>1</v>
      </c>
      <c r="U298" t="n">
        <v>0</v>
      </c>
      <c r="V298" s="2" t="inlineStr">
        <is>
          <t>Lappranunkel</t>
        </is>
      </c>
      <c r="W298">
        <f>HYPERLINK("https://klasma.github.io/Logging_2313/artfynd/A 27037-2022 artfynd.xlsx", "A 27037-2022")</f>
        <v/>
      </c>
      <c r="X298">
        <f>HYPERLINK("https://klasma.github.io/Logging_2313/kartor/A 27037-2022 karta.png", "A 27037-2022")</f>
        <v/>
      </c>
      <c r="Y298">
        <f>HYPERLINK("https://klasma.github.io/Logging_2313/kartor_geotiff/A 27037-2022 georefererad karta.tif", "A 27037-2022")</f>
        <v/>
      </c>
      <c r="AA298">
        <f>HYPERLINK("https://klasma.github.io/Logging_2313/klagomål/A 27037-2022 FSC-klagomål.docx", "A 27037-2022")</f>
        <v/>
      </c>
      <c r="AB298">
        <f>HYPERLINK("https://klasma.github.io/Logging_2313/klagomålsmail/A 27037-2022 FSC-klagomål mail.docx", "A 27037-2022")</f>
        <v/>
      </c>
      <c r="AC298">
        <f>HYPERLINK("https://klasma.github.io/Logging_2313/tillsyn/A 27037-2022 tillsynsbegäran.docx", "A 27037-2022")</f>
        <v/>
      </c>
      <c r="AD298">
        <f>HYPERLINK("https://klasma.github.io/Logging_2313/tillsynsmail/A 27037-2022 tillsynsbegäran mail.docx", "A 27037-2022")</f>
        <v/>
      </c>
    </row>
    <row r="299" ht="15" customHeight="1">
      <c r="A299" t="inlineStr">
        <is>
          <t>A 14291-2022</t>
        </is>
      </c>
      <c r="B299" t="inlineStr">
        <is>
          <t>avverkningsanmälan</t>
        </is>
      </c>
      <c r="C299" t="inlineStr">
        <is>
          <t>Föryngringsavverkning</t>
        </is>
      </c>
      <c r="D299" s="1" t="n">
        <v>44651</v>
      </c>
      <c r="E299" s="1" t="n">
        <v>46318</v>
      </c>
      <c r="F299" t="inlineStr">
        <is>
          <t>JÄMTLANDS LÄN</t>
        </is>
      </c>
      <c r="G299" t="inlineStr">
        <is>
          <t>STRÖMSUND</t>
        </is>
      </c>
      <c r="H299" t="inlineStr">
        <is>
          <t>SCA</t>
        </is>
      </c>
      <c r="I299" t="n">
        <v>0.5</v>
      </c>
      <c r="J299" t="n">
        <v>0</v>
      </c>
      <c r="K299" t="n">
        <v>0</v>
      </c>
      <c r="L299" t="n">
        <v>1</v>
      </c>
      <c r="M299" t="n">
        <v>0</v>
      </c>
      <c r="N299" t="n">
        <v>0</v>
      </c>
      <c r="O299" t="n">
        <v>0</v>
      </c>
      <c r="P299" t="n">
        <v>0</v>
      </c>
      <c r="Q299" t="n">
        <v>1</v>
      </c>
      <c r="R299" t="n">
        <v>0</v>
      </c>
      <c r="S299" t="n">
        <v>1</v>
      </c>
      <c r="T299" t="n">
        <v>1</v>
      </c>
      <c r="U299" t="n">
        <v>1</v>
      </c>
      <c r="V299" s="2" t="inlineStr">
        <is>
          <t>Skrovellav</t>
        </is>
      </c>
      <c r="W299">
        <f>HYPERLINK("https://klasma.github.io/Logging_2313/artfynd/A 14291-2022 artfynd.xlsx", "A 14291-2022")</f>
        <v/>
      </c>
      <c r="X299">
        <f>HYPERLINK("https://klasma.github.io/Logging_2313/kartor/A 14291-2022 karta.png", "A 14291-2022")</f>
        <v/>
      </c>
      <c r="Y299">
        <f>HYPERLINK("https://klasma.github.io/Logging_2313/kartor_geotiff/A 14291-2022 georefererad karta.tif", "A 14291-2022")</f>
        <v/>
      </c>
      <c r="AA299">
        <f>HYPERLINK("https://klasma.github.io/Logging_2313/klagomål/A 14291-2022 FSC-klagomål.docx", "A 14291-2022")</f>
        <v/>
      </c>
      <c r="AB299">
        <f>HYPERLINK("https://klasma.github.io/Logging_2313/klagomålsmail/A 14291-2022 FSC-klagomål mail.docx", "A 14291-2022")</f>
        <v/>
      </c>
      <c r="AC299">
        <f>HYPERLINK("https://klasma.github.io/Logging_2313/tillsyn/A 14291-2022 tillsynsbegäran.docx", "A 14291-2022")</f>
        <v/>
      </c>
      <c r="AD299">
        <f>HYPERLINK("https://klasma.github.io/Logging_2313/tillsynsmail/A 14291-2022 tillsynsbegäran mail.docx", "A 14291-2022")</f>
        <v/>
      </c>
    </row>
    <row r="300" ht="15" customHeight="1">
      <c r="A300" t="inlineStr">
        <is>
          <t>A 10698-2022</t>
        </is>
      </c>
      <c r="B300" t="inlineStr">
        <is>
          <t>avverkningsanmälan</t>
        </is>
      </c>
      <c r="C300" t="inlineStr">
        <is>
          <t>Avverkning för annat ändamål</t>
        </is>
      </c>
      <c r="D300" s="1" t="n">
        <v>44624</v>
      </c>
      <c r="E300" s="1" t="n">
        <v>46318</v>
      </c>
      <c r="F300" t="inlineStr">
        <is>
          <t>JÄMTLANDS LÄN</t>
        </is>
      </c>
      <c r="G300" t="inlineStr">
        <is>
          <t>STRÖMSUND</t>
        </is>
      </c>
      <c r="H300" t="inlineStr">
        <is>
          <t>SCA</t>
        </is>
      </c>
      <c r="I300" t="n">
        <v>0.3</v>
      </c>
      <c r="J300" t="n">
        <v>0</v>
      </c>
      <c r="K300" t="n">
        <v>0</v>
      </c>
      <c r="L300" t="n">
        <v>0</v>
      </c>
      <c r="M300" t="n">
        <v>0</v>
      </c>
      <c r="N300" t="n">
        <v>0</v>
      </c>
      <c r="O300" t="n">
        <v>0</v>
      </c>
      <c r="P300" t="n">
        <v>0</v>
      </c>
      <c r="Q300" t="n">
        <v>0</v>
      </c>
      <c r="R300" t="n">
        <v>0</v>
      </c>
      <c r="S300" t="n">
        <v>1</v>
      </c>
      <c r="T300" t="n">
        <v>3</v>
      </c>
      <c r="U300" t="n">
        <v>3</v>
      </c>
      <c r="V300" s="2" t="inlineStr">
        <is>
          <t>Kattfot</t>
        </is>
      </c>
      <c r="W300">
        <f>HYPERLINK("https://klasma.github.io/Logging_2313/artfynd/A 10698-2022 artfynd.xlsx", "A 10698-2022")</f>
        <v/>
      </c>
      <c r="X300">
        <f>HYPERLINK("https://klasma.github.io/Logging_2313/kartor/A 10698-2022 karta.png", "A 10698-2022")</f>
        <v/>
      </c>
      <c r="Y300">
        <f>HYPERLINK("https://klasma.github.io/Logging_2313/kartor_geotiff/A 10698-2022 georefererad karta.tif", "A 10698-2022")</f>
        <v/>
      </c>
      <c r="AA300">
        <f>HYPERLINK("https://klasma.github.io/Logging_2313/klagomål/A 10698-2022 FSC-klagomål.docx", "A 10698-2022")</f>
        <v/>
      </c>
      <c r="AB300">
        <f>HYPERLINK("https://klasma.github.io/Logging_2313/klagomålsmail/A 10698-2022 FSC-klagomål mail.docx", "A 10698-2022")</f>
        <v/>
      </c>
      <c r="AC300">
        <f>HYPERLINK("https://klasma.github.io/Logging_2313/tillsyn/A 10698-2022 tillsynsbegäran.docx", "A 10698-2022")</f>
        <v/>
      </c>
      <c r="AD300">
        <f>HYPERLINK("https://klasma.github.io/Logging_2313/tillsynsmail/A 10698-2022 tillsynsbegäran mail.docx", "A 10698-2022")</f>
        <v/>
      </c>
    </row>
    <row r="301" ht="15" customHeight="1">
      <c r="A301" t="inlineStr">
        <is>
          <t>A 19063-2025</t>
        </is>
      </c>
      <c r="B301" t="inlineStr">
        <is>
          <t>avverkningsanmälan</t>
        </is>
      </c>
      <c r="C301" t="inlineStr">
        <is>
          <t>Avverkning för att bevara och utveckla /försöksver</t>
        </is>
      </c>
      <c r="D301" s="1" t="n">
        <v>45765</v>
      </c>
      <c r="E301" s="1" t="n">
        <v>46318</v>
      </c>
      <c r="F301" t="inlineStr">
        <is>
          <t>JÄMTLANDS LÄN</t>
        </is>
      </c>
      <c r="G301" t="inlineStr">
        <is>
          <t>STRÖMSUND</t>
        </is>
      </c>
      <c r="H301" t="inlineStr">
        <is>
          <t>SCA</t>
        </is>
      </c>
      <c r="I301" t="n">
        <v>10.8</v>
      </c>
      <c r="J301" t="n">
        <v>0</v>
      </c>
      <c r="K301" t="n">
        <v>0</v>
      </c>
      <c r="L301" t="n">
        <v>1</v>
      </c>
      <c r="M301" t="n">
        <v>0</v>
      </c>
      <c r="N301" t="n">
        <v>0</v>
      </c>
      <c r="O301" t="n">
        <v>0</v>
      </c>
      <c r="P301" t="n">
        <v>0</v>
      </c>
      <c r="Q301" t="n">
        <v>1</v>
      </c>
      <c r="R301" t="n">
        <v>0</v>
      </c>
      <c r="S301" t="n">
        <v>1</v>
      </c>
      <c r="T301" t="n">
        <v>1</v>
      </c>
      <c r="U301" t="n">
        <v>0</v>
      </c>
      <c r="V301" s="2" t="inlineStr">
        <is>
          <t>Gammelgransskål</t>
        </is>
      </c>
      <c r="W301">
        <f>HYPERLINK("https://klasma.github.io/Logging_2313/artfynd/A 19063-2025 artfynd.xlsx", "A 19063-2025")</f>
        <v/>
      </c>
      <c r="X301">
        <f>HYPERLINK("https://klasma.github.io/Logging_2313/kartor/A 19063-2025 karta.png", "A 19063-2025")</f>
        <v/>
      </c>
      <c r="Y301">
        <f>HYPERLINK("https://klasma.github.io/Logging_2313/kartor_geotiff/A 19063-2025 georefererad karta.tif", "A 19063-2025")</f>
        <v/>
      </c>
      <c r="AA301">
        <f>HYPERLINK("https://klasma.github.io/Logging_2313/klagomål/A 19063-2025 FSC-klagomål.docx", "A 19063-2025")</f>
        <v/>
      </c>
      <c r="AB301">
        <f>HYPERLINK("https://klasma.github.io/Logging_2313/klagomålsmail/A 19063-2025 FSC-klagomål mail.docx", "A 19063-2025")</f>
        <v/>
      </c>
      <c r="AC301">
        <f>HYPERLINK("https://klasma.github.io/Logging_2313/tillsyn/A 19063-2025 tillsynsbegäran.docx", "A 19063-2025")</f>
        <v/>
      </c>
      <c r="AD301">
        <f>HYPERLINK("https://klasma.github.io/Logging_2313/tillsynsmail/A 19063-2025 tillsynsbegäran mail.docx", "A 19063-2025")</f>
        <v/>
      </c>
    </row>
    <row r="302" ht="15" customHeight="1">
      <c r="A302" t="inlineStr">
        <is>
          <t>A 69134-2021</t>
        </is>
      </c>
      <c r="B302" t="inlineStr">
        <is>
          <t>avverkningsanmälan</t>
        </is>
      </c>
      <c r="C302" t="inlineStr">
        <is>
          <t>Föryngringsavverkning</t>
        </is>
      </c>
      <c r="D302" s="1" t="n">
        <v>44530</v>
      </c>
      <c r="E302" s="1" t="n">
        <v>46318</v>
      </c>
      <c r="F302" t="inlineStr">
        <is>
          <t>JÄMTLANDS LÄN</t>
        </is>
      </c>
      <c r="G302" t="inlineStr">
        <is>
          <t>STRÖMSUND</t>
        </is>
      </c>
      <c r="I302" t="n">
        <v>9.4</v>
      </c>
      <c r="J302" t="n">
        <v>0</v>
      </c>
      <c r="K302" t="n">
        <v>0</v>
      </c>
      <c r="L302" t="n">
        <v>0</v>
      </c>
      <c r="M302" t="n">
        <v>1</v>
      </c>
      <c r="N302" t="n">
        <v>0</v>
      </c>
      <c r="O302" t="n">
        <v>0</v>
      </c>
      <c r="P302" t="n">
        <v>0</v>
      </c>
      <c r="Q302" t="n">
        <v>1</v>
      </c>
      <c r="R302" t="n">
        <v>1</v>
      </c>
      <c r="S302" t="n">
        <v>1</v>
      </c>
      <c r="T302" t="n">
        <v>1</v>
      </c>
      <c r="U302" t="n">
        <v>0</v>
      </c>
      <c r="V302" s="2" t="inlineStr">
        <is>
          <t>Garnlav</t>
        </is>
      </c>
      <c r="W302">
        <f>HYPERLINK("https://klasma.github.io/Logging_2313/artfynd/A 69134-2021 artfynd.xlsx", "A 69134-2021")</f>
        <v/>
      </c>
      <c r="X302">
        <f>HYPERLINK("https://klasma.github.io/Logging_2313/kartor/A 69134-2021 karta.png", "A 69134-2021")</f>
        <v/>
      </c>
      <c r="Y302">
        <f>HYPERLINK("https://klasma.github.io/Logging_2313/kartor_geotiff/A 69134-2021 georefererad karta.tif", "A 69134-2021")</f>
        <v/>
      </c>
      <c r="AA302">
        <f>HYPERLINK("https://klasma.github.io/Logging_2313/klagomål/A 69134-2021 FSC-klagomål.docx", "A 69134-2021")</f>
        <v/>
      </c>
      <c r="AB302">
        <f>HYPERLINK("https://klasma.github.io/Logging_2313/klagomålsmail/A 69134-2021 FSC-klagomål mail.docx", "A 69134-2021")</f>
        <v/>
      </c>
      <c r="AC302">
        <f>HYPERLINK("https://klasma.github.io/Logging_2313/tillsyn/A 69134-2021 tillsynsbegäran.docx", "A 69134-2021")</f>
        <v/>
      </c>
      <c r="AD302">
        <f>HYPERLINK("https://klasma.github.io/Logging_2313/tillsynsmail/A 69134-2021 tillsynsbegäran mail.docx", "A 69134-2021")</f>
        <v/>
      </c>
    </row>
    <row r="303" ht="15" customHeight="1">
      <c r="A303" t="inlineStr">
        <is>
          <t>A 4824-2024</t>
        </is>
      </c>
      <c r="B303" t="inlineStr">
        <is>
          <t>avverkningsanmälan</t>
        </is>
      </c>
      <c r="C303" t="inlineStr">
        <is>
          <t>Föryngringsavverkning</t>
        </is>
      </c>
      <c r="D303" s="1" t="n">
        <v>45328</v>
      </c>
      <c r="E303" s="1" t="n">
        <v>46318</v>
      </c>
      <c r="F303" t="inlineStr">
        <is>
          <t>JÄMTLANDS LÄN</t>
        </is>
      </c>
      <c r="G303" t="inlineStr">
        <is>
          <t>STRÖMSUND</t>
        </is>
      </c>
      <c r="H303" t="inlineStr">
        <is>
          <t>SCA</t>
        </is>
      </c>
      <c r="I303" t="n">
        <v>10.2</v>
      </c>
      <c r="J303" t="n">
        <v>0</v>
      </c>
      <c r="K303" t="n">
        <v>0</v>
      </c>
      <c r="L303" t="n">
        <v>1</v>
      </c>
      <c r="M303" t="n">
        <v>0</v>
      </c>
      <c r="N303" t="n">
        <v>0</v>
      </c>
      <c r="O303" t="n">
        <v>0</v>
      </c>
      <c r="P303" t="n">
        <v>0</v>
      </c>
      <c r="Q303" t="n">
        <v>1</v>
      </c>
      <c r="R303" t="n">
        <v>0</v>
      </c>
      <c r="S303" t="n">
        <v>1</v>
      </c>
      <c r="T303" t="n">
        <v>1</v>
      </c>
      <c r="U303" t="n">
        <v>0</v>
      </c>
      <c r="V303" s="2" t="inlineStr">
        <is>
          <t>Lunglav</t>
        </is>
      </c>
      <c r="W303">
        <f>HYPERLINK("https://klasma.github.io/Logging_2313/artfynd/A 4824-2024 artfynd.xlsx", "A 4824-2024")</f>
        <v/>
      </c>
      <c r="X303">
        <f>HYPERLINK("https://klasma.github.io/Logging_2313/kartor/A 4824-2024 karta.png", "A 4824-2024")</f>
        <v/>
      </c>
      <c r="Y303">
        <f>HYPERLINK("https://klasma.github.io/Logging_2313/kartor_geotiff/A 4824-2024 georefererad karta.tif", "A 4824-2024")</f>
        <v/>
      </c>
      <c r="AA303">
        <f>HYPERLINK("https://klasma.github.io/Logging_2313/klagomål/A 4824-2024 FSC-klagomål.docx", "A 4824-2024")</f>
        <v/>
      </c>
      <c r="AB303">
        <f>HYPERLINK("https://klasma.github.io/Logging_2313/klagomålsmail/A 4824-2024 FSC-klagomål mail.docx", "A 4824-2024")</f>
        <v/>
      </c>
      <c r="AC303">
        <f>HYPERLINK("https://klasma.github.io/Logging_2313/tillsyn/A 4824-2024 tillsynsbegäran.docx", "A 4824-2024")</f>
        <v/>
      </c>
      <c r="AD303">
        <f>HYPERLINK("https://klasma.github.io/Logging_2313/tillsynsmail/A 4824-2024 tillsynsbegäran mail.docx", "A 4824-2024")</f>
        <v/>
      </c>
    </row>
    <row r="304" ht="15" customHeight="1">
      <c r="A304" t="inlineStr">
        <is>
          <t>A 6202-2022</t>
        </is>
      </c>
      <c r="B304" t="inlineStr">
        <is>
          <t>avverkningsanmälan</t>
        </is>
      </c>
      <c r="C304" t="inlineStr">
        <is>
          <t>Föryngringsavverkning</t>
        </is>
      </c>
      <c r="D304" s="1" t="n">
        <v>44600</v>
      </c>
      <c r="E304" s="1" t="n">
        <v>46318</v>
      </c>
      <c r="F304" t="inlineStr">
        <is>
          <t>JÄMTLANDS LÄN</t>
        </is>
      </c>
      <c r="G304" t="inlineStr">
        <is>
          <t>STRÖMSUND</t>
        </is>
      </c>
      <c r="I304" t="n">
        <v>4.1</v>
      </c>
      <c r="J304" t="n">
        <v>0</v>
      </c>
      <c r="K304" t="n">
        <v>1</v>
      </c>
      <c r="L304" t="n">
        <v>0</v>
      </c>
      <c r="M304" t="n">
        <v>0</v>
      </c>
      <c r="N304" t="n">
        <v>0</v>
      </c>
      <c r="O304" t="n">
        <v>0</v>
      </c>
      <c r="P304" t="n">
        <v>0</v>
      </c>
      <c r="Q304" t="n">
        <v>0</v>
      </c>
      <c r="R304" t="n">
        <v>0</v>
      </c>
      <c r="S304" t="n">
        <v>1</v>
      </c>
      <c r="T304" t="n">
        <v>1</v>
      </c>
      <c r="U304" t="n">
        <v>1</v>
      </c>
      <c r="V304" s="2" t="inlineStr">
        <is>
          <t>Stuplav</t>
        </is>
      </c>
      <c r="W304">
        <f>HYPERLINK("https://klasma.github.io/Logging_2313/artfynd/A 6202-2022 artfynd.xlsx", "A 6202-2022")</f>
        <v/>
      </c>
      <c r="X304">
        <f>HYPERLINK("https://klasma.github.io/Logging_2313/kartor/A 6202-2022 karta.png", "A 6202-2022")</f>
        <v/>
      </c>
      <c r="Y304">
        <f>HYPERLINK("https://klasma.github.io/Logging_2313/kartor_geotiff/A 6202-2022 georefererad karta.tif", "A 6202-2022")</f>
        <v/>
      </c>
      <c r="AA304">
        <f>HYPERLINK("https://klasma.github.io/Logging_2313/klagomål/A 6202-2022 FSC-klagomål.docx", "A 6202-2022")</f>
        <v/>
      </c>
      <c r="AB304">
        <f>HYPERLINK("https://klasma.github.io/Logging_2313/klagomålsmail/A 6202-2022 FSC-klagomål mail.docx", "A 6202-2022")</f>
        <v/>
      </c>
      <c r="AC304">
        <f>HYPERLINK("https://klasma.github.io/Logging_2313/tillsyn/A 6202-2022 tillsynsbegäran.docx", "A 6202-2022")</f>
        <v/>
      </c>
      <c r="AD304">
        <f>HYPERLINK("https://klasma.github.io/Logging_2313/tillsynsmail/A 6202-2022 tillsynsbegäran mail.docx", "A 6202-2022")</f>
        <v/>
      </c>
    </row>
    <row r="305" ht="15" customHeight="1">
      <c r="A305" t="inlineStr">
        <is>
          <t>A 10075-2023</t>
        </is>
      </c>
      <c r="B305" t="inlineStr">
        <is>
          <t>avverkningsanmälan</t>
        </is>
      </c>
      <c r="C305" t="inlineStr">
        <is>
          <t>Föryngringsavverkning</t>
        </is>
      </c>
      <c r="D305" s="1" t="n">
        <v>44985</v>
      </c>
      <c r="E305" s="1" t="n">
        <v>46318</v>
      </c>
      <c r="F305" t="inlineStr">
        <is>
          <t>JÄMTLANDS LÄN</t>
        </is>
      </c>
      <c r="G305" t="inlineStr">
        <is>
          <t>STRÖMSUND</t>
        </is>
      </c>
      <c r="H305" t="inlineStr">
        <is>
          <t>SCA</t>
        </is>
      </c>
      <c r="I305" t="n">
        <v>13.4</v>
      </c>
      <c r="J305" t="n">
        <v>0</v>
      </c>
      <c r="K305" t="n">
        <v>0</v>
      </c>
      <c r="L305" t="n">
        <v>1</v>
      </c>
      <c r="M305" t="n">
        <v>0</v>
      </c>
      <c r="N305" t="n">
        <v>0</v>
      </c>
      <c r="O305" t="n">
        <v>0</v>
      </c>
      <c r="P305" t="n">
        <v>0</v>
      </c>
      <c r="Q305" t="n">
        <v>1</v>
      </c>
      <c r="R305" t="n">
        <v>0</v>
      </c>
      <c r="S305" t="n">
        <v>1</v>
      </c>
      <c r="T305" t="n">
        <v>1</v>
      </c>
      <c r="U305" t="n">
        <v>0</v>
      </c>
      <c r="V305" s="2" t="inlineStr">
        <is>
          <t>Brunklöver</t>
        </is>
      </c>
      <c r="W305">
        <f>HYPERLINK("https://klasma.github.io/Logging_2313/artfynd/A 10075-2023 artfynd.xlsx", "A 10075-2023")</f>
        <v/>
      </c>
      <c r="X305">
        <f>HYPERLINK("https://klasma.github.io/Logging_2313/kartor/A 10075-2023 karta.png", "A 10075-2023")</f>
        <v/>
      </c>
      <c r="Y305">
        <f>HYPERLINK("https://klasma.github.io/Logging_2313/kartor_geotiff/A 10075-2023 georefererad karta.tif", "A 10075-2023")</f>
        <v/>
      </c>
      <c r="AA305">
        <f>HYPERLINK("https://klasma.github.io/Logging_2313/klagomål/A 10075-2023 FSC-klagomål.docx", "A 10075-2023")</f>
        <v/>
      </c>
      <c r="AB305">
        <f>HYPERLINK("https://klasma.github.io/Logging_2313/klagomålsmail/A 10075-2023 FSC-klagomål mail.docx", "A 10075-2023")</f>
        <v/>
      </c>
      <c r="AC305">
        <f>HYPERLINK("https://klasma.github.io/Logging_2313/tillsyn/A 10075-2023 tillsynsbegäran.docx", "A 10075-2023")</f>
        <v/>
      </c>
      <c r="AD305">
        <f>HYPERLINK("https://klasma.github.io/Logging_2313/tillsynsmail/A 10075-2023 tillsynsbegäran mail.docx", "A 10075-2023")</f>
        <v/>
      </c>
    </row>
    <row r="306" ht="15" customHeight="1">
      <c r="A306" t="inlineStr">
        <is>
          <t>A 26660-2023</t>
        </is>
      </c>
      <c r="B306" t="inlineStr">
        <is>
          <t>avverkningsanmälan</t>
        </is>
      </c>
      <c r="C306" t="inlineStr">
        <is>
          <t>Föryngringsavverkning</t>
        </is>
      </c>
      <c r="D306" s="1" t="n">
        <v>45092</v>
      </c>
      <c r="E306" s="1" t="n">
        <v>46318</v>
      </c>
      <c r="F306" t="inlineStr">
        <is>
          <t>JÄMTLANDS LÄN</t>
        </is>
      </c>
      <c r="G306" t="inlineStr">
        <is>
          <t>STRÖMSUND</t>
        </is>
      </c>
      <c r="H306" t="inlineStr">
        <is>
          <t>SCA</t>
        </is>
      </c>
      <c r="I306" t="n">
        <v>2.9</v>
      </c>
      <c r="J306" t="n">
        <v>1</v>
      </c>
      <c r="K306" t="n">
        <v>1</v>
      </c>
      <c r="L306" t="n">
        <v>0</v>
      </c>
      <c r="M306" t="n">
        <v>0</v>
      </c>
      <c r="N306" t="n">
        <v>0</v>
      </c>
      <c r="O306" t="n">
        <v>0</v>
      </c>
      <c r="P306" t="n">
        <v>0</v>
      </c>
      <c r="Q306" t="n">
        <v>0</v>
      </c>
      <c r="R306" t="n">
        <v>0</v>
      </c>
      <c r="S306" t="n">
        <v>1</v>
      </c>
      <c r="T306" t="n">
        <v>1</v>
      </c>
      <c r="U306" t="n">
        <v>0</v>
      </c>
      <c r="V306" s="2" t="inlineStr">
        <is>
          <t>Lappranunkel</t>
        </is>
      </c>
      <c r="W306">
        <f>HYPERLINK("https://klasma.github.io/Logging_2313/artfynd/A 26660-2023 artfynd.xlsx", "A 26660-2023")</f>
        <v/>
      </c>
      <c r="X306">
        <f>HYPERLINK("https://klasma.github.io/Logging_2313/kartor/A 26660-2023 karta.png", "A 26660-2023")</f>
        <v/>
      </c>
      <c r="Y306">
        <f>HYPERLINK("https://klasma.github.io/Logging_2313/kartor_geotiff/A 26660-2023 georefererad karta.tif", "A 26660-2023")</f>
        <v/>
      </c>
      <c r="AA306">
        <f>HYPERLINK("https://klasma.github.io/Logging_2313/klagomål/A 26660-2023 FSC-klagomål.docx", "A 26660-2023")</f>
        <v/>
      </c>
      <c r="AB306">
        <f>HYPERLINK("https://klasma.github.io/Logging_2313/klagomålsmail/A 26660-2023 FSC-klagomål mail.docx", "A 26660-2023")</f>
        <v/>
      </c>
      <c r="AC306">
        <f>HYPERLINK("https://klasma.github.io/Logging_2313/tillsyn/A 26660-2023 tillsynsbegäran.docx", "A 26660-2023")</f>
        <v/>
      </c>
      <c r="AD306">
        <f>HYPERLINK("https://klasma.github.io/Logging_2313/tillsynsmail/A 26660-2023 tillsynsbegäran mail.docx", "A 26660-2023")</f>
        <v/>
      </c>
    </row>
    <row r="307" ht="15" customHeight="1">
      <c r="A307" t="inlineStr">
        <is>
          <t>A 27022-2025</t>
        </is>
      </c>
      <c r="B307" t="inlineStr">
        <is>
          <t>avverkningsanmälan</t>
        </is>
      </c>
      <c r="C307" t="inlineStr">
        <is>
          <t>Föryngringsavverkning</t>
        </is>
      </c>
      <c r="D307" s="1" t="n">
        <v>45811</v>
      </c>
      <c r="E307" s="1" t="n">
        <v>46318</v>
      </c>
      <c r="F307" t="inlineStr">
        <is>
          <t>JÄMTLANDS LÄN</t>
        </is>
      </c>
      <c r="G307" t="inlineStr">
        <is>
          <t>STRÖMSUND</t>
        </is>
      </c>
      <c r="H307" t="inlineStr">
        <is>
          <t>SCA</t>
        </is>
      </c>
      <c r="I307" t="n">
        <v>4.9</v>
      </c>
      <c r="J307" t="n">
        <v>0</v>
      </c>
      <c r="K307" t="n">
        <v>0</v>
      </c>
      <c r="L307" t="n">
        <v>1</v>
      </c>
      <c r="M307" t="n">
        <v>0</v>
      </c>
      <c r="N307" t="n">
        <v>0</v>
      </c>
      <c r="O307" t="n">
        <v>0</v>
      </c>
      <c r="P307" t="n">
        <v>0</v>
      </c>
      <c r="Q307" t="n">
        <v>1</v>
      </c>
      <c r="R307" t="n">
        <v>0</v>
      </c>
      <c r="S307" t="n">
        <v>1</v>
      </c>
      <c r="T307" t="n">
        <v>1</v>
      </c>
      <c r="U307" t="n">
        <v>0</v>
      </c>
      <c r="V307" s="2" t="inlineStr">
        <is>
          <t>Dropptaggsvamp</t>
        </is>
      </c>
      <c r="W307">
        <f>HYPERLINK("https://klasma.github.io/Logging_2313/artfynd/A 27022-2025 artfynd.xlsx", "A 27022-2025")</f>
        <v/>
      </c>
      <c r="X307">
        <f>HYPERLINK("https://klasma.github.io/Logging_2313/kartor/A 27022-2025 karta.png", "A 27022-2025")</f>
        <v/>
      </c>
      <c r="Y307">
        <f>HYPERLINK("https://klasma.github.io/Logging_2313/kartor_geotiff/A 27022-2025 georefererad karta.tif", "A 27022-2025")</f>
        <v/>
      </c>
      <c r="AA307">
        <f>HYPERLINK("https://klasma.github.io/Logging_2313/klagomål/A 27022-2025 FSC-klagomål.docx", "A 27022-2025")</f>
        <v/>
      </c>
      <c r="AB307">
        <f>HYPERLINK("https://klasma.github.io/Logging_2313/klagomålsmail/A 27022-2025 FSC-klagomål mail.docx", "A 27022-2025")</f>
        <v/>
      </c>
      <c r="AC307">
        <f>HYPERLINK("https://klasma.github.io/Logging_2313/tillsyn/A 27022-2025 tillsynsbegäran.docx", "A 27022-2025")</f>
        <v/>
      </c>
      <c r="AD307">
        <f>HYPERLINK("https://klasma.github.io/Logging_2313/tillsynsmail/A 27022-2025 tillsynsbegäran mail.docx", "A 27022-2025")</f>
        <v/>
      </c>
    </row>
    <row r="308" ht="15" customHeight="1">
      <c r="A308" t="inlineStr">
        <is>
          <t>A 38806-2025</t>
        </is>
      </c>
      <c r="B308" t="inlineStr">
        <is>
          <t>avverkningsanmälan</t>
        </is>
      </c>
      <c r="C308" t="inlineStr">
        <is>
          <t>Föryngringsavverkning</t>
        </is>
      </c>
      <c r="D308" s="1" t="n">
        <v>45887</v>
      </c>
      <c r="E308" s="1" t="n">
        <v>46318</v>
      </c>
      <c r="F308" t="inlineStr">
        <is>
          <t>JÄMTLANDS LÄN</t>
        </is>
      </c>
      <c r="G308" t="inlineStr">
        <is>
          <t>STRÖMSUND</t>
        </is>
      </c>
      <c r="H308" t="inlineStr">
        <is>
          <t>SCA</t>
        </is>
      </c>
      <c r="I308" t="n">
        <v>2.1</v>
      </c>
      <c r="J308" t="n">
        <v>0</v>
      </c>
      <c r="K308" t="n">
        <v>0</v>
      </c>
      <c r="L308" t="n">
        <v>1</v>
      </c>
      <c r="M308" t="n">
        <v>0</v>
      </c>
      <c r="N308" t="n">
        <v>0</v>
      </c>
      <c r="O308" t="n">
        <v>0</v>
      </c>
      <c r="P308" t="n">
        <v>0</v>
      </c>
      <c r="Q308" t="n">
        <v>1</v>
      </c>
      <c r="R308" t="n">
        <v>0</v>
      </c>
      <c r="S308" t="n">
        <v>1</v>
      </c>
      <c r="T308" t="n">
        <v>1</v>
      </c>
      <c r="U308" t="n">
        <v>0</v>
      </c>
      <c r="V308" s="2" t="inlineStr">
        <is>
          <t>Lunglav</t>
        </is>
      </c>
      <c r="W308">
        <f>HYPERLINK("https://klasma.github.io/Logging_2313/artfynd/A 38806-2025 artfynd.xlsx", "A 38806-2025")</f>
        <v/>
      </c>
      <c r="X308">
        <f>HYPERLINK("https://klasma.github.io/Logging_2313/kartor/A 38806-2025 karta.png", "A 38806-2025")</f>
        <v/>
      </c>
      <c r="Y308">
        <f>HYPERLINK("https://klasma.github.io/Logging_2313/kartor_geotiff/A 38806-2025 georefererad karta.tif", "A 38806-2025")</f>
        <v/>
      </c>
      <c r="AA308">
        <f>HYPERLINK("https://klasma.github.io/Logging_2313/klagomål/A 38806-2025 FSC-klagomål.docx", "A 38806-2025")</f>
        <v/>
      </c>
      <c r="AB308">
        <f>HYPERLINK("https://klasma.github.io/Logging_2313/klagomålsmail/A 38806-2025 FSC-klagomål mail.docx", "A 38806-2025")</f>
        <v/>
      </c>
      <c r="AC308">
        <f>HYPERLINK("https://klasma.github.io/Logging_2313/tillsyn/A 38806-2025 tillsynsbegäran.docx", "A 38806-2025")</f>
        <v/>
      </c>
      <c r="AD308">
        <f>HYPERLINK("https://klasma.github.io/Logging_2313/tillsynsmail/A 38806-2025 tillsynsbegäran mail.docx", "A 38806-2025")</f>
        <v/>
      </c>
    </row>
    <row r="309" ht="15" customHeight="1">
      <c r="A309" t="inlineStr">
        <is>
          <t>A 28018-2025</t>
        </is>
      </c>
      <c r="B309" t="inlineStr">
        <is>
          <t>avverkningsanmälan</t>
        </is>
      </c>
      <c r="C309" t="inlineStr">
        <is>
          <t>Föryngringsavverkning</t>
        </is>
      </c>
      <c r="D309" s="1" t="n">
        <v>45817</v>
      </c>
      <c r="E309" s="1" t="n">
        <v>46318</v>
      </c>
      <c r="F309" t="inlineStr">
        <is>
          <t>JÄMTLANDS LÄN</t>
        </is>
      </c>
      <c r="G309" t="inlineStr">
        <is>
          <t>STRÖMSUND</t>
        </is>
      </c>
      <c r="H309" t="inlineStr">
        <is>
          <t>SCA</t>
        </is>
      </c>
      <c r="I309" t="n">
        <v>5</v>
      </c>
      <c r="J309" t="n">
        <v>0</v>
      </c>
      <c r="K309" t="n">
        <v>0</v>
      </c>
      <c r="L309" t="n">
        <v>1</v>
      </c>
      <c r="M309" t="n">
        <v>0</v>
      </c>
      <c r="N309" t="n">
        <v>0</v>
      </c>
      <c r="O309" t="n">
        <v>0</v>
      </c>
      <c r="P309" t="n">
        <v>0</v>
      </c>
      <c r="Q309" t="n">
        <v>1</v>
      </c>
      <c r="R309" t="n">
        <v>0</v>
      </c>
      <c r="S309" t="n">
        <v>1</v>
      </c>
      <c r="T309" t="n">
        <v>1</v>
      </c>
      <c r="U309" t="n">
        <v>0</v>
      </c>
      <c r="V309" s="2" t="inlineStr">
        <is>
          <t>Skrovellav</t>
        </is>
      </c>
      <c r="W309">
        <f>HYPERLINK("https://klasma.github.io/Logging_2313/artfynd/A 28018-2025 artfynd.xlsx", "A 28018-2025")</f>
        <v/>
      </c>
      <c r="X309">
        <f>HYPERLINK("https://klasma.github.io/Logging_2313/kartor/A 28018-2025 karta.png", "A 28018-2025")</f>
        <v/>
      </c>
      <c r="Y309">
        <f>HYPERLINK("https://klasma.github.io/Logging_2313/kartor_geotiff/A 28018-2025 georefererad karta.tif", "A 28018-2025")</f>
        <v/>
      </c>
      <c r="AA309">
        <f>HYPERLINK("https://klasma.github.io/Logging_2313/klagomål/A 28018-2025 FSC-klagomål.docx", "A 28018-2025")</f>
        <v/>
      </c>
      <c r="AB309">
        <f>HYPERLINK("https://klasma.github.io/Logging_2313/klagomålsmail/A 28018-2025 FSC-klagomål mail.docx", "A 28018-2025")</f>
        <v/>
      </c>
      <c r="AC309">
        <f>HYPERLINK("https://klasma.github.io/Logging_2313/tillsyn/A 28018-2025 tillsynsbegäran.docx", "A 28018-2025")</f>
        <v/>
      </c>
      <c r="AD309">
        <f>HYPERLINK("https://klasma.github.io/Logging_2313/tillsynsmail/A 28018-2025 tillsynsbegäran mail.docx", "A 28018-2025")</f>
        <v/>
      </c>
    </row>
    <row r="310" ht="15" customHeight="1">
      <c r="A310" t="inlineStr">
        <is>
          <t>A 58968-2024</t>
        </is>
      </c>
      <c r="B310" t="inlineStr">
        <is>
          <t>avverkningsanmälan</t>
        </is>
      </c>
      <c r="C310" t="inlineStr">
        <is>
          <t>Föryngringsavverkning</t>
        </is>
      </c>
      <c r="D310" s="1" t="n">
        <v>45636</v>
      </c>
      <c r="E310" s="1" t="n">
        <v>46318</v>
      </c>
      <c r="F310" t="inlineStr">
        <is>
          <t>JÄMTLANDS LÄN</t>
        </is>
      </c>
      <c r="G310" t="inlineStr">
        <is>
          <t>STRÖMSUND</t>
        </is>
      </c>
      <c r="H310" t="inlineStr">
        <is>
          <t>SCA</t>
        </is>
      </c>
      <c r="I310" t="n">
        <v>0.9</v>
      </c>
      <c r="J310" t="n">
        <v>1</v>
      </c>
      <c r="K310" t="n">
        <v>0</v>
      </c>
      <c r="L310" t="n">
        <v>0</v>
      </c>
      <c r="M310" t="n">
        <v>0</v>
      </c>
      <c r="N310" t="n">
        <v>0</v>
      </c>
      <c r="O310" t="n">
        <v>0</v>
      </c>
      <c r="P310" t="n">
        <v>0</v>
      </c>
      <c r="Q310" t="n">
        <v>0</v>
      </c>
      <c r="R310" t="n">
        <v>0</v>
      </c>
      <c r="S310" t="n">
        <v>1</v>
      </c>
      <c r="T310" t="n">
        <v>1</v>
      </c>
      <c r="U310" t="n">
        <v>0</v>
      </c>
      <c r="V310" s="2" t="inlineStr">
        <is>
          <t>Åkergroda</t>
        </is>
      </c>
      <c r="W310">
        <f>HYPERLINK("https://klasma.github.io/Logging_2313/artfynd/A 58968-2024 artfynd.xlsx", "A 58968-2024")</f>
        <v/>
      </c>
      <c r="X310">
        <f>HYPERLINK("https://klasma.github.io/Logging_2313/kartor/A 58968-2024 karta.png", "A 58968-2024")</f>
        <v/>
      </c>
      <c r="Y310">
        <f>HYPERLINK("https://klasma.github.io/Logging_2313/kartor_geotiff/A 58968-2024 georefererad karta.tif", "A 58968-2024")</f>
        <v/>
      </c>
      <c r="AA310">
        <f>HYPERLINK("https://klasma.github.io/Logging_2313/klagomål/A 58968-2024 FSC-klagomål.docx", "A 58968-2024")</f>
        <v/>
      </c>
      <c r="AB310">
        <f>HYPERLINK("https://klasma.github.io/Logging_2313/klagomålsmail/A 58968-2024 FSC-klagomål mail.docx", "A 58968-2024")</f>
        <v/>
      </c>
      <c r="AC310">
        <f>HYPERLINK("https://klasma.github.io/Logging_2313/tillsyn/A 58968-2024 tillsynsbegäran.docx", "A 58968-2024")</f>
        <v/>
      </c>
      <c r="AD310">
        <f>HYPERLINK("https://klasma.github.io/Logging_2313/tillsynsmail/A 58968-2024 tillsynsbegäran mail.docx", "A 58968-2024")</f>
        <v/>
      </c>
    </row>
    <row r="311" ht="15" customHeight="1">
      <c r="A311" t="inlineStr">
        <is>
          <t>A 29721-2025</t>
        </is>
      </c>
      <c r="B311" t="inlineStr">
        <is>
          <t>avverkningsanmälan</t>
        </is>
      </c>
      <c r="C311" t="inlineStr">
        <is>
          <t>Föryngringsavverkning</t>
        </is>
      </c>
      <c r="D311" s="1" t="n">
        <v>45825</v>
      </c>
      <c r="E311" s="1" t="n">
        <v>46318</v>
      </c>
      <c r="F311" t="inlineStr">
        <is>
          <t>JÄMTLANDS LÄN</t>
        </is>
      </c>
      <c r="G311" t="inlineStr">
        <is>
          <t>STRÖMSUND</t>
        </is>
      </c>
      <c r="H311" t="inlineStr">
        <is>
          <t>SCA</t>
        </is>
      </c>
      <c r="I311" t="n">
        <v>25.2</v>
      </c>
      <c r="J311" t="n">
        <v>1</v>
      </c>
      <c r="K311" t="n">
        <v>0</v>
      </c>
      <c r="L311" t="n">
        <v>0</v>
      </c>
      <c r="M311" t="n">
        <v>1</v>
      </c>
      <c r="N311" t="n">
        <v>0</v>
      </c>
      <c r="O311" t="n">
        <v>0</v>
      </c>
      <c r="P311" t="n">
        <v>0</v>
      </c>
      <c r="Q311" t="n">
        <v>1</v>
      </c>
      <c r="R311" t="n">
        <v>1</v>
      </c>
      <c r="S311" t="n">
        <v>1</v>
      </c>
      <c r="T311" t="n">
        <v>1</v>
      </c>
      <c r="U311" t="n">
        <v>1</v>
      </c>
      <c r="V311" s="2" t="inlineStr">
        <is>
          <t>Violett guldvinge</t>
        </is>
      </c>
      <c r="W311">
        <f>HYPERLINK("https://klasma.github.io/Logging_2313/artfynd/A 29721-2025 artfynd.xlsx", "A 29721-2025")</f>
        <v/>
      </c>
      <c r="X311">
        <f>HYPERLINK("https://klasma.github.io/Logging_2313/kartor/A 29721-2025 karta.png", "A 29721-2025")</f>
        <v/>
      </c>
      <c r="Y311">
        <f>HYPERLINK("https://klasma.github.io/Logging_2313/kartor_geotiff/A 29721-2025 georefererad karta.tif", "A 29721-2025")</f>
        <v/>
      </c>
      <c r="AA311">
        <f>HYPERLINK("https://klasma.github.io/Logging_2313/klagomål/A 29721-2025 FSC-klagomål.docx", "A 29721-2025")</f>
        <v/>
      </c>
      <c r="AB311">
        <f>HYPERLINK("https://klasma.github.io/Logging_2313/klagomålsmail/A 29721-2025 FSC-klagomål mail.docx", "A 29721-2025")</f>
        <v/>
      </c>
      <c r="AC311">
        <f>HYPERLINK("https://klasma.github.io/Logging_2313/tillsyn/A 29721-2025 tillsynsbegäran.docx", "A 29721-2025")</f>
        <v/>
      </c>
      <c r="AD311">
        <f>HYPERLINK("https://klasma.github.io/Logging_2313/tillsynsmail/A 29721-2025 tillsynsbegäran mail.docx", "A 29721-2025")</f>
        <v/>
      </c>
    </row>
    <row r="312" ht="15" customHeight="1">
      <c r="A312" t="inlineStr">
        <is>
          <t>A 30142-2025</t>
        </is>
      </c>
      <c r="B312" t="inlineStr">
        <is>
          <t>avverkningsanmälan</t>
        </is>
      </c>
      <c r="C312" t="inlineStr">
        <is>
          <t>Föryngringsavverkning</t>
        </is>
      </c>
      <c r="D312" s="1" t="n">
        <v>45826</v>
      </c>
      <c r="E312" s="1" t="n">
        <v>46318</v>
      </c>
      <c r="F312" t="inlineStr">
        <is>
          <t>JÄMTLANDS LÄN</t>
        </is>
      </c>
      <c r="G312" t="inlineStr">
        <is>
          <t>STRÖMSUND</t>
        </is>
      </c>
      <c r="I312" t="n">
        <v>6.7</v>
      </c>
      <c r="J312" t="n">
        <v>1</v>
      </c>
      <c r="K312" t="n">
        <v>1</v>
      </c>
      <c r="L312" t="n">
        <v>0</v>
      </c>
      <c r="M312" t="n">
        <v>0</v>
      </c>
      <c r="N312" t="n">
        <v>0</v>
      </c>
      <c r="O312" t="n">
        <v>0</v>
      </c>
      <c r="P312" t="n">
        <v>0</v>
      </c>
      <c r="Q312" t="n">
        <v>0</v>
      </c>
      <c r="R312" t="n">
        <v>0</v>
      </c>
      <c r="S312" t="n">
        <v>1</v>
      </c>
      <c r="T312" t="n">
        <v>1</v>
      </c>
      <c r="U312" t="n">
        <v>0</v>
      </c>
      <c r="V312" s="2" t="inlineStr">
        <is>
          <t>Guckusko</t>
        </is>
      </c>
      <c r="W312">
        <f>HYPERLINK("https://klasma.github.io/Logging_2313/artfynd/A 30142-2025 artfynd.xlsx", "A 30142-2025")</f>
        <v/>
      </c>
      <c r="X312">
        <f>HYPERLINK("https://klasma.github.io/Logging_2313/kartor/A 30142-2025 karta.png", "A 30142-2025")</f>
        <v/>
      </c>
      <c r="Y312">
        <f>HYPERLINK("https://klasma.github.io/Logging_2313/kartor_geotiff/A 30142-2025 georefererad karta.tif", "A 30142-2025")</f>
        <v/>
      </c>
      <c r="AA312">
        <f>HYPERLINK("https://klasma.github.io/Logging_2313/klagomål/A 30142-2025 FSC-klagomål.docx", "A 30142-2025")</f>
        <v/>
      </c>
      <c r="AB312">
        <f>HYPERLINK("https://klasma.github.io/Logging_2313/klagomålsmail/A 30142-2025 FSC-klagomål mail.docx", "A 30142-2025")</f>
        <v/>
      </c>
      <c r="AC312">
        <f>HYPERLINK("https://klasma.github.io/Logging_2313/tillsyn/A 30142-2025 tillsynsbegäran.docx", "A 30142-2025")</f>
        <v/>
      </c>
      <c r="AD312">
        <f>HYPERLINK("https://klasma.github.io/Logging_2313/tillsynsmail/A 30142-2025 tillsynsbegäran mail.docx", "A 30142-2025")</f>
        <v/>
      </c>
    </row>
    <row r="313" ht="15" customHeight="1">
      <c r="A313" t="inlineStr">
        <is>
          <t>A 7929-2023</t>
        </is>
      </c>
      <c r="B313" t="inlineStr">
        <is>
          <t>avverkningsanmälan</t>
        </is>
      </c>
      <c r="C313" t="inlineStr">
        <is>
          <t>Avverkning för annat ändamål</t>
        </is>
      </c>
      <c r="D313" s="1" t="n">
        <v>44970</v>
      </c>
      <c r="E313" s="1" t="n">
        <v>46318</v>
      </c>
      <c r="F313" t="inlineStr">
        <is>
          <t>JÄMTLANDS LÄN</t>
        </is>
      </c>
      <c r="G313" t="inlineStr">
        <is>
          <t>STRÖMSUND</t>
        </is>
      </c>
      <c r="H313" t="inlineStr">
        <is>
          <t>Kommuner</t>
        </is>
      </c>
      <c r="I313" t="n">
        <v>2.2</v>
      </c>
      <c r="J313" t="n">
        <v>0</v>
      </c>
      <c r="K313" t="n">
        <v>1</v>
      </c>
      <c r="L313" t="n">
        <v>0</v>
      </c>
      <c r="M313" t="n">
        <v>0</v>
      </c>
      <c r="N313" t="n">
        <v>0</v>
      </c>
      <c r="O313" t="n">
        <v>0</v>
      </c>
      <c r="P313" t="n">
        <v>0</v>
      </c>
      <c r="Q313" t="n">
        <v>0</v>
      </c>
      <c r="R313" t="n">
        <v>0</v>
      </c>
      <c r="S313" t="n">
        <v>1</v>
      </c>
      <c r="T313" t="n">
        <v>1</v>
      </c>
      <c r="U313" t="n">
        <v>1</v>
      </c>
      <c r="V313" s="2" t="inlineStr">
        <is>
          <t>Norrlandslav</t>
        </is>
      </c>
      <c r="W313">
        <f>HYPERLINK("https://klasma.github.io/Logging_2313/artfynd/A 7929-2023 artfynd.xlsx", "A 7929-2023")</f>
        <v/>
      </c>
      <c r="X313">
        <f>HYPERLINK("https://klasma.github.io/Logging_2313/kartor/A 7929-2023 karta.png", "A 7929-2023")</f>
        <v/>
      </c>
      <c r="Y313">
        <f>HYPERLINK("https://klasma.github.io/Logging_2313/kartor_geotiff/A 7929-2023 georefererad karta.tif", "A 7929-2023")</f>
        <v/>
      </c>
      <c r="AA313">
        <f>HYPERLINK("https://klasma.github.io/Logging_2313/klagomål/A 7929-2023 FSC-klagomål.docx", "A 7929-2023")</f>
        <v/>
      </c>
      <c r="AB313">
        <f>HYPERLINK("https://klasma.github.io/Logging_2313/klagomålsmail/A 7929-2023 FSC-klagomål mail.docx", "A 7929-2023")</f>
        <v/>
      </c>
      <c r="AC313">
        <f>HYPERLINK("https://klasma.github.io/Logging_2313/tillsyn/A 7929-2023 tillsynsbegäran.docx", "A 7929-2023")</f>
        <v/>
      </c>
      <c r="AD313">
        <f>HYPERLINK("https://klasma.github.io/Logging_2313/tillsynsmail/A 7929-2023 tillsynsbegäran mail.docx", "A 7929-2023")</f>
        <v/>
      </c>
    </row>
    <row r="314" ht="15" customHeight="1">
      <c r="A314" t="inlineStr">
        <is>
          <t>A 32965-2022</t>
        </is>
      </c>
      <c r="B314" t="inlineStr">
        <is>
          <t>avverkningsanmälan</t>
        </is>
      </c>
      <c r="C314" t="inlineStr">
        <is>
          <t>Föryngringsavverkning</t>
        </is>
      </c>
      <c r="D314" s="1" t="n">
        <v>44784</v>
      </c>
      <c r="E314" s="1" t="n">
        <v>46318</v>
      </c>
      <c r="F314" t="inlineStr">
        <is>
          <t>JÄMTLANDS LÄN</t>
        </is>
      </c>
      <c r="G314" t="inlineStr">
        <is>
          <t>STRÖMSUND</t>
        </is>
      </c>
      <c r="I314" t="n">
        <v>5.8</v>
      </c>
      <c r="J314" t="n">
        <v>0</v>
      </c>
      <c r="K314" t="n">
        <v>0</v>
      </c>
      <c r="L314" t="n">
        <v>1</v>
      </c>
      <c r="M314" t="n">
        <v>0</v>
      </c>
      <c r="N314" t="n">
        <v>0</v>
      </c>
      <c r="O314" t="n">
        <v>0</v>
      </c>
      <c r="P314" t="n">
        <v>0</v>
      </c>
      <c r="Q314" t="n">
        <v>1</v>
      </c>
      <c r="R314" t="n">
        <v>0</v>
      </c>
      <c r="S314" t="n">
        <v>1</v>
      </c>
      <c r="T314" t="n">
        <v>1</v>
      </c>
      <c r="U314" t="n">
        <v>0</v>
      </c>
      <c r="V314" s="2" t="inlineStr">
        <is>
          <t>Vitgrynig nållav</t>
        </is>
      </c>
      <c r="W314">
        <f>HYPERLINK("https://klasma.github.io/Logging_2313/artfynd/A 32965-2022 artfynd.xlsx", "A 32965-2022")</f>
        <v/>
      </c>
      <c r="X314">
        <f>HYPERLINK("https://klasma.github.io/Logging_2313/kartor/A 32965-2022 karta.png", "A 32965-2022")</f>
        <v/>
      </c>
      <c r="Y314">
        <f>HYPERLINK("https://klasma.github.io/Logging_2313/kartor_geotiff/A 32965-2022 georefererad karta.tif", "A 32965-2022")</f>
        <v/>
      </c>
      <c r="AA314">
        <f>HYPERLINK("https://klasma.github.io/Logging_2313/klagomål/A 32965-2022 FSC-klagomål.docx", "A 32965-2022")</f>
        <v/>
      </c>
      <c r="AB314">
        <f>HYPERLINK("https://klasma.github.io/Logging_2313/klagomålsmail/A 32965-2022 FSC-klagomål mail.docx", "A 32965-2022")</f>
        <v/>
      </c>
      <c r="AC314">
        <f>HYPERLINK("https://klasma.github.io/Logging_2313/tillsyn/A 32965-2022 tillsynsbegäran.docx", "A 32965-2022")</f>
        <v/>
      </c>
      <c r="AD314">
        <f>HYPERLINK("https://klasma.github.io/Logging_2313/tillsynsmail/A 32965-2022 tillsynsbegäran mail.docx", "A 32965-2022")</f>
        <v/>
      </c>
    </row>
    <row r="315" ht="15" customHeight="1">
      <c r="A315" t="inlineStr">
        <is>
          <t>A 44386-2023</t>
        </is>
      </c>
      <c r="B315" t="inlineStr">
        <is>
          <t>avverkningsanmälan</t>
        </is>
      </c>
      <c r="C315" t="inlineStr">
        <is>
          <t>Föryngringsavverkning</t>
        </is>
      </c>
      <c r="D315" s="1" t="n">
        <v>45188</v>
      </c>
      <c r="E315" s="1" t="n">
        <v>46318</v>
      </c>
      <c r="F315" t="inlineStr">
        <is>
          <t>JÄMTLANDS LÄN</t>
        </is>
      </c>
      <c r="G315" t="inlineStr">
        <is>
          <t>STRÖMSUND</t>
        </is>
      </c>
      <c r="H315" t="inlineStr">
        <is>
          <t>SCA</t>
        </is>
      </c>
      <c r="I315" t="n">
        <v>2.5</v>
      </c>
      <c r="J315" t="n">
        <v>0</v>
      </c>
      <c r="K315" t="n">
        <v>0</v>
      </c>
      <c r="L315" t="n">
        <v>1</v>
      </c>
      <c r="M315" t="n">
        <v>0</v>
      </c>
      <c r="N315" t="n">
        <v>0</v>
      </c>
      <c r="O315" t="n">
        <v>0</v>
      </c>
      <c r="P315" t="n">
        <v>0</v>
      </c>
      <c r="Q315" t="n">
        <v>1</v>
      </c>
      <c r="R315" t="n">
        <v>0</v>
      </c>
      <c r="S315" t="n">
        <v>1</v>
      </c>
      <c r="T315" t="n">
        <v>1</v>
      </c>
      <c r="U315" t="n">
        <v>0</v>
      </c>
      <c r="V315" s="2" t="inlineStr">
        <is>
          <t>Stjärntagging</t>
        </is>
      </c>
      <c r="W315">
        <f>HYPERLINK("https://klasma.github.io/Logging_2313/artfynd/A 44386-2023 artfynd.xlsx", "A 44386-2023")</f>
        <v/>
      </c>
      <c r="X315">
        <f>HYPERLINK("https://klasma.github.io/Logging_2313/kartor/A 44386-2023 karta.png", "A 44386-2023")</f>
        <v/>
      </c>
      <c r="Y315">
        <f>HYPERLINK("https://klasma.github.io/Logging_2313/kartor_geotiff/A 44386-2023 georefererad karta.tif", "A 44386-2023")</f>
        <v/>
      </c>
      <c r="AA315">
        <f>HYPERLINK("https://klasma.github.io/Logging_2313/klagomål/A 44386-2023 FSC-klagomål.docx", "A 44386-2023")</f>
        <v/>
      </c>
      <c r="AB315">
        <f>HYPERLINK("https://klasma.github.io/Logging_2313/klagomålsmail/A 44386-2023 FSC-klagomål mail.docx", "A 44386-2023")</f>
        <v/>
      </c>
      <c r="AC315">
        <f>HYPERLINK("https://klasma.github.io/Logging_2313/tillsyn/A 44386-2023 tillsynsbegäran.docx", "A 44386-2023")</f>
        <v/>
      </c>
      <c r="AD315">
        <f>HYPERLINK("https://klasma.github.io/Logging_2313/tillsynsmail/A 44386-2023 tillsynsbegäran mail.docx", "A 44386-2023")</f>
        <v/>
      </c>
    </row>
    <row r="316" ht="15" customHeight="1">
      <c r="A316" t="inlineStr">
        <is>
          <t>A 18767-2023</t>
        </is>
      </c>
      <c r="B316" t="inlineStr">
        <is>
          <t>avverkningsanmälan</t>
        </is>
      </c>
      <c r="C316" t="inlineStr">
        <is>
          <t>Föryngringsavverkning</t>
        </is>
      </c>
      <c r="D316" s="1" t="n">
        <v>45043</v>
      </c>
      <c r="E316" s="1" t="n">
        <v>46318</v>
      </c>
      <c r="F316" t="inlineStr">
        <is>
          <t>JÄMTLANDS LÄN</t>
        </is>
      </c>
      <c r="G316" t="inlineStr">
        <is>
          <t>STRÖMSUND</t>
        </is>
      </c>
      <c r="H316" t="inlineStr">
        <is>
          <t>SCA</t>
        </is>
      </c>
      <c r="I316" t="n">
        <v>7.5</v>
      </c>
      <c r="J316" t="n">
        <v>0</v>
      </c>
      <c r="K316" t="n">
        <v>0</v>
      </c>
      <c r="L316" t="n">
        <v>1</v>
      </c>
      <c r="M316" t="n">
        <v>0</v>
      </c>
      <c r="N316" t="n">
        <v>0</v>
      </c>
      <c r="O316" t="n">
        <v>0</v>
      </c>
      <c r="P316" t="n">
        <v>0</v>
      </c>
      <c r="Q316" t="n">
        <v>1</v>
      </c>
      <c r="R316" t="n">
        <v>0</v>
      </c>
      <c r="S316" t="n">
        <v>1</v>
      </c>
      <c r="T316" t="n">
        <v>1</v>
      </c>
      <c r="U316" t="n">
        <v>0</v>
      </c>
      <c r="V316" s="2" t="inlineStr">
        <is>
          <t>Vedtrappmossa</t>
        </is>
      </c>
      <c r="W316">
        <f>HYPERLINK("https://klasma.github.io/Logging_2313/artfynd/A 18767-2023 artfynd.xlsx", "A 18767-2023")</f>
        <v/>
      </c>
      <c r="X316">
        <f>HYPERLINK("https://klasma.github.io/Logging_2313/kartor/A 18767-2023 karta.png", "A 18767-2023")</f>
        <v/>
      </c>
      <c r="Y316">
        <f>HYPERLINK("https://klasma.github.io/Logging_2313/kartor_geotiff/A 18767-2023 georefererad karta.tif", "A 18767-2023")</f>
        <v/>
      </c>
      <c r="AA316">
        <f>HYPERLINK("https://klasma.github.io/Logging_2313/klagomål/A 18767-2023 FSC-klagomål.docx", "A 18767-2023")</f>
        <v/>
      </c>
      <c r="AB316">
        <f>HYPERLINK("https://klasma.github.io/Logging_2313/klagomålsmail/A 18767-2023 FSC-klagomål mail.docx", "A 18767-2023")</f>
        <v/>
      </c>
      <c r="AC316">
        <f>HYPERLINK("https://klasma.github.io/Logging_2313/tillsyn/A 18767-2023 tillsynsbegäran.docx", "A 18767-2023")</f>
        <v/>
      </c>
      <c r="AD316">
        <f>HYPERLINK("https://klasma.github.io/Logging_2313/tillsynsmail/A 18767-2023 tillsynsbegäran mail.docx", "A 18767-2023")</f>
        <v/>
      </c>
    </row>
    <row r="317" ht="15" customHeight="1">
      <c r="A317" t="inlineStr">
        <is>
          <t>A 32746-2025</t>
        </is>
      </c>
      <c r="B317" t="inlineStr">
        <is>
          <t>avverkningsanmälan</t>
        </is>
      </c>
      <c r="C317" t="inlineStr">
        <is>
          <t>Föryngringsavverkning</t>
        </is>
      </c>
      <c r="D317" s="1" t="n">
        <v>45839</v>
      </c>
      <c r="E317" s="1" t="n">
        <v>46318</v>
      </c>
      <c r="F317" t="inlineStr">
        <is>
          <t>JÄMTLANDS LÄN</t>
        </is>
      </c>
      <c r="G317" t="inlineStr">
        <is>
          <t>STRÖMSUND</t>
        </is>
      </c>
      <c r="H317" t="inlineStr">
        <is>
          <t>SCA</t>
        </is>
      </c>
      <c r="I317" t="n">
        <v>5</v>
      </c>
      <c r="J317" t="n">
        <v>0</v>
      </c>
      <c r="K317" t="n">
        <v>0</v>
      </c>
      <c r="L317" t="n">
        <v>0</v>
      </c>
      <c r="M317" t="n">
        <v>1</v>
      </c>
      <c r="N317" t="n">
        <v>0</v>
      </c>
      <c r="O317" t="n">
        <v>0</v>
      </c>
      <c r="P317" t="n">
        <v>0</v>
      </c>
      <c r="Q317" t="n">
        <v>1</v>
      </c>
      <c r="R317" t="n">
        <v>1</v>
      </c>
      <c r="S317" t="n">
        <v>1</v>
      </c>
      <c r="T317" t="n">
        <v>1</v>
      </c>
      <c r="U317" t="n">
        <v>0</v>
      </c>
      <c r="V317" s="2" t="inlineStr">
        <is>
          <t>Garnlav</t>
        </is>
      </c>
      <c r="W317">
        <f>HYPERLINK("https://klasma.github.io/Logging_2313/artfynd/A 32746-2025 artfynd.xlsx", "A 32746-2025")</f>
        <v/>
      </c>
      <c r="X317">
        <f>HYPERLINK("https://klasma.github.io/Logging_2313/kartor/A 32746-2025 karta.png", "A 32746-2025")</f>
        <v/>
      </c>
      <c r="Y317">
        <f>HYPERLINK("https://klasma.github.io/Logging_2313/kartor_geotiff/A 32746-2025 georefererad karta.tif", "A 32746-2025")</f>
        <v/>
      </c>
      <c r="AA317">
        <f>HYPERLINK("https://klasma.github.io/Logging_2313/klagomål/A 32746-2025 FSC-klagomål.docx", "A 32746-2025")</f>
        <v/>
      </c>
      <c r="AB317">
        <f>HYPERLINK("https://klasma.github.io/Logging_2313/klagomålsmail/A 32746-2025 FSC-klagomål mail.docx", "A 32746-2025")</f>
        <v/>
      </c>
      <c r="AC317">
        <f>HYPERLINK("https://klasma.github.io/Logging_2313/tillsyn/A 32746-2025 tillsynsbegäran.docx", "A 32746-2025")</f>
        <v/>
      </c>
      <c r="AD317">
        <f>HYPERLINK("https://klasma.github.io/Logging_2313/tillsynsmail/A 32746-2025 tillsynsbegäran mail.docx", "A 32746-2025")</f>
        <v/>
      </c>
    </row>
    <row r="318" ht="15" customHeight="1">
      <c r="A318" t="inlineStr">
        <is>
          <t>A 30085-2025</t>
        </is>
      </c>
      <c r="B318" t="inlineStr">
        <is>
          <t>avverkningsanmälan</t>
        </is>
      </c>
      <c r="C318" t="inlineStr">
        <is>
          <t>Föryngringsavverkning</t>
        </is>
      </c>
      <c r="D318" s="1" t="n">
        <v>45826</v>
      </c>
      <c r="E318" s="1" t="n">
        <v>46318</v>
      </c>
      <c r="F318" t="inlineStr">
        <is>
          <t>JÄMTLANDS LÄN</t>
        </is>
      </c>
      <c r="G318" t="inlineStr">
        <is>
          <t>STRÖMSUND</t>
        </is>
      </c>
      <c r="H318" t="inlineStr">
        <is>
          <t>Sveaskog</t>
        </is>
      </c>
      <c r="I318" t="n">
        <v>1.4</v>
      </c>
      <c r="J318" t="n">
        <v>0</v>
      </c>
      <c r="K318" t="n">
        <v>0</v>
      </c>
      <c r="L318" t="n">
        <v>1</v>
      </c>
      <c r="M318" t="n">
        <v>0</v>
      </c>
      <c r="N318" t="n">
        <v>0</v>
      </c>
      <c r="O318" t="n">
        <v>0</v>
      </c>
      <c r="P318" t="n">
        <v>0</v>
      </c>
      <c r="Q318" t="n">
        <v>1</v>
      </c>
      <c r="R318" t="n">
        <v>0</v>
      </c>
      <c r="S318" t="n">
        <v>1</v>
      </c>
      <c r="T318" t="n">
        <v>1</v>
      </c>
      <c r="U318" t="n">
        <v>0</v>
      </c>
      <c r="V318" s="2" t="inlineStr">
        <is>
          <t>Flattoppad klubbsvamp</t>
        </is>
      </c>
      <c r="W318">
        <f>HYPERLINK("https://klasma.github.io/Logging_2313/artfynd/A 30085-2025 artfynd.xlsx", "A 30085-2025")</f>
        <v/>
      </c>
      <c r="X318">
        <f>HYPERLINK("https://klasma.github.io/Logging_2313/kartor/A 30085-2025 karta.png", "A 30085-2025")</f>
        <v/>
      </c>
      <c r="Y318">
        <f>HYPERLINK("https://klasma.github.io/Logging_2313/kartor_geotiff/A 30085-2025 georefererad karta.tif", "A 30085-2025")</f>
        <v/>
      </c>
      <c r="AA318">
        <f>HYPERLINK("https://klasma.github.io/Logging_2313/klagomål/A 30085-2025 FSC-klagomål.docx", "A 30085-2025")</f>
        <v/>
      </c>
      <c r="AB318">
        <f>HYPERLINK("https://klasma.github.io/Logging_2313/klagomålsmail/A 30085-2025 FSC-klagomål mail.docx", "A 30085-2025")</f>
        <v/>
      </c>
      <c r="AC318">
        <f>HYPERLINK("https://klasma.github.io/Logging_2313/tillsyn/A 30085-2025 tillsynsbegäran.docx", "A 30085-2025")</f>
        <v/>
      </c>
      <c r="AD318">
        <f>HYPERLINK("https://klasma.github.io/Logging_2313/tillsynsmail/A 30085-2025 tillsynsbegäran mail.docx", "A 30085-2025")</f>
        <v/>
      </c>
    </row>
    <row r="319" ht="15" customHeight="1">
      <c r="A319" t="inlineStr">
        <is>
          <t>A 32750-2025</t>
        </is>
      </c>
      <c r="B319" t="inlineStr">
        <is>
          <t>avverkningsanmälan</t>
        </is>
      </c>
      <c r="C319" t="inlineStr">
        <is>
          <t>Föryngringsavverkning</t>
        </is>
      </c>
      <c r="D319" s="1" t="n">
        <v>45839</v>
      </c>
      <c r="E319" s="1" t="n">
        <v>46318</v>
      </c>
      <c r="F319" t="inlineStr">
        <is>
          <t>JÄMTLANDS LÄN</t>
        </is>
      </c>
      <c r="G319" t="inlineStr">
        <is>
          <t>STRÖMSUND</t>
        </is>
      </c>
      <c r="H319" t="inlineStr">
        <is>
          <t>SCA</t>
        </is>
      </c>
      <c r="I319" t="n">
        <v>11.7</v>
      </c>
      <c r="J319" t="n">
        <v>0</v>
      </c>
      <c r="K319" t="n">
        <v>0</v>
      </c>
      <c r="L319" t="n">
        <v>0</v>
      </c>
      <c r="M319" t="n">
        <v>1</v>
      </c>
      <c r="N319" t="n">
        <v>0</v>
      </c>
      <c r="O319" t="n">
        <v>0</v>
      </c>
      <c r="P319" t="n">
        <v>0</v>
      </c>
      <c r="Q319" t="n">
        <v>1</v>
      </c>
      <c r="R319" t="n">
        <v>1</v>
      </c>
      <c r="S319" t="n">
        <v>1</v>
      </c>
      <c r="T319" t="n">
        <v>1</v>
      </c>
      <c r="U319" t="n">
        <v>0</v>
      </c>
      <c r="V319" s="2" t="inlineStr">
        <is>
          <t>Garnlav</t>
        </is>
      </c>
      <c r="W319">
        <f>HYPERLINK("https://klasma.github.io/Logging_2313/artfynd/A 32750-2025 artfynd.xlsx", "A 32750-2025")</f>
        <v/>
      </c>
      <c r="X319">
        <f>HYPERLINK("https://klasma.github.io/Logging_2313/kartor/A 32750-2025 karta.png", "A 32750-2025")</f>
        <v/>
      </c>
      <c r="Y319">
        <f>HYPERLINK("https://klasma.github.io/Logging_2313/kartor_geotiff/A 32750-2025 georefererad karta.tif", "A 32750-2025")</f>
        <v/>
      </c>
      <c r="AA319">
        <f>HYPERLINK("https://klasma.github.io/Logging_2313/klagomål/A 32750-2025 FSC-klagomål.docx", "A 32750-2025")</f>
        <v/>
      </c>
      <c r="AB319">
        <f>HYPERLINK("https://klasma.github.io/Logging_2313/klagomålsmail/A 32750-2025 FSC-klagomål mail.docx", "A 32750-2025")</f>
        <v/>
      </c>
      <c r="AC319">
        <f>HYPERLINK("https://klasma.github.io/Logging_2313/tillsyn/A 32750-2025 tillsynsbegäran.docx", "A 32750-2025")</f>
        <v/>
      </c>
      <c r="AD319">
        <f>HYPERLINK("https://klasma.github.io/Logging_2313/tillsynsmail/A 32750-2025 tillsynsbegäran mail.docx", "A 32750-2025")</f>
        <v/>
      </c>
    </row>
    <row r="320" ht="15" customHeight="1">
      <c r="A320" t="inlineStr">
        <is>
          <t>A 49524-2023</t>
        </is>
      </c>
      <c r="B320" t="inlineStr">
        <is>
          <t>avverkningsanmälan</t>
        </is>
      </c>
      <c r="C320" t="inlineStr">
        <is>
          <t>Föryngringsavverkning</t>
        </is>
      </c>
      <c r="D320" s="1" t="n">
        <v>45211</v>
      </c>
      <c r="E320" s="1" t="n">
        <v>46318</v>
      </c>
      <c r="F320" t="inlineStr">
        <is>
          <t>JÄMTLANDS LÄN</t>
        </is>
      </c>
      <c r="G320" t="inlineStr">
        <is>
          <t>STRÖMSUND</t>
        </is>
      </c>
      <c r="H320" t="inlineStr">
        <is>
          <t>Holmen skog AB</t>
        </is>
      </c>
      <c r="I320" t="n">
        <v>3.3</v>
      </c>
      <c r="J320" t="n">
        <v>0</v>
      </c>
      <c r="K320" t="n">
        <v>0</v>
      </c>
      <c r="L320" t="n">
        <v>1</v>
      </c>
      <c r="M320" t="n">
        <v>0</v>
      </c>
      <c r="N320" t="n">
        <v>0</v>
      </c>
      <c r="O320" t="n">
        <v>0</v>
      </c>
      <c r="P320" t="n">
        <v>0</v>
      </c>
      <c r="Q320" t="n">
        <v>1</v>
      </c>
      <c r="R320" t="n">
        <v>0</v>
      </c>
      <c r="S320" t="n">
        <v>1</v>
      </c>
      <c r="T320" t="n">
        <v>1</v>
      </c>
      <c r="U320" t="n">
        <v>1</v>
      </c>
      <c r="V320" s="2" t="inlineStr">
        <is>
          <t>Kolflarnlav</t>
        </is>
      </c>
      <c r="W320">
        <f>HYPERLINK("https://klasma.github.io/Logging_2313/artfynd/A 49524-2023 artfynd.xlsx", "A 49524-2023")</f>
        <v/>
      </c>
      <c r="X320">
        <f>HYPERLINK("https://klasma.github.io/Logging_2313/kartor/A 49524-2023 karta.png", "A 49524-2023")</f>
        <v/>
      </c>
      <c r="Y320">
        <f>HYPERLINK("https://klasma.github.io/Logging_2313/kartor_geotiff/A 49524-2023 georefererad karta.tif", "A 49524-2023")</f>
        <v/>
      </c>
      <c r="AA320">
        <f>HYPERLINK("https://klasma.github.io/Logging_2313/klagomål/A 49524-2023 FSC-klagomål.docx", "A 49524-2023")</f>
        <v/>
      </c>
      <c r="AB320">
        <f>HYPERLINK("https://klasma.github.io/Logging_2313/klagomålsmail/A 49524-2023 FSC-klagomål mail.docx", "A 49524-2023")</f>
        <v/>
      </c>
      <c r="AC320">
        <f>HYPERLINK("https://klasma.github.io/Logging_2313/tillsyn/A 49524-2023 tillsynsbegäran.docx", "A 49524-2023")</f>
        <v/>
      </c>
      <c r="AD320">
        <f>HYPERLINK("https://klasma.github.io/Logging_2313/tillsynsmail/A 49524-2023 tillsynsbegäran mail.docx", "A 49524-2023")</f>
        <v/>
      </c>
    </row>
    <row r="321" ht="15" customHeight="1">
      <c r="A321" t="inlineStr">
        <is>
          <t>A 40011-2025</t>
        </is>
      </c>
      <c r="B321" t="inlineStr">
        <is>
          <t>avverkningsanmälan</t>
        </is>
      </c>
      <c r="C321" t="inlineStr">
        <is>
          <t>Avverkning för att bevara och utveckla /försöksver</t>
        </is>
      </c>
      <c r="D321" s="1" t="n">
        <v>45894</v>
      </c>
      <c r="E321" s="1" t="n">
        <v>46318</v>
      </c>
      <c r="F321" t="inlineStr">
        <is>
          <t>JÄMTLANDS LÄN</t>
        </is>
      </c>
      <c r="G321" t="inlineStr">
        <is>
          <t>STRÖMSUND</t>
        </is>
      </c>
      <c r="H321" t="inlineStr">
        <is>
          <t>SCA</t>
        </is>
      </c>
      <c r="I321" t="n">
        <v>1</v>
      </c>
      <c r="J321" t="n">
        <v>0</v>
      </c>
      <c r="K321" t="n">
        <v>0</v>
      </c>
      <c r="L321" t="n">
        <v>1</v>
      </c>
      <c r="M321" t="n">
        <v>0</v>
      </c>
      <c r="N321" t="n">
        <v>0</v>
      </c>
      <c r="O321" t="n">
        <v>0</v>
      </c>
      <c r="P321" t="n">
        <v>0</v>
      </c>
      <c r="Q321" t="n">
        <v>1</v>
      </c>
      <c r="R321" t="n">
        <v>0</v>
      </c>
      <c r="S321" t="n">
        <v>1</v>
      </c>
      <c r="T321" t="n">
        <v>1</v>
      </c>
      <c r="U321" t="n">
        <v>0</v>
      </c>
      <c r="V321" s="2" t="inlineStr">
        <is>
          <t>Ullticka</t>
        </is>
      </c>
      <c r="W321">
        <f>HYPERLINK("https://klasma.github.io/Logging_2313/artfynd/A 40011-2025 artfynd.xlsx", "A 40011-2025")</f>
        <v/>
      </c>
      <c r="X321">
        <f>HYPERLINK("https://klasma.github.io/Logging_2313/kartor/A 40011-2025 karta.png", "A 40011-2025")</f>
        <v/>
      </c>
      <c r="Y321">
        <f>HYPERLINK("https://klasma.github.io/Logging_2313/kartor_geotiff/A 40011-2025 georefererad karta.tif", "A 40011-2025")</f>
        <v/>
      </c>
      <c r="AA321">
        <f>HYPERLINK("https://klasma.github.io/Logging_2313/klagomål/A 40011-2025 FSC-klagomål.docx", "A 40011-2025")</f>
        <v/>
      </c>
      <c r="AB321">
        <f>HYPERLINK("https://klasma.github.io/Logging_2313/klagomålsmail/A 40011-2025 FSC-klagomål mail.docx", "A 40011-2025")</f>
        <v/>
      </c>
      <c r="AC321">
        <f>HYPERLINK("https://klasma.github.io/Logging_2313/tillsyn/A 40011-2025 tillsynsbegäran.docx", "A 40011-2025")</f>
        <v/>
      </c>
      <c r="AD321">
        <f>HYPERLINK("https://klasma.github.io/Logging_2313/tillsynsmail/A 40011-2025 tillsynsbegäran mail.docx", "A 40011-2025")</f>
        <v/>
      </c>
    </row>
    <row r="322" ht="15" customHeight="1">
      <c r="A322" t="inlineStr">
        <is>
          <t>A 40153-2025</t>
        </is>
      </c>
      <c r="B322" t="inlineStr">
        <is>
          <t>avverkningsanmälan</t>
        </is>
      </c>
      <c r="C322" t="inlineStr">
        <is>
          <t>Föryngringsavverkning</t>
        </is>
      </c>
      <c r="D322" s="1" t="n">
        <v>45894</v>
      </c>
      <c r="E322" s="1" t="n">
        <v>46318</v>
      </c>
      <c r="F322" t="inlineStr">
        <is>
          <t>JÄMTLANDS LÄN</t>
        </is>
      </c>
      <c r="G322" t="inlineStr">
        <is>
          <t>STRÖMSUND</t>
        </is>
      </c>
      <c r="H322" t="inlineStr">
        <is>
          <t>SCA</t>
        </is>
      </c>
      <c r="I322" t="n">
        <v>8.300000000000001</v>
      </c>
      <c r="J322" t="n">
        <v>1</v>
      </c>
      <c r="K322" t="n">
        <v>0</v>
      </c>
      <c r="L322" t="n">
        <v>0</v>
      </c>
      <c r="M322" t="n">
        <v>0</v>
      </c>
      <c r="N322" t="n">
        <v>0</v>
      </c>
      <c r="O322" t="n">
        <v>0</v>
      </c>
      <c r="P322" t="n">
        <v>0</v>
      </c>
      <c r="Q322" t="n">
        <v>0</v>
      </c>
      <c r="R322" t="n">
        <v>0</v>
      </c>
      <c r="S322" t="n">
        <v>1</v>
      </c>
      <c r="T322" t="n">
        <v>1</v>
      </c>
      <c r="U322" t="n">
        <v>1</v>
      </c>
      <c r="V322" s="2" t="inlineStr">
        <is>
          <t>Nattviol</t>
        </is>
      </c>
      <c r="W322">
        <f>HYPERLINK("https://klasma.github.io/Logging_2313/artfynd/A 40153-2025 artfynd.xlsx", "A 40153-2025")</f>
        <v/>
      </c>
      <c r="X322">
        <f>HYPERLINK("https://klasma.github.io/Logging_2313/kartor/A 40153-2025 karta.png", "A 40153-2025")</f>
        <v/>
      </c>
      <c r="Y322">
        <f>HYPERLINK("https://klasma.github.io/Logging_2313/kartor_geotiff/A 40153-2025 georefererad karta.tif", "A 40153-2025")</f>
        <v/>
      </c>
      <c r="AA322">
        <f>HYPERLINK("https://klasma.github.io/Logging_2313/klagomål/A 40153-2025 FSC-klagomål.docx", "A 40153-2025")</f>
        <v/>
      </c>
      <c r="AB322">
        <f>HYPERLINK("https://klasma.github.io/Logging_2313/klagomålsmail/A 40153-2025 FSC-klagomål mail.docx", "A 40153-2025")</f>
        <v/>
      </c>
      <c r="AC322">
        <f>HYPERLINK("https://klasma.github.io/Logging_2313/tillsyn/A 40153-2025 tillsynsbegäran.docx", "A 40153-2025")</f>
        <v/>
      </c>
      <c r="AD322">
        <f>HYPERLINK("https://klasma.github.io/Logging_2313/tillsynsmail/A 40153-2025 tillsynsbegäran mail.docx", "A 40153-2025")</f>
        <v/>
      </c>
    </row>
    <row r="323" ht="15" customHeight="1">
      <c r="A323" t="inlineStr">
        <is>
          <t>A 20592-2023</t>
        </is>
      </c>
      <c r="B323" t="inlineStr">
        <is>
          <t>avverkningsanmälan</t>
        </is>
      </c>
      <c r="C323" t="inlineStr">
        <is>
          <t>Föryngringsavverkning</t>
        </is>
      </c>
      <c r="D323" s="1" t="n">
        <v>45057</v>
      </c>
      <c r="E323" s="1" t="n">
        <v>46318</v>
      </c>
      <c r="F323" t="inlineStr">
        <is>
          <t>JÄMTLANDS LÄN</t>
        </is>
      </c>
      <c r="G323" t="inlineStr">
        <is>
          <t>STRÖMSUND</t>
        </is>
      </c>
      <c r="H323" t="inlineStr">
        <is>
          <t>SCA</t>
        </is>
      </c>
      <c r="I323" t="n">
        <v>8.800000000000001</v>
      </c>
      <c r="J323" t="n">
        <v>0</v>
      </c>
      <c r="K323" t="n">
        <v>0</v>
      </c>
      <c r="L323" t="n">
        <v>1</v>
      </c>
      <c r="M323" t="n">
        <v>0</v>
      </c>
      <c r="N323" t="n">
        <v>0</v>
      </c>
      <c r="O323" t="n">
        <v>0</v>
      </c>
      <c r="P323" t="n">
        <v>0</v>
      </c>
      <c r="Q323" t="n">
        <v>1</v>
      </c>
      <c r="R323" t="n">
        <v>0</v>
      </c>
      <c r="S323" t="n">
        <v>1</v>
      </c>
      <c r="T323" t="n">
        <v>1</v>
      </c>
      <c r="U323" t="n">
        <v>0</v>
      </c>
      <c r="V323" s="2" t="inlineStr">
        <is>
          <t>Gammelgransskål</t>
        </is>
      </c>
      <c r="W323">
        <f>HYPERLINK("https://klasma.github.io/Logging_2313/artfynd/A 20592-2023 artfynd.xlsx", "A 20592-2023")</f>
        <v/>
      </c>
      <c r="X323">
        <f>HYPERLINK("https://klasma.github.io/Logging_2313/kartor/A 20592-2023 karta.png", "A 20592-2023")</f>
        <v/>
      </c>
      <c r="Y323">
        <f>HYPERLINK("https://klasma.github.io/Logging_2313/kartor_geotiff/A 20592-2023 georefererad karta.tif", "A 20592-2023")</f>
        <v/>
      </c>
      <c r="AA323">
        <f>HYPERLINK("https://klasma.github.io/Logging_2313/klagomål/A 20592-2023 FSC-klagomål.docx", "A 20592-2023")</f>
        <v/>
      </c>
      <c r="AB323">
        <f>HYPERLINK("https://klasma.github.io/Logging_2313/klagomålsmail/A 20592-2023 FSC-klagomål mail.docx", "A 20592-2023")</f>
        <v/>
      </c>
      <c r="AC323">
        <f>HYPERLINK("https://klasma.github.io/Logging_2313/tillsyn/A 20592-2023 tillsynsbegäran.docx", "A 20592-2023")</f>
        <v/>
      </c>
      <c r="AD323">
        <f>HYPERLINK("https://klasma.github.io/Logging_2313/tillsynsmail/A 20592-2023 tillsynsbegäran mail.docx", "A 20592-2023")</f>
        <v/>
      </c>
    </row>
    <row r="324" ht="15" customHeight="1">
      <c r="A324" t="inlineStr">
        <is>
          <t>A 41938-2024</t>
        </is>
      </c>
      <c r="B324" t="inlineStr">
        <is>
          <t>avverkningsanmälan</t>
        </is>
      </c>
      <c r="C324" t="inlineStr">
        <is>
          <t>Avverkning för att bevara och utveckla /försöksver</t>
        </is>
      </c>
      <c r="D324" s="1" t="n">
        <v>45561</v>
      </c>
      <c r="E324" s="1" t="n">
        <v>46318</v>
      </c>
      <c r="F324" t="inlineStr">
        <is>
          <t>JÄMTLANDS LÄN</t>
        </is>
      </c>
      <c r="G324" t="inlineStr">
        <is>
          <t>STRÖMSUND</t>
        </is>
      </c>
      <c r="H324" t="inlineStr">
        <is>
          <t>SCA</t>
        </is>
      </c>
      <c r="I324" t="n">
        <v>5.4</v>
      </c>
      <c r="J324" t="n">
        <v>0</v>
      </c>
      <c r="K324" t="n">
        <v>0</v>
      </c>
      <c r="L324" t="n">
        <v>1</v>
      </c>
      <c r="M324" t="n">
        <v>0</v>
      </c>
      <c r="N324" t="n">
        <v>0</v>
      </c>
      <c r="O324" t="n">
        <v>0</v>
      </c>
      <c r="P324" t="n">
        <v>0</v>
      </c>
      <c r="Q324" t="n">
        <v>1</v>
      </c>
      <c r="R324" t="n">
        <v>0</v>
      </c>
      <c r="S324" t="n">
        <v>1</v>
      </c>
      <c r="T324" t="n">
        <v>1</v>
      </c>
      <c r="U324" t="n">
        <v>0</v>
      </c>
      <c r="V324" s="2" t="inlineStr">
        <is>
          <t>Lunglav</t>
        </is>
      </c>
      <c r="W324">
        <f>HYPERLINK("https://klasma.github.io/Logging_2313/artfynd/A 41938-2024 artfynd.xlsx", "A 41938-2024")</f>
        <v/>
      </c>
      <c r="X324">
        <f>HYPERLINK("https://klasma.github.io/Logging_2313/kartor/A 41938-2024 karta.png", "A 41938-2024")</f>
        <v/>
      </c>
      <c r="Y324">
        <f>HYPERLINK("https://klasma.github.io/Logging_2313/kartor_geotiff/A 41938-2024 georefererad karta.tif", "A 41938-2024")</f>
        <v/>
      </c>
      <c r="AA324">
        <f>HYPERLINK("https://klasma.github.io/Logging_2313/klagomål/A 41938-2024 FSC-klagomål.docx", "A 41938-2024")</f>
        <v/>
      </c>
      <c r="AB324">
        <f>HYPERLINK("https://klasma.github.io/Logging_2313/klagomålsmail/A 41938-2024 FSC-klagomål mail.docx", "A 41938-2024")</f>
        <v/>
      </c>
      <c r="AC324">
        <f>HYPERLINK("https://klasma.github.io/Logging_2313/tillsyn/A 41938-2024 tillsynsbegäran.docx", "A 41938-2024")</f>
        <v/>
      </c>
      <c r="AD324">
        <f>HYPERLINK("https://klasma.github.io/Logging_2313/tillsynsmail/A 41938-2024 tillsynsbegäran mail.docx", "A 41938-2024")</f>
        <v/>
      </c>
    </row>
    <row r="325" ht="15" customHeight="1">
      <c r="A325" t="inlineStr">
        <is>
          <t>A 34815-2025</t>
        </is>
      </c>
      <c r="B325" t="inlineStr">
        <is>
          <t>avverkningsanmälan</t>
        </is>
      </c>
      <c r="C325" t="inlineStr">
        <is>
          <t>Föryngringsavverkning</t>
        </is>
      </c>
      <c r="D325" s="1" t="n">
        <v>45849</v>
      </c>
      <c r="E325" s="1" t="n">
        <v>46318</v>
      </c>
      <c r="F325" t="inlineStr">
        <is>
          <t>JÄMTLANDS LÄN</t>
        </is>
      </c>
      <c r="G325" t="inlineStr">
        <is>
          <t>STRÖMSUND</t>
        </is>
      </c>
      <c r="I325" t="n">
        <v>9.6</v>
      </c>
      <c r="J325" t="n">
        <v>0</v>
      </c>
      <c r="K325" t="n">
        <v>0</v>
      </c>
      <c r="L325" t="n">
        <v>1</v>
      </c>
      <c r="M325" t="n">
        <v>0</v>
      </c>
      <c r="N325" t="n">
        <v>0</v>
      </c>
      <c r="O325" t="n">
        <v>0</v>
      </c>
      <c r="P325" t="n">
        <v>0</v>
      </c>
      <c r="Q325" t="n">
        <v>1</v>
      </c>
      <c r="R325" t="n">
        <v>0</v>
      </c>
      <c r="S325" t="n">
        <v>1</v>
      </c>
      <c r="T325" t="n">
        <v>1</v>
      </c>
      <c r="U325" t="n">
        <v>1</v>
      </c>
      <c r="V325" s="2" t="inlineStr">
        <is>
          <t>Skrovellav</t>
        </is>
      </c>
      <c r="W325">
        <f>HYPERLINK("https://klasma.github.io/Logging_2313/artfynd/A 34815-2025 artfynd.xlsx", "A 34815-2025")</f>
        <v/>
      </c>
      <c r="X325">
        <f>HYPERLINK("https://klasma.github.io/Logging_2313/kartor/A 34815-2025 karta.png", "A 34815-2025")</f>
        <v/>
      </c>
      <c r="Y325">
        <f>HYPERLINK("https://klasma.github.io/Logging_2313/kartor_geotiff/A 34815-2025 georefererad karta.tif", "A 34815-2025")</f>
        <v/>
      </c>
      <c r="AA325">
        <f>HYPERLINK("https://klasma.github.io/Logging_2313/klagomål/A 34815-2025 FSC-klagomål.docx", "A 34815-2025")</f>
        <v/>
      </c>
      <c r="AB325">
        <f>HYPERLINK("https://klasma.github.io/Logging_2313/klagomålsmail/A 34815-2025 FSC-klagomål mail.docx", "A 34815-2025")</f>
        <v/>
      </c>
      <c r="AC325">
        <f>HYPERLINK("https://klasma.github.io/Logging_2313/tillsyn/A 34815-2025 tillsynsbegäran.docx", "A 34815-2025")</f>
        <v/>
      </c>
      <c r="AD325">
        <f>HYPERLINK("https://klasma.github.io/Logging_2313/tillsynsmail/A 34815-2025 tillsynsbegäran mail.docx", "A 34815-2025")</f>
        <v/>
      </c>
    </row>
    <row r="326" ht="15" customHeight="1">
      <c r="A326" t="inlineStr">
        <is>
          <t>A 37147-2024</t>
        </is>
      </c>
      <c r="B326" t="inlineStr">
        <is>
          <t>avverkningsanmälan</t>
        </is>
      </c>
      <c r="C326" t="inlineStr">
        <is>
          <t>Avverkning för att bevara och utveckla /försöksver</t>
        </is>
      </c>
      <c r="D326" s="1" t="n">
        <v>45539</v>
      </c>
      <c r="E326" s="1" t="n">
        <v>46318</v>
      </c>
      <c r="F326" t="inlineStr">
        <is>
          <t>JÄMTLANDS LÄN</t>
        </is>
      </c>
      <c r="G326" t="inlineStr">
        <is>
          <t>STRÖMSUND</t>
        </is>
      </c>
      <c r="H326" t="inlineStr">
        <is>
          <t>SCA</t>
        </is>
      </c>
      <c r="I326" t="n">
        <v>3.9</v>
      </c>
      <c r="J326" t="n">
        <v>0</v>
      </c>
      <c r="K326" t="n">
        <v>0</v>
      </c>
      <c r="L326" t="n">
        <v>1</v>
      </c>
      <c r="M326" t="n">
        <v>0</v>
      </c>
      <c r="N326" t="n">
        <v>0</v>
      </c>
      <c r="O326" t="n">
        <v>0</v>
      </c>
      <c r="P326" t="n">
        <v>0</v>
      </c>
      <c r="Q326" t="n">
        <v>1</v>
      </c>
      <c r="R326" t="n">
        <v>0</v>
      </c>
      <c r="S326" t="n">
        <v>1</v>
      </c>
      <c r="T326" t="n">
        <v>1</v>
      </c>
      <c r="U326" t="n">
        <v>0</v>
      </c>
      <c r="V326" s="2" t="inlineStr">
        <is>
          <t>Vitgrynig nållav</t>
        </is>
      </c>
      <c r="W326">
        <f>HYPERLINK("https://klasma.github.io/Logging_2313/artfynd/A 37147-2024 artfynd.xlsx", "A 37147-2024")</f>
        <v/>
      </c>
      <c r="X326">
        <f>HYPERLINK("https://klasma.github.io/Logging_2313/kartor/A 37147-2024 karta.png", "A 37147-2024")</f>
        <v/>
      </c>
      <c r="Y326">
        <f>HYPERLINK("https://klasma.github.io/Logging_2313/kartor_geotiff/A 37147-2024 georefererad karta.tif", "A 37147-2024")</f>
        <v/>
      </c>
      <c r="AA326">
        <f>HYPERLINK("https://klasma.github.io/Logging_2313/klagomål/A 37147-2024 FSC-klagomål.docx", "A 37147-2024")</f>
        <v/>
      </c>
      <c r="AB326">
        <f>HYPERLINK("https://klasma.github.io/Logging_2313/klagomålsmail/A 37147-2024 FSC-klagomål mail.docx", "A 37147-2024")</f>
        <v/>
      </c>
      <c r="AC326">
        <f>HYPERLINK("https://klasma.github.io/Logging_2313/tillsyn/A 37147-2024 tillsynsbegäran.docx", "A 37147-2024")</f>
        <v/>
      </c>
      <c r="AD326">
        <f>HYPERLINK("https://klasma.github.io/Logging_2313/tillsynsmail/A 37147-2024 tillsynsbegäran mail.docx", "A 37147-2024")</f>
        <v/>
      </c>
    </row>
    <row r="327" ht="15" customHeight="1">
      <c r="A327" t="inlineStr">
        <is>
          <t>A 37208-2024</t>
        </is>
      </c>
      <c r="B327" t="inlineStr">
        <is>
          <t>avverkningsanmälan</t>
        </is>
      </c>
      <c r="C327" t="inlineStr">
        <is>
          <t>Föryngringsavverkning</t>
        </is>
      </c>
      <c r="D327" s="1" t="n">
        <v>45539</v>
      </c>
      <c r="E327" s="1" t="n">
        <v>46318</v>
      </c>
      <c r="F327" t="inlineStr">
        <is>
          <t>JÄMTLANDS LÄN</t>
        </is>
      </c>
      <c r="G327" t="inlineStr">
        <is>
          <t>STRÖMSUND</t>
        </is>
      </c>
      <c r="H327" t="inlineStr">
        <is>
          <t>SCA</t>
        </is>
      </c>
      <c r="I327" t="n">
        <v>3.7</v>
      </c>
      <c r="J327" t="n">
        <v>1</v>
      </c>
      <c r="K327" t="n">
        <v>0</v>
      </c>
      <c r="L327" t="n">
        <v>0</v>
      </c>
      <c r="M327" t="n">
        <v>0</v>
      </c>
      <c r="N327" t="n">
        <v>0</v>
      </c>
      <c r="O327" t="n">
        <v>0</v>
      </c>
      <c r="P327" t="n">
        <v>0</v>
      </c>
      <c r="Q327" t="n">
        <v>0</v>
      </c>
      <c r="R327" t="n">
        <v>0</v>
      </c>
      <c r="S327" t="n">
        <v>1</v>
      </c>
      <c r="T327" t="n">
        <v>1</v>
      </c>
      <c r="U327" t="n">
        <v>1</v>
      </c>
      <c r="V327" s="2" t="inlineStr">
        <is>
          <t>Fläcknycklar</t>
        </is>
      </c>
      <c r="W327">
        <f>HYPERLINK("https://klasma.github.io/Logging_2313/artfynd/A 37208-2024 artfynd.xlsx", "A 37208-2024")</f>
        <v/>
      </c>
      <c r="X327">
        <f>HYPERLINK("https://klasma.github.io/Logging_2313/kartor/A 37208-2024 karta.png", "A 37208-2024")</f>
        <v/>
      </c>
      <c r="Y327">
        <f>HYPERLINK("https://klasma.github.io/Logging_2313/kartor_geotiff/A 37208-2024 georefererad karta.tif", "A 37208-2024")</f>
        <v/>
      </c>
      <c r="AA327">
        <f>HYPERLINK("https://klasma.github.io/Logging_2313/klagomål/A 37208-2024 FSC-klagomål.docx", "A 37208-2024")</f>
        <v/>
      </c>
      <c r="AB327">
        <f>HYPERLINK("https://klasma.github.io/Logging_2313/klagomålsmail/A 37208-2024 FSC-klagomål mail.docx", "A 37208-2024")</f>
        <v/>
      </c>
      <c r="AC327">
        <f>HYPERLINK("https://klasma.github.io/Logging_2313/tillsyn/A 37208-2024 tillsynsbegäran.docx", "A 37208-2024")</f>
        <v/>
      </c>
      <c r="AD327">
        <f>HYPERLINK("https://klasma.github.io/Logging_2313/tillsynsmail/A 37208-2024 tillsynsbegäran mail.docx", "A 37208-2024")</f>
        <v/>
      </c>
    </row>
    <row r="328" ht="15" customHeight="1">
      <c r="A328" t="inlineStr">
        <is>
          <t>A 42662-2025</t>
        </is>
      </c>
      <c r="B328" t="inlineStr">
        <is>
          <t>avverkningsanmälan</t>
        </is>
      </c>
      <c r="C328" t="inlineStr">
        <is>
          <t>Föryngringsavverkning</t>
        </is>
      </c>
      <c r="D328" s="1" t="n">
        <v>45907</v>
      </c>
      <c r="E328" s="1" t="n">
        <v>46318</v>
      </c>
      <c r="F328" t="inlineStr">
        <is>
          <t>JÄMTLANDS LÄN</t>
        </is>
      </c>
      <c r="G328" t="inlineStr">
        <is>
          <t>STRÖMSUND</t>
        </is>
      </c>
      <c r="H328" t="inlineStr">
        <is>
          <t>SCA</t>
        </is>
      </c>
      <c r="I328" t="n">
        <v>3.6</v>
      </c>
      <c r="J328" t="n">
        <v>1</v>
      </c>
      <c r="K328" t="n">
        <v>0</v>
      </c>
      <c r="L328" t="n">
        <v>1</v>
      </c>
      <c r="M328" t="n">
        <v>0</v>
      </c>
      <c r="N328" t="n">
        <v>0</v>
      </c>
      <c r="O328" t="n">
        <v>0</v>
      </c>
      <c r="P328" t="n">
        <v>0</v>
      </c>
      <c r="Q328" t="n">
        <v>1</v>
      </c>
      <c r="R328" t="n">
        <v>0</v>
      </c>
      <c r="S328" t="n">
        <v>1</v>
      </c>
      <c r="T328" t="n">
        <v>1</v>
      </c>
      <c r="U328" t="n">
        <v>0</v>
      </c>
      <c r="V328" s="2" t="inlineStr">
        <is>
          <t>Talltita</t>
        </is>
      </c>
      <c r="W328">
        <f>HYPERLINK("https://klasma.github.io/Logging_2313/artfynd/A 42662-2025 artfynd.xlsx", "A 42662-2025")</f>
        <v/>
      </c>
      <c r="X328">
        <f>HYPERLINK("https://klasma.github.io/Logging_2313/kartor/A 42662-2025 karta.png", "A 42662-2025")</f>
        <v/>
      </c>
      <c r="Y328">
        <f>HYPERLINK("https://klasma.github.io/Logging_2313/kartor_geotiff/A 42662-2025 georefererad karta.tif", "A 42662-2025")</f>
        <v/>
      </c>
      <c r="AA328">
        <f>HYPERLINK("https://klasma.github.io/Logging_2313/klagomål/A 42662-2025 FSC-klagomål.docx", "A 42662-2025")</f>
        <v/>
      </c>
      <c r="AB328">
        <f>HYPERLINK("https://klasma.github.io/Logging_2313/klagomålsmail/A 42662-2025 FSC-klagomål mail.docx", "A 42662-2025")</f>
        <v/>
      </c>
      <c r="AC328">
        <f>HYPERLINK("https://klasma.github.io/Logging_2313/tillsyn/A 42662-2025 tillsynsbegäran.docx", "A 42662-2025")</f>
        <v/>
      </c>
      <c r="AD328">
        <f>HYPERLINK("https://klasma.github.io/Logging_2313/tillsynsmail/A 42662-2025 tillsynsbegäran mail.docx", "A 42662-2025")</f>
        <v/>
      </c>
      <c r="AE328">
        <f>HYPERLINK("https://klasma.github.io/Logging_2313/fåglar/A 42662-2025 prioriterade fågelarter.docx", "A 42662-2025")</f>
        <v/>
      </c>
    </row>
    <row r="329" ht="15" customHeight="1">
      <c r="A329" t="inlineStr">
        <is>
          <t>A 6583-2023</t>
        </is>
      </c>
      <c r="B329" t="inlineStr">
        <is>
          <t>avverkningsanmälan</t>
        </is>
      </c>
      <c r="C329" t="inlineStr">
        <is>
          <t>Föryngringsavverkning</t>
        </is>
      </c>
      <c r="D329" s="1" t="n">
        <v>44963</v>
      </c>
      <c r="E329" s="1" t="n">
        <v>46318</v>
      </c>
      <c r="F329" t="inlineStr">
        <is>
          <t>JÄMTLANDS LÄN</t>
        </is>
      </c>
      <c r="G329" t="inlineStr">
        <is>
          <t>STRÖMSUND</t>
        </is>
      </c>
      <c r="I329" t="n">
        <v>3.3</v>
      </c>
      <c r="J329" t="n">
        <v>1</v>
      </c>
      <c r="K329" t="n">
        <v>0</v>
      </c>
      <c r="L329" t="n">
        <v>0</v>
      </c>
      <c r="M329" t="n">
        <v>0</v>
      </c>
      <c r="N329" t="n">
        <v>0</v>
      </c>
      <c r="O329" t="n">
        <v>0</v>
      </c>
      <c r="P329" t="n">
        <v>0</v>
      </c>
      <c r="Q329" t="n">
        <v>0</v>
      </c>
      <c r="R329" t="n">
        <v>0</v>
      </c>
      <c r="S329" t="n">
        <v>1</v>
      </c>
      <c r="T329" t="n">
        <v>1</v>
      </c>
      <c r="U329" t="n">
        <v>1</v>
      </c>
      <c r="V329" s="2" t="inlineStr">
        <is>
          <t>Orre</t>
        </is>
      </c>
      <c r="W329">
        <f>HYPERLINK("https://klasma.github.io/Logging_2313/artfynd/A 6583-2023 artfynd.xlsx", "A 6583-2023")</f>
        <v/>
      </c>
      <c r="X329">
        <f>HYPERLINK("https://klasma.github.io/Logging_2313/kartor/A 6583-2023 karta.png", "A 6583-2023")</f>
        <v/>
      </c>
      <c r="Y329">
        <f>HYPERLINK("https://klasma.github.io/Logging_2313/kartor_geotiff/A 6583-2023 georefererad karta.tif", "A 6583-2023")</f>
        <v/>
      </c>
      <c r="AA329">
        <f>HYPERLINK("https://klasma.github.io/Logging_2313/klagomål/A 6583-2023 FSC-klagomål.docx", "A 6583-2023")</f>
        <v/>
      </c>
      <c r="AB329">
        <f>HYPERLINK("https://klasma.github.io/Logging_2313/klagomålsmail/A 6583-2023 FSC-klagomål mail.docx", "A 6583-2023")</f>
        <v/>
      </c>
      <c r="AC329">
        <f>HYPERLINK("https://klasma.github.io/Logging_2313/tillsyn/A 6583-2023 tillsynsbegäran.docx", "A 6583-2023")</f>
        <v/>
      </c>
      <c r="AD329">
        <f>HYPERLINK("https://klasma.github.io/Logging_2313/tillsynsmail/A 6583-2023 tillsynsbegäran mail.docx", "A 6583-2023")</f>
        <v/>
      </c>
      <c r="AE329">
        <f>HYPERLINK("https://klasma.github.io/Logging_2313/fåglar/A 6583-2023 prioriterade fågelarter.docx", "A 6583-2023")</f>
        <v/>
      </c>
    </row>
    <row r="330" ht="15" customHeight="1">
      <c r="A330" t="inlineStr">
        <is>
          <t>A 43242-2025</t>
        </is>
      </c>
      <c r="B330" t="inlineStr">
        <is>
          <t>avverkningsanmälan</t>
        </is>
      </c>
      <c r="C330" t="inlineStr">
        <is>
          <t>Föryngringsavverkning</t>
        </is>
      </c>
      <c r="D330" s="1" t="n">
        <v>45910</v>
      </c>
      <c r="E330" s="1" t="n">
        <v>46318</v>
      </c>
      <c r="F330" t="inlineStr">
        <is>
          <t>JÄMTLANDS LÄN</t>
        </is>
      </c>
      <c r="G330" t="inlineStr">
        <is>
          <t>STRÖMSUND</t>
        </is>
      </c>
      <c r="I330" t="n">
        <v>4.2</v>
      </c>
      <c r="J330" t="n">
        <v>1</v>
      </c>
      <c r="K330" t="n">
        <v>0</v>
      </c>
      <c r="L330" t="n">
        <v>0</v>
      </c>
      <c r="M330" t="n">
        <v>0</v>
      </c>
      <c r="N330" t="n">
        <v>0</v>
      </c>
      <c r="O330" t="n">
        <v>0</v>
      </c>
      <c r="P330" t="n">
        <v>0</v>
      </c>
      <c r="Q330" t="n">
        <v>0</v>
      </c>
      <c r="R330" t="n">
        <v>0</v>
      </c>
      <c r="S330" t="n">
        <v>1</v>
      </c>
      <c r="T330" t="n">
        <v>1</v>
      </c>
      <c r="U330" t="n">
        <v>0</v>
      </c>
      <c r="V330" s="2" t="inlineStr">
        <is>
          <t>Utter</t>
        </is>
      </c>
      <c r="W330">
        <f>HYPERLINK("https://klasma.github.io/Logging_2313/artfynd/A 43242-2025 artfynd.xlsx", "A 43242-2025")</f>
        <v/>
      </c>
      <c r="X330">
        <f>HYPERLINK("https://klasma.github.io/Logging_2313/kartor/A 43242-2025 karta.png", "A 43242-2025")</f>
        <v/>
      </c>
      <c r="Y330">
        <f>HYPERLINK("https://klasma.github.io/Logging_2313/kartor_geotiff/A 43242-2025 georefererad karta.tif", "A 43242-2025")</f>
        <v/>
      </c>
      <c r="AA330">
        <f>HYPERLINK("https://klasma.github.io/Logging_2313/klagomål/A 43242-2025 FSC-klagomål.docx", "A 43242-2025")</f>
        <v/>
      </c>
      <c r="AB330">
        <f>HYPERLINK("https://klasma.github.io/Logging_2313/klagomålsmail/A 43242-2025 FSC-klagomål mail.docx", "A 43242-2025")</f>
        <v/>
      </c>
      <c r="AC330">
        <f>HYPERLINK("https://klasma.github.io/Logging_2313/tillsyn/A 43242-2025 tillsynsbegäran.docx", "A 43242-2025")</f>
        <v/>
      </c>
      <c r="AD330">
        <f>HYPERLINK("https://klasma.github.io/Logging_2313/tillsynsmail/A 43242-2025 tillsynsbegäran mail.docx", "A 43242-2025")</f>
        <v/>
      </c>
    </row>
    <row r="331" ht="15" customHeight="1">
      <c r="A331" t="inlineStr">
        <is>
          <t>A 36891-2025</t>
        </is>
      </c>
      <c r="B331" t="inlineStr">
        <is>
          <t>avverkningsanmälan</t>
        </is>
      </c>
      <c r="C331" t="inlineStr">
        <is>
          <t>Avverkning för att bevara och utveckla /försöksver</t>
        </is>
      </c>
      <c r="D331" s="1" t="n">
        <v>45874</v>
      </c>
      <c r="E331" s="1" t="n">
        <v>46318</v>
      </c>
      <c r="F331" t="inlineStr">
        <is>
          <t>JÄMTLANDS LÄN</t>
        </is>
      </c>
      <c r="G331" t="inlineStr">
        <is>
          <t>STRÖMSUND</t>
        </is>
      </c>
      <c r="H331" t="inlineStr">
        <is>
          <t>SCA</t>
        </is>
      </c>
      <c r="I331" t="n">
        <v>1.6</v>
      </c>
      <c r="J331" t="n">
        <v>1</v>
      </c>
      <c r="K331" t="n">
        <v>0</v>
      </c>
      <c r="L331" t="n">
        <v>0</v>
      </c>
      <c r="M331" t="n">
        <v>1</v>
      </c>
      <c r="N331" t="n">
        <v>0</v>
      </c>
      <c r="O331" t="n">
        <v>0</v>
      </c>
      <c r="P331" t="n">
        <v>0</v>
      </c>
      <c r="Q331" t="n">
        <v>1</v>
      </c>
      <c r="R331" t="n">
        <v>1</v>
      </c>
      <c r="S331" t="n">
        <v>1</v>
      </c>
      <c r="T331" t="n">
        <v>1</v>
      </c>
      <c r="U331" t="n">
        <v>0</v>
      </c>
      <c r="V331" s="2" t="inlineStr">
        <is>
          <t>Knärot</t>
        </is>
      </c>
      <c r="W331">
        <f>HYPERLINK("https://klasma.github.io/Logging_2313/artfynd/A 36891-2025 artfynd.xlsx", "A 36891-2025")</f>
        <v/>
      </c>
      <c r="X331">
        <f>HYPERLINK("https://klasma.github.io/Logging_2313/kartor/A 36891-2025 karta.png", "A 36891-2025")</f>
        <v/>
      </c>
      <c r="Y331">
        <f>HYPERLINK("https://klasma.github.io/Logging_2313/kartor_geotiff/A 36891-2025 georefererad karta.tif", "A 36891-2025")</f>
        <v/>
      </c>
      <c r="Z331">
        <f>HYPERLINK("https://klasma.github.io/Logging_2313/knärot/A 36891-2025 karta knärot.png", "A 36891-2025")</f>
        <v/>
      </c>
      <c r="AA331">
        <f>HYPERLINK("https://klasma.github.io/Logging_2313/klagomål/A 36891-2025 FSC-klagomål.docx", "A 36891-2025")</f>
        <v/>
      </c>
      <c r="AB331">
        <f>HYPERLINK("https://klasma.github.io/Logging_2313/klagomålsmail/A 36891-2025 FSC-klagomål mail.docx", "A 36891-2025")</f>
        <v/>
      </c>
      <c r="AC331">
        <f>HYPERLINK("https://klasma.github.io/Logging_2313/tillsyn/A 36891-2025 tillsynsbegäran.docx", "A 36891-2025")</f>
        <v/>
      </c>
      <c r="AD331">
        <f>HYPERLINK("https://klasma.github.io/Logging_2313/tillsynsmail/A 36891-2025 tillsynsbegäran mail.docx", "A 36891-2025")</f>
        <v/>
      </c>
    </row>
    <row r="332" ht="15" customHeight="1">
      <c r="A332" t="inlineStr">
        <is>
          <t>A 36890-2025</t>
        </is>
      </c>
      <c r="B332" t="inlineStr">
        <is>
          <t>avverkningsanmälan</t>
        </is>
      </c>
      <c r="C332" t="inlineStr">
        <is>
          <t>Avverkning för att bevara och utveckla /försöksver</t>
        </is>
      </c>
      <c r="D332" s="1" t="n">
        <v>45874</v>
      </c>
      <c r="E332" s="1" t="n">
        <v>46318</v>
      </c>
      <c r="F332" t="inlineStr">
        <is>
          <t>JÄMTLANDS LÄN</t>
        </is>
      </c>
      <c r="G332" t="inlineStr">
        <is>
          <t>STRÖMSUND</t>
        </is>
      </c>
      <c r="H332" t="inlineStr">
        <is>
          <t>SCA</t>
        </is>
      </c>
      <c r="I332" t="n">
        <v>2.7</v>
      </c>
      <c r="J332" t="n">
        <v>0</v>
      </c>
      <c r="K332" t="n">
        <v>0</v>
      </c>
      <c r="L332" t="n">
        <v>1</v>
      </c>
      <c r="M332" t="n">
        <v>0</v>
      </c>
      <c r="N332" t="n">
        <v>0</v>
      </c>
      <c r="O332" t="n">
        <v>0</v>
      </c>
      <c r="P332" t="n">
        <v>0</v>
      </c>
      <c r="Q332" t="n">
        <v>1</v>
      </c>
      <c r="R332" t="n">
        <v>0</v>
      </c>
      <c r="S332" t="n">
        <v>1</v>
      </c>
      <c r="T332" t="n">
        <v>1</v>
      </c>
      <c r="U332" t="n">
        <v>0</v>
      </c>
      <c r="V332" s="2" t="inlineStr">
        <is>
          <t>Lunglav</t>
        </is>
      </c>
      <c r="W332">
        <f>HYPERLINK("https://klasma.github.io/Logging_2313/artfynd/A 36890-2025 artfynd.xlsx", "A 36890-2025")</f>
        <v/>
      </c>
      <c r="X332">
        <f>HYPERLINK("https://klasma.github.io/Logging_2313/kartor/A 36890-2025 karta.png", "A 36890-2025")</f>
        <v/>
      </c>
      <c r="Y332">
        <f>HYPERLINK("https://klasma.github.io/Logging_2313/kartor_geotiff/A 36890-2025 georefererad karta.tif", "A 36890-2025")</f>
        <v/>
      </c>
      <c r="AA332">
        <f>HYPERLINK("https://klasma.github.io/Logging_2313/klagomål/A 36890-2025 FSC-klagomål.docx", "A 36890-2025")</f>
        <v/>
      </c>
      <c r="AB332">
        <f>HYPERLINK("https://klasma.github.io/Logging_2313/klagomålsmail/A 36890-2025 FSC-klagomål mail.docx", "A 36890-2025")</f>
        <v/>
      </c>
      <c r="AC332">
        <f>HYPERLINK("https://klasma.github.io/Logging_2313/tillsyn/A 36890-2025 tillsynsbegäran.docx", "A 36890-2025")</f>
        <v/>
      </c>
      <c r="AD332">
        <f>HYPERLINK("https://klasma.github.io/Logging_2313/tillsynsmail/A 36890-2025 tillsynsbegäran mail.docx", "A 36890-2025")</f>
        <v/>
      </c>
    </row>
    <row r="333" ht="15" customHeight="1">
      <c r="A333" t="inlineStr">
        <is>
          <t>A 36874-2025</t>
        </is>
      </c>
      <c r="B333" t="inlineStr">
        <is>
          <t>avverkningsanmälan</t>
        </is>
      </c>
      <c r="C333" t="inlineStr">
        <is>
          <t>Avverkning för att bevara och utveckla /försöksver</t>
        </is>
      </c>
      <c r="D333" s="1" t="n">
        <v>45874</v>
      </c>
      <c r="E333" s="1" t="n">
        <v>46318</v>
      </c>
      <c r="F333" t="inlineStr">
        <is>
          <t>JÄMTLANDS LÄN</t>
        </is>
      </c>
      <c r="G333" t="inlineStr">
        <is>
          <t>STRÖMSUND</t>
        </is>
      </c>
      <c r="H333" t="inlineStr">
        <is>
          <t>SCA</t>
        </is>
      </c>
      <c r="I333" t="n">
        <v>6.2</v>
      </c>
      <c r="J333" t="n">
        <v>1</v>
      </c>
      <c r="K333" t="n">
        <v>0</v>
      </c>
      <c r="L333" t="n">
        <v>1</v>
      </c>
      <c r="M333" t="n">
        <v>0</v>
      </c>
      <c r="N333" t="n">
        <v>0</v>
      </c>
      <c r="O333" t="n">
        <v>0</v>
      </c>
      <c r="P333" t="n">
        <v>0</v>
      </c>
      <c r="Q333" t="n">
        <v>1</v>
      </c>
      <c r="R333" t="n">
        <v>0</v>
      </c>
      <c r="S333" t="n">
        <v>1</v>
      </c>
      <c r="T333" t="n">
        <v>1</v>
      </c>
      <c r="U333" t="n">
        <v>0</v>
      </c>
      <c r="V333" s="2" t="inlineStr">
        <is>
          <t>Tretåig hackspett</t>
        </is>
      </c>
      <c r="W333">
        <f>HYPERLINK("https://klasma.github.io/Logging_2313/artfynd/A 36874-2025 artfynd.xlsx", "A 36874-2025")</f>
        <v/>
      </c>
      <c r="X333">
        <f>HYPERLINK("https://klasma.github.io/Logging_2313/kartor/A 36874-2025 karta.png", "A 36874-2025")</f>
        <v/>
      </c>
      <c r="Y333">
        <f>HYPERLINK("https://klasma.github.io/Logging_2313/kartor_geotiff/A 36874-2025 georefererad karta.tif", "A 36874-2025")</f>
        <v/>
      </c>
      <c r="AA333">
        <f>HYPERLINK("https://klasma.github.io/Logging_2313/klagomål/A 36874-2025 FSC-klagomål.docx", "A 36874-2025")</f>
        <v/>
      </c>
      <c r="AB333">
        <f>HYPERLINK("https://klasma.github.io/Logging_2313/klagomålsmail/A 36874-2025 FSC-klagomål mail.docx", "A 36874-2025")</f>
        <v/>
      </c>
      <c r="AC333">
        <f>HYPERLINK("https://klasma.github.io/Logging_2313/tillsyn/A 36874-2025 tillsynsbegäran.docx", "A 36874-2025")</f>
        <v/>
      </c>
      <c r="AD333">
        <f>HYPERLINK("https://klasma.github.io/Logging_2313/tillsynsmail/A 36874-2025 tillsynsbegäran mail.docx", "A 36874-2025")</f>
        <v/>
      </c>
      <c r="AE333">
        <f>HYPERLINK("https://klasma.github.io/Logging_2313/fåglar/A 36874-2025 prioriterade fågelarter.docx", "A 36874-2025")</f>
        <v/>
      </c>
    </row>
    <row r="334" ht="15" customHeight="1">
      <c r="A334" t="inlineStr">
        <is>
          <t>A 45289-2025</t>
        </is>
      </c>
      <c r="B334" t="inlineStr">
        <is>
          <t>avverkningsanmälan</t>
        </is>
      </c>
      <c r="C334" t="inlineStr">
        <is>
          <t>Föryngringsavverkning</t>
        </is>
      </c>
      <c r="D334" s="1" t="n">
        <v>45920</v>
      </c>
      <c r="E334" s="1" t="n">
        <v>46318</v>
      </c>
      <c r="F334" t="inlineStr">
        <is>
          <t>JÄMTLANDS LÄN</t>
        </is>
      </c>
      <c r="G334" t="inlineStr">
        <is>
          <t>STRÖMSUND</t>
        </is>
      </c>
      <c r="H334" t="inlineStr">
        <is>
          <t>SCA</t>
        </is>
      </c>
      <c r="I334" t="n">
        <v>4.1</v>
      </c>
      <c r="J334" t="n">
        <v>0</v>
      </c>
      <c r="K334" t="n">
        <v>0</v>
      </c>
      <c r="L334" t="n">
        <v>1</v>
      </c>
      <c r="M334" t="n">
        <v>0</v>
      </c>
      <c r="N334" t="n">
        <v>0</v>
      </c>
      <c r="O334" t="n">
        <v>0</v>
      </c>
      <c r="P334" t="n">
        <v>0</v>
      </c>
      <c r="Q334" t="n">
        <v>1</v>
      </c>
      <c r="R334" t="n">
        <v>0</v>
      </c>
      <c r="S334" t="n">
        <v>1</v>
      </c>
      <c r="T334" t="n">
        <v>1</v>
      </c>
      <c r="U334" t="n">
        <v>0</v>
      </c>
      <c r="V334" s="2" t="inlineStr">
        <is>
          <t>Mörk kolflarnlav</t>
        </is>
      </c>
      <c r="W334">
        <f>HYPERLINK("https://klasma.github.io/Logging_2313/artfynd/A 45289-2025 artfynd.xlsx", "A 45289-2025")</f>
        <v/>
      </c>
      <c r="X334">
        <f>HYPERLINK("https://klasma.github.io/Logging_2313/kartor/A 45289-2025 karta.png", "A 45289-2025")</f>
        <v/>
      </c>
      <c r="Y334">
        <f>HYPERLINK("https://klasma.github.io/Logging_2313/kartor_geotiff/A 45289-2025 georefererad karta.tif", "A 45289-2025")</f>
        <v/>
      </c>
      <c r="AA334">
        <f>HYPERLINK("https://klasma.github.io/Logging_2313/klagomål/A 45289-2025 FSC-klagomål.docx", "A 45289-2025")</f>
        <v/>
      </c>
      <c r="AB334">
        <f>HYPERLINK("https://klasma.github.io/Logging_2313/klagomålsmail/A 45289-2025 FSC-klagomål mail.docx", "A 45289-2025")</f>
        <v/>
      </c>
      <c r="AC334">
        <f>HYPERLINK("https://klasma.github.io/Logging_2313/tillsyn/A 45289-2025 tillsynsbegäran.docx", "A 45289-2025")</f>
        <v/>
      </c>
      <c r="AD334">
        <f>HYPERLINK("https://klasma.github.io/Logging_2313/tillsynsmail/A 45289-2025 tillsynsbegäran mail.docx", "A 45289-2025")</f>
        <v/>
      </c>
    </row>
    <row r="335" ht="15" customHeight="1">
      <c r="A335" t="inlineStr">
        <is>
          <t>A 38050-2025</t>
        </is>
      </c>
      <c r="B335" t="inlineStr">
        <is>
          <t>avverkningsanmälan</t>
        </is>
      </c>
      <c r="C335" t="inlineStr">
        <is>
          <t>Föryngringsavverkning</t>
        </is>
      </c>
      <c r="D335" s="1" t="n">
        <v>45882</v>
      </c>
      <c r="E335" s="1" t="n">
        <v>46318</v>
      </c>
      <c r="F335" t="inlineStr">
        <is>
          <t>JÄMTLANDS LÄN</t>
        </is>
      </c>
      <c r="G335" t="inlineStr">
        <is>
          <t>STRÖMSUND</t>
        </is>
      </c>
      <c r="I335" t="n">
        <v>3</v>
      </c>
      <c r="J335" t="n">
        <v>1</v>
      </c>
      <c r="K335" t="n">
        <v>0</v>
      </c>
      <c r="L335" t="n">
        <v>0</v>
      </c>
      <c r="M335" t="n">
        <v>0</v>
      </c>
      <c r="N335" t="n">
        <v>0</v>
      </c>
      <c r="O335" t="n">
        <v>0</v>
      </c>
      <c r="P335" t="n">
        <v>0</v>
      </c>
      <c r="Q335" t="n">
        <v>0</v>
      </c>
      <c r="R335" t="n">
        <v>0</v>
      </c>
      <c r="S335" t="n">
        <v>1</v>
      </c>
      <c r="T335" t="n">
        <v>1</v>
      </c>
      <c r="U335" t="n">
        <v>0</v>
      </c>
      <c r="V335" s="2" t="inlineStr">
        <is>
          <t>Fläcknycklar</t>
        </is>
      </c>
      <c r="W335">
        <f>HYPERLINK("https://klasma.github.io/Logging_2313/artfynd/A 38050-2025 artfynd.xlsx", "A 38050-2025")</f>
        <v/>
      </c>
      <c r="X335">
        <f>HYPERLINK("https://klasma.github.io/Logging_2313/kartor/A 38050-2025 karta.png", "A 38050-2025")</f>
        <v/>
      </c>
      <c r="Y335">
        <f>HYPERLINK("https://klasma.github.io/Logging_2313/kartor_geotiff/A 38050-2025 georefererad karta.tif", "A 38050-2025")</f>
        <v/>
      </c>
      <c r="AA335">
        <f>HYPERLINK("https://klasma.github.io/Logging_2313/klagomål/A 38050-2025 FSC-klagomål.docx", "A 38050-2025")</f>
        <v/>
      </c>
      <c r="AB335">
        <f>HYPERLINK("https://klasma.github.io/Logging_2313/klagomålsmail/A 38050-2025 FSC-klagomål mail.docx", "A 38050-2025")</f>
        <v/>
      </c>
      <c r="AC335">
        <f>HYPERLINK("https://klasma.github.io/Logging_2313/tillsyn/A 38050-2025 tillsynsbegäran.docx", "A 38050-2025")</f>
        <v/>
      </c>
      <c r="AD335">
        <f>HYPERLINK("https://klasma.github.io/Logging_2313/tillsynsmail/A 38050-2025 tillsynsbegäran mail.docx", "A 38050-2025")</f>
        <v/>
      </c>
    </row>
    <row r="336" ht="15" customHeight="1">
      <c r="A336" t="inlineStr">
        <is>
          <t>A 38022-2025</t>
        </is>
      </c>
      <c r="B336" t="inlineStr">
        <is>
          <t>avverkningsanmälan</t>
        </is>
      </c>
      <c r="C336" t="inlineStr">
        <is>
          <t>Avverkning för att bevara och utveckla /försöksver</t>
        </is>
      </c>
      <c r="D336" s="1" t="n">
        <v>45882</v>
      </c>
      <c r="E336" s="1" t="n">
        <v>46318</v>
      </c>
      <c r="F336" t="inlineStr">
        <is>
          <t>JÄMTLANDS LÄN</t>
        </is>
      </c>
      <c r="G336" t="inlineStr">
        <is>
          <t>STRÖMSUND</t>
        </is>
      </c>
      <c r="H336" t="inlineStr">
        <is>
          <t>SCA</t>
        </is>
      </c>
      <c r="I336" t="n">
        <v>0.7</v>
      </c>
      <c r="J336" t="n">
        <v>0</v>
      </c>
      <c r="K336" t="n">
        <v>0</v>
      </c>
      <c r="L336" t="n">
        <v>1</v>
      </c>
      <c r="M336" t="n">
        <v>0</v>
      </c>
      <c r="N336" t="n">
        <v>0</v>
      </c>
      <c r="O336" t="n">
        <v>0</v>
      </c>
      <c r="P336" t="n">
        <v>0</v>
      </c>
      <c r="Q336" t="n">
        <v>1</v>
      </c>
      <c r="R336" t="n">
        <v>0</v>
      </c>
      <c r="S336" t="n">
        <v>1</v>
      </c>
      <c r="T336" t="n">
        <v>1</v>
      </c>
      <c r="U336" t="n">
        <v>0</v>
      </c>
      <c r="V336" s="2" t="inlineStr">
        <is>
          <t>Ullticka</t>
        </is>
      </c>
      <c r="W336">
        <f>HYPERLINK("https://klasma.github.io/Logging_2313/artfynd/A 38022-2025 artfynd.xlsx", "A 38022-2025")</f>
        <v/>
      </c>
      <c r="X336">
        <f>HYPERLINK("https://klasma.github.io/Logging_2313/kartor/A 38022-2025 karta.png", "A 38022-2025")</f>
        <v/>
      </c>
      <c r="Y336">
        <f>HYPERLINK("https://klasma.github.io/Logging_2313/kartor_geotiff/A 38022-2025 georefererad karta.tif", "A 38022-2025")</f>
        <v/>
      </c>
      <c r="AA336">
        <f>HYPERLINK("https://klasma.github.io/Logging_2313/klagomål/A 38022-2025 FSC-klagomål.docx", "A 38022-2025")</f>
        <v/>
      </c>
      <c r="AB336">
        <f>HYPERLINK("https://klasma.github.io/Logging_2313/klagomålsmail/A 38022-2025 FSC-klagomål mail.docx", "A 38022-2025")</f>
        <v/>
      </c>
      <c r="AC336">
        <f>HYPERLINK("https://klasma.github.io/Logging_2313/tillsyn/A 38022-2025 tillsynsbegäran.docx", "A 38022-2025")</f>
        <v/>
      </c>
      <c r="AD336">
        <f>HYPERLINK("https://klasma.github.io/Logging_2313/tillsynsmail/A 38022-2025 tillsynsbegäran mail.docx", "A 38022-2025")</f>
        <v/>
      </c>
    </row>
    <row r="337" ht="15" customHeight="1">
      <c r="A337" t="inlineStr">
        <is>
          <t>A 57083-2023</t>
        </is>
      </c>
      <c r="B337" t="inlineStr">
        <is>
          <t>avverkningsanmälan</t>
        </is>
      </c>
      <c r="C337" t="inlineStr">
        <is>
          <t>Föryngringsavverkning</t>
        </is>
      </c>
      <c r="D337" s="1" t="n">
        <v>45244</v>
      </c>
      <c r="E337" s="1" t="n">
        <v>46318</v>
      </c>
      <c r="F337" t="inlineStr">
        <is>
          <t>JÄMTLANDS LÄN</t>
        </is>
      </c>
      <c r="G337" t="inlineStr">
        <is>
          <t>STRÖMSUND</t>
        </is>
      </c>
      <c r="H337" t="inlineStr">
        <is>
          <t>SCA</t>
        </is>
      </c>
      <c r="I337" t="n">
        <v>31.1</v>
      </c>
      <c r="J337" t="n">
        <v>1</v>
      </c>
      <c r="K337" t="n">
        <v>1</v>
      </c>
      <c r="L337" t="n">
        <v>0</v>
      </c>
      <c r="M337" t="n">
        <v>0</v>
      </c>
      <c r="N337" t="n">
        <v>0</v>
      </c>
      <c r="O337" t="n">
        <v>0</v>
      </c>
      <c r="P337" t="n">
        <v>0</v>
      </c>
      <c r="Q337" t="n">
        <v>0</v>
      </c>
      <c r="R337" t="n">
        <v>0</v>
      </c>
      <c r="S337" t="n">
        <v>1</v>
      </c>
      <c r="T337" t="n">
        <v>1</v>
      </c>
      <c r="U337" t="n">
        <v>0</v>
      </c>
      <c r="V337" s="2" t="inlineStr">
        <is>
          <t>Guckusko</t>
        </is>
      </c>
      <c r="W337">
        <f>HYPERLINK("https://klasma.github.io/Logging_2313/artfynd/A 57083-2023 artfynd.xlsx", "A 57083-2023")</f>
        <v/>
      </c>
      <c r="X337">
        <f>HYPERLINK("https://klasma.github.io/Logging_2313/kartor/A 57083-2023 karta.png", "A 57083-2023")</f>
        <v/>
      </c>
      <c r="Y337">
        <f>HYPERLINK("https://klasma.github.io/Logging_2313/kartor_geotiff/A 57083-2023 georefererad karta.tif", "A 57083-2023")</f>
        <v/>
      </c>
      <c r="AA337">
        <f>HYPERLINK("https://klasma.github.io/Logging_2313/klagomål/A 57083-2023 FSC-klagomål.docx", "A 57083-2023")</f>
        <v/>
      </c>
      <c r="AB337">
        <f>HYPERLINK("https://klasma.github.io/Logging_2313/klagomålsmail/A 57083-2023 FSC-klagomål mail.docx", "A 57083-2023")</f>
        <v/>
      </c>
      <c r="AC337">
        <f>HYPERLINK("https://klasma.github.io/Logging_2313/tillsyn/A 57083-2023 tillsynsbegäran.docx", "A 57083-2023")</f>
        <v/>
      </c>
      <c r="AD337">
        <f>HYPERLINK("https://klasma.github.io/Logging_2313/tillsynsmail/A 57083-2023 tillsynsbegäran mail.docx", "A 57083-2023")</f>
        <v/>
      </c>
    </row>
    <row r="338" ht="15" customHeight="1">
      <c r="A338" t="inlineStr">
        <is>
          <t>A 47241-2024</t>
        </is>
      </c>
      <c r="B338" t="inlineStr">
        <is>
          <t>avverkningsanmälan</t>
        </is>
      </c>
      <c r="C338" t="inlineStr">
        <is>
          <t>Föryngringsavverkning</t>
        </is>
      </c>
      <c r="D338" s="1" t="n">
        <v>45586</v>
      </c>
      <c r="E338" s="1" t="n">
        <v>46318</v>
      </c>
      <c r="F338" t="inlineStr">
        <is>
          <t>JÄMTLANDS LÄN</t>
        </is>
      </c>
      <c r="G338" t="inlineStr">
        <is>
          <t>STRÖMSUND</t>
        </is>
      </c>
      <c r="H338" t="inlineStr">
        <is>
          <t>SCA</t>
        </is>
      </c>
      <c r="I338" t="n">
        <v>1.1</v>
      </c>
      <c r="J338" t="n">
        <v>1</v>
      </c>
      <c r="K338" t="n">
        <v>0</v>
      </c>
      <c r="L338" t="n">
        <v>1</v>
      </c>
      <c r="M338" t="n">
        <v>0</v>
      </c>
      <c r="N338" t="n">
        <v>0</v>
      </c>
      <c r="O338" t="n">
        <v>0</v>
      </c>
      <c r="P338" t="n">
        <v>0</v>
      </c>
      <c r="Q338" t="n">
        <v>1</v>
      </c>
      <c r="R338" t="n">
        <v>0</v>
      </c>
      <c r="S338" t="n">
        <v>1</v>
      </c>
      <c r="T338" t="n">
        <v>1</v>
      </c>
      <c r="U338" t="n">
        <v>1</v>
      </c>
      <c r="V338" s="2" t="inlineStr">
        <is>
          <t>Lavskrika</t>
        </is>
      </c>
      <c r="W338">
        <f>HYPERLINK("https://klasma.github.io/Logging_2313/artfynd/A 47241-2024 artfynd.xlsx", "A 47241-2024")</f>
        <v/>
      </c>
      <c r="X338">
        <f>HYPERLINK("https://klasma.github.io/Logging_2313/kartor/A 47241-2024 karta.png", "A 47241-2024")</f>
        <v/>
      </c>
      <c r="Y338">
        <f>HYPERLINK("https://klasma.github.io/Logging_2313/kartor_geotiff/A 47241-2024 georefererad karta.tif", "A 47241-2024")</f>
        <v/>
      </c>
      <c r="AA338">
        <f>HYPERLINK("https://klasma.github.io/Logging_2313/klagomål/A 47241-2024 FSC-klagomål.docx", "A 47241-2024")</f>
        <v/>
      </c>
      <c r="AB338">
        <f>HYPERLINK("https://klasma.github.io/Logging_2313/klagomålsmail/A 47241-2024 FSC-klagomål mail.docx", "A 47241-2024")</f>
        <v/>
      </c>
      <c r="AC338">
        <f>HYPERLINK("https://klasma.github.io/Logging_2313/tillsyn/A 47241-2024 tillsynsbegäran.docx", "A 47241-2024")</f>
        <v/>
      </c>
      <c r="AD338">
        <f>HYPERLINK("https://klasma.github.io/Logging_2313/tillsynsmail/A 47241-2024 tillsynsbegäran mail.docx", "A 47241-2024")</f>
        <v/>
      </c>
      <c r="AE338">
        <f>HYPERLINK("https://klasma.github.io/Logging_2313/fåglar/A 47241-2024 prioriterade fågelarter.docx", "A 47241-2024")</f>
        <v/>
      </c>
    </row>
    <row r="339" ht="15" customHeight="1">
      <c r="A339" t="inlineStr">
        <is>
          <t>A 46570-2025</t>
        </is>
      </c>
      <c r="B339" t="inlineStr">
        <is>
          <t>avverkningsanmälan</t>
        </is>
      </c>
      <c r="C339" t="inlineStr">
        <is>
          <t>Föryngringsavverkning</t>
        </is>
      </c>
      <c r="D339" s="1" t="n">
        <v>45926</v>
      </c>
      <c r="E339" s="1" t="n">
        <v>46318</v>
      </c>
      <c r="F339" t="inlineStr">
        <is>
          <t>JÄMTLANDS LÄN</t>
        </is>
      </c>
      <c r="G339" t="inlineStr">
        <is>
          <t>STRÖMSUND</t>
        </is>
      </c>
      <c r="I339" t="n">
        <v>4.6</v>
      </c>
      <c r="J339" t="n">
        <v>0</v>
      </c>
      <c r="K339" t="n">
        <v>1</v>
      </c>
      <c r="L339" t="n">
        <v>0</v>
      </c>
      <c r="M339" t="n">
        <v>0</v>
      </c>
      <c r="N339" t="n">
        <v>0</v>
      </c>
      <c r="O339" t="n">
        <v>0</v>
      </c>
      <c r="P339" t="n">
        <v>0</v>
      </c>
      <c r="Q339" t="n">
        <v>0</v>
      </c>
      <c r="R339" t="n">
        <v>0</v>
      </c>
      <c r="S339" t="n">
        <v>1</v>
      </c>
      <c r="T339" t="n">
        <v>1</v>
      </c>
      <c r="U339" t="n">
        <v>0</v>
      </c>
      <c r="V339" s="2" t="inlineStr">
        <is>
          <t>Svavelriska</t>
        </is>
      </c>
      <c r="W339">
        <f>HYPERLINK("https://klasma.github.io/Logging_2313/artfynd/A 46570-2025 artfynd.xlsx", "A 46570-2025")</f>
        <v/>
      </c>
      <c r="X339">
        <f>HYPERLINK("https://klasma.github.io/Logging_2313/kartor/A 46570-2025 karta.png", "A 46570-2025")</f>
        <v/>
      </c>
      <c r="Y339">
        <f>HYPERLINK("https://klasma.github.io/Logging_2313/kartor_geotiff/A 46570-2025 georefererad karta.tif", "A 46570-2025")</f>
        <v/>
      </c>
      <c r="AA339">
        <f>HYPERLINK("https://klasma.github.io/Logging_2313/klagomål/A 46570-2025 FSC-klagomål.docx", "A 46570-2025")</f>
        <v/>
      </c>
      <c r="AB339">
        <f>HYPERLINK("https://klasma.github.io/Logging_2313/klagomålsmail/A 46570-2025 FSC-klagomål mail.docx", "A 46570-2025")</f>
        <v/>
      </c>
      <c r="AC339">
        <f>HYPERLINK("https://klasma.github.io/Logging_2313/tillsyn/A 46570-2025 tillsynsbegäran.docx", "A 46570-2025")</f>
        <v/>
      </c>
      <c r="AD339">
        <f>HYPERLINK("https://klasma.github.io/Logging_2313/tillsynsmail/A 46570-2025 tillsynsbegäran mail.docx", "A 46570-2025")</f>
        <v/>
      </c>
    </row>
    <row r="340" ht="15" customHeight="1">
      <c r="A340" t="inlineStr">
        <is>
          <t>A 48527-2025</t>
        </is>
      </c>
      <c r="B340" t="inlineStr">
        <is>
          <t>avverkningsanmälan</t>
        </is>
      </c>
      <c r="C340" t="inlineStr">
        <is>
          <t>Föryngringsavverkning</t>
        </is>
      </c>
      <c r="D340" s="1" t="n">
        <v>45936</v>
      </c>
      <c r="E340" s="1" t="n">
        <v>46318</v>
      </c>
      <c r="F340" t="inlineStr">
        <is>
          <t>JÄMTLANDS LÄN</t>
        </is>
      </c>
      <c r="G340" t="inlineStr">
        <is>
          <t>STRÖMSUND</t>
        </is>
      </c>
      <c r="H340" t="inlineStr">
        <is>
          <t>SCA</t>
        </is>
      </c>
      <c r="I340" t="n">
        <v>5</v>
      </c>
      <c r="J340" t="n">
        <v>0</v>
      </c>
      <c r="K340" t="n">
        <v>0</v>
      </c>
      <c r="L340" t="n">
        <v>1</v>
      </c>
      <c r="M340" t="n">
        <v>0</v>
      </c>
      <c r="N340" t="n">
        <v>0</v>
      </c>
      <c r="O340" t="n">
        <v>0</v>
      </c>
      <c r="P340" t="n">
        <v>0</v>
      </c>
      <c r="Q340" t="n">
        <v>1</v>
      </c>
      <c r="R340" t="n">
        <v>0</v>
      </c>
      <c r="S340" t="n">
        <v>1</v>
      </c>
      <c r="T340" t="n">
        <v>1</v>
      </c>
      <c r="U340" t="n">
        <v>0</v>
      </c>
      <c r="V340" s="2" t="inlineStr">
        <is>
          <t>Skrovellav</t>
        </is>
      </c>
      <c r="W340">
        <f>HYPERLINK("https://klasma.github.io/Logging_2313/artfynd/A 48527-2025 artfynd.xlsx", "A 48527-2025")</f>
        <v/>
      </c>
      <c r="X340">
        <f>HYPERLINK("https://klasma.github.io/Logging_2313/kartor/A 48527-2025 karta.png", "A 48527-2025")</f>
        <v/>
      </c>
      <c r="Y340">
        <f>HYPERLINK("https://klasma.github.io/Logging_2313/kartor_geotiff/A 48527-2025 georefererad karta.tif", "A 48527-2025")</f>
        <v/>
      </c>
      <c r="AA340">
        <f>HYPERLINK("https://klasma.github.io/Logging_2313/klagomål/A 48527-2025 FSC-klagomål.docx", "A 48527-2025")</f>
        <v/>
      </c>
      <c r="AB340">
        <f>HYPERLINK("https://klasma.github.io/Logging_2313/klagomålsmail/A 48527-2025 FSC-klagomål mail.docx", "A 48527-2025")</f>
        <v/>
      </c>
      <c r="AC340">
        <f>HYPERLINK("https://klasma.github.io/Logging_2313/tillsyn/A 48527-2025 tillsynsbegäran.docx", "A 48527-2025")</f>
        <v/>
      </c>
      <c r="AD340">
        <f>HYPERLINK("https://klasma.github.io/Logging_2313/tillsynsmail/A 48527-2025 tillsynsbegäran mail.docx", "A 48527-2025")</f>
        <v/>
      </c>
    </row>
    <row r="341" ht="15" customHeight="1">
      <c r="A341" t="inlineStr">
        <is>
          <t>A 10429-2025</t>
        </is>
      </c>
      <c r="B341" t="inlineStr">
        <is>
          <t>avverkningsanmälan</t>
        </is>
      </c>
      <c r="C341" t="inlineStr">
        <is>
          <t>Föryngringsavverkning</t>
        </is>
      </c>
      <c r="D341" s="1" t="n">
        <v>45720</v>
      </c>
      <c r="E341" s="1" t="n">
        <v>46318</v>
      </c>
      <c r="F341" t="inlineStr">
        <is>
          <t>JÄMTLANDS LÄN</t>
        </is>
      </c>
      <c r="G341" t="inlineStr">
        <is>
          <t>STRÖMSUND</t>
        </is>
      </c>
      <c r="I341" t="n">
        <v>5</v>
      </c>
      <c r="J341" t="n">
        <v>0</v>
      </c>
      <c r="K341" t="n">
        <v>1</v>
      </c>
      <c r="L341" t="n">
        <v>0</v>
      </c>
      <c r="M341" t="n">
        <v>0</v>
      </c>
      <c r="N341" t="n">
        <v>0</v>
      </c>
      <c r="O341" t="n">
        <v>0</v>
      </c>
      <c r="P341" t="n">
        <v>0</v>
      </c>
      <c r="Q341" t="n">
        <v>0</v>
      </c>
      <c r="R341" t="n">
        <v>0</v>
      </c>
      <c r="S341" t="n">
        <v>1</v>
      </c>
      <c r="T341" t="n">
        <v>1</v>
      </c>
      <c r="U341" t="n">
        <v>0</v>
      </c>
      <c r="V341" s="2" t="inlineStr">
        <is>
          <t>Svavelriska</t>
        </is>
      </c>
      <c r="W341">
        <f>HYPERLINK("https://klasma.github.io/Logging_2313/artfynd/A 10429-2025 artfynd.xlsx", "A 10429-2025")</f>
        <v/>
      </c>
      <c r="X341">
        <f>HYPERLINK("https://klasma.github.io/Logging_2313/kartor/A 10429-2025 karta.png", "A 10429-2025")</f>
        <v/>
      </c>
      <c r="Y341">
        <f>HYPERLINK("https://klasma.github.io/Logging_2313/kartor_geotiff/A 10429-2025 georefererad karta.tif", "A 10429-2025")</f>
        <v/>
      </c>
      <c r="AA341">
        <f>HYPERLINK("https://klasma.github.io/Logging_2313/klagomål/A 10429-2025 FSC-klagomål.docx", "A 10429-2025")</f>
        <v/>
      </c>
      <c r="AB341">
        <f>HYPERLINK("https://klasma.github.io/Logging_2313/klagomålsmail/A 10429-2025 FSC-klagomål mail.docx", "A 10429-2025")</f>
        <v/>
      </c>
      <c r="AC341">
        <f>HYPERLINK("https://klasma.github.io/Logging_2313/tillsyn/A 10429-2025 tillsynsbegäran.docx", "A 10429-2025")</f>
        <v/>
      </c>
      <c r="AD341">
        <f>HYPERLINK("https://klasma.github.io/Logging_2313/tillsynsmail/A 10429-2025 tillsynsbegäran mail.docx", "A 10429-2025")</f>
        <v/>
      </c>
    </row>
    <row r="342" ht="15" customHeight="1">
      <c r="A342" t="inlineStr">
        <is>
          <t>A 54064-2023</t>
        </is>
      </c>
      <c r="B342" t="inlineStr">
        <is>
          <t>avverkningsanmälan</t>
        </is>
      </c>
      <c r="C342" t="inlineStr">
        <is>
          <t>Föryngringsavverkning</t>
        </is>
      </c>
      <c r="D342" s="1" t="n">
        <v>45231</v>
      </c>
      <c r="E342" s="1" t="n">
        <v>46318</v>
      </c>
      <c r="F342" t="inlineStr">
        <is>
          <t>JÄMTLANDS LÄN</t>
        </is>
      </c>
      <c r="G342" t="inlineStr">
        <is>
          <t>STRÖMSUND</t>
        </is>
      </c>
      <c r="H342" t="inlineStr">
        <is>
          <t>SCA</t>
        </is>
      </c>
      <c r="I342" t="n">
        <v>14.1</v>
      </c>
      <c r="J342" t="n">
        <v>0</v>
      </c>
      <c r="K342" t="n">
        <v>0</v>
      </c>
      <c r="L342" t="n">
        <v>1</v>
      </c>
      <c r="M342" t="n">
        <v>0</v>
      </c>
      <c r="N342" t="n">
        <v>0</v>
      </c>
      <c r="O342" t="n">
        <v>0</v>
      </c>
      <c r="P342" t="n">
        <v>0</v>
      </c>
      <c r="Q342" t="n">
        <v>1</v>
      </c>
      <c r="R342" t="n">
        <v>0</v>
      </c>
      <c r="S342" t="n">
        <v>1</v>
      </c>
      <c r="T342" t="n">
        <v>1</v>
      </c>
      <c r="U342" t="n">
        <v>0</v>
      </c>
      <c r="V342" s="2" t="inlineStr">
        <is>
          <t>Skrovellav</t>
        </is>
      </c>
      <c r="W342">
        <f>HYPERLINK("https://klasma.github.io/Logging_2313/artfynd/A 54064-2023 artfynd.xlsx", "A 54064-2023")</f>
        <v/>
      </c>
      <c r="X342">
        <f>HYPERLINK("https://klasma.github.io/Logging_2313/kartor/A 54064-2023 karta.png", "A 54064-2023")</f>
        <v/>
      </c>
      <c r="Y342">
        <f>HYPERLINK("https://klasma.github.io/Logging_2313/kartor_geotiff/A 54064-2023 georefererad karta.tif", "A 54064-2023")</f>
        <v/>
      </c>
      <c r="AA342">
        <f>HYPERLINK("https://klasma.github.io/Logging_2313/klagomål/A 54064-2023 FSC-klagomål.docx", "A 54064-2023")</f>
        <v/>
      </c>
      <c r="AB342">
        <f>HYPERLINK("https://klasma.github.io/Logging_2313/klagomålsmail/A 54064-2023 FSC-klagomål mail.docx", "A 54064-2023")</f>
        <v/>
      </c>
      <c r="AC342">
        <f>HYPERLINK("https://klasma.github.io/Logging_2313/tillsyn/A 54064-2023 tillsynsbegäran.docx", "A 54064-2023")</f>
        <v/>
      </c>
      <c r="AD342">
        <f>HYPERLINK("https://klasma.github.io/Logging_2313/tillsynsmail/A 54064-2023 tillsynsbegäran mail.docx", "A 54064-2023")</f>
        <v/>
      </c>
    </row>
    <row r="343" ht="15" customHeight="1">
      <c r="A343" t="inlineStr">
        <is>
          <t>A 51795-2023</t>
        </is>
      </c>
      <c r="B343" t="inlineStr">
        <is>
          <t>avverkningsanmälan</t>
        </is>
      </c>
      <c r="C343" t="inlineStr">
        <is>
          <t>Avverkning för annat ändamål</t>
        </is>
      </c>
      <c r="D343" s="1" t="n">
        <v>45222</v>
      </c>
      <c r="E343" s="1" t="n">
        <v>46318</v>
      </c>
      <c r="F343" t="inlineStr">
        <is>
          <t>JÄMTLANDS LÄN</t>
        </is>
      </c>
      <c r="G343" t="inlineStr">
        <is>
          <t>STRÖMSUND</t>
        </is>
      </c>
      <c r="I343" t="n">
        <v>0.3</v>
      </c>
      <c r="J343" t="n">
        <v>1</v>
      </c>
      <c r="K343" t="n">
        <v>0</v>
      </c>
      <c r="L343" t="n">
        <v>1</v>
      </c>
      <c r="M343" t="n">
        <v>0</v>
      </c>
      <c r="N343" t="n">
        <v>0</v>
      </c>
      <c r="O343" t="n">
        <v>0</v>
      </c>
      <c r="P343" t="n">
        <v>0</v>
      </c>
      <c r="Q343" t="n">
        <v>1</v>
      </c>
      <c r="R343" t="n">
        <v>0</v>
      </c>
      <c r="S343" t="n">
        <v>1</v>
      </c>
      <c r="T343" t="n">
        <v>1</v>
      </c>
      <c r="U343" t="n">
        <v>1</v>
      </c>
      <c r="V343" s="2" t="inlineStr">
        <is>
          <t>Tretåig hackspett</t>
        </is>
      </c>
      <c r="W343">
        <f>HYPERLINK("https://klasma.github.io/Logging_2313/artfynd/A 51795-2023 artfynd.xlsx", "A 51795-2023")</f>
        <v/>
      </c>
      <c r="X343">
        <f>HYPERLINK("https://klasma.github.io/Logging_2313/kartor/A 51795-2023 karta.png", "A 51795-2023")</f>
        <v/>
      </c>
      <c r="Y343">
        <f>HYPERLINK("https://klasma.github.io/Logging_2313/kartor_geotiff/A 51795-2023 georefererad karta.tif", "A 51795-2023")</f>
        <v/>
      </c>
      <c r="AA343">
        <f>HYPERLINK("https://klasma.github.io/Logging_2313/klagomål/A 51795-2023 FSC-klagomål.docx", "A 51795-2023")</f>
        <v/>
      </c>
      <c r="AB343">
        <f>HYPERLINK("https://klasma.github.io/Logging_2313/klagomålsmail/A 51795-2023 FSC-klagomål mail.docx", "A 51795-2023")</f>
        <v/>
      </c>
      <c r="AC343">
        <f>HYPERLINK("https://klasma.github.io/Logging_2313/tillsyn/A 51795-2023 tillsynsbegäran.docx", "A 51795-2023")</f>
        <v/>
      </c>
      <c r="AD343">
        <f>HYPERLINK("https://klasma.github.io/Logging_2313/tillsynsmail/A 51795-2023 tillsynsbegäran mail.docx", "A 51795-2023")</f>
        <v/>
      </c>
      <c r="AE343">
        <f>HYPERLINK("https://klasma.github.io/Logging_2313/fåglar/A 51795-2023 prioriterade fågelarter.docx", "A 51795-2023")</f>
        <v/>
      </c>
    </row>
    <row r="344" ht="15" customHeight="1">
      <c r="A344" t="inlineStr">
        <is>
          <t>A 15625-2025</t>
        </is>
      </c>
      <c r="B344" t="inlineStr">
        <is>
          <t>avverkningsanmälan</t>
        </is>
      </c>
      <c r="C344" t="inlineStr">
        <is>
          <t>Föryngringsavverkning</t>
        </is>
      </c>
      <c r="D344" s="1" t="n">
        <v>45748</v>
      </c>
      <c r="E344" s="1" t="n">
        <v>46318</v>
      </c>
      <c r="F344" t="inlineStr">
        <is>
          <t>JÄMTLANDS LÄN</t>
        </is>
      </c>
      <c r="G344" t="inlineStr">
        <is>
          <t>STRÖMSUND</t>
        </is>
      </c>
      <c r="H344" t="inlineStr">
        <is>
          <t>SCA</t>
        </is>
      </c>
      <c r="I344" t="n">
        <v>1.5</v>
      </c>
      <c r="J344" t="n">
        <v>0</v>
      </c>
      <c r="K344" t="n">
        <v>0</v>
      </c>
      <c r="L344" t="n">
        <v>0</v>
      </c>
      <c r="M344" t="n">
        <v>1</v>
      </c>
      <c r="N344" t="n">
        <v>0</v>
      </c>
      <c r="O344" t="n">
        <v>0</v>
      </c>
      <c r="P344" t="n">
        <v>0</v>
      </c>
      <c r="Q344" t="n">
        <v>1</v>
      </c>
      <c r="R344" t="n">
        <v>1</v>
      </c>
      <c r="S344" t="n">
        <v>1</v>
      </c>
      <c r="T344" t="n">
        <v>1</v>
      </c>
      <c r="U344" t="n">
        <v>0</v>
      </c>
      <c r="V344" s="2" t="inlineStr">
        <is>
          <t>Fläckporing</t>
        </is>
      </c>
      <c r="W344">
        <f>HYPERLINK("https://klasma.github.io/Logging_2313/artfynd/A 15625-2025 artfynd.xlsx", "A 15625-2025")</f>
        <v/>
      </c>
      <c r="X344">
        <f>HYPERLINK("https://klasma.github.io/Logging_2313/kartor/A 15625-2025 karta.png", "A 15625-2025")</f>
        <v/>
      </c>
      <c r="Y344">
        <f>HYPERLINK("https://klasma.github.io/Logging_2313/kartor_geotiff/A 15625-2025 georefererad karta.tif", "A 15625-2025")</f>
        <v/>
      </c>
      <c r="AA344">
        <f>HYPERLINK("https://klasma.github.io/Logging_2313/klagomål/A 15625-2025 FSC-klagomål.docx", "A 15625-2025")</f>
        <v/>
      </c>
      <c r="AB344">
        <f>HYPERLINK("https://klasma.github.io/Logging_2313/klagomålsmail/A 15625-2025 FSC-klagomål mail.docx", "A 15625-2025")</f>
        <v/>
      </c>
      <c r="AC344">
        <f>HYPERLINK("https://klasma.github.io/Logging_2313/tillsyn/A 15625-2025 tillsynsbegäran.docx", "A 15625-2025")</f>
        <v/>
      </c>
      <c r="AD344">
        <f>HYPERLINK("https://klasma.github.io/Logging_2313/tillsynsmail/A 15625-2025 tillsynsbegäran mail.docx", "A 15625-2025")</f>
        <v/>
      </c>
    </row>
    <row r="345" ht="15" customHeight="1">
      <c r="A345" t="inlineStr">
        <is>
          <t>A 51357-2025</t>
        </is>
      </c>
      <c r="B345" t="inlineStr">
        <is>
          <t>avverkningsanmälan</t>
        </is>
      </c>
      <c r="C345" t="inlineStr">
        <is>
          <t>Föryngringsavverkning</t>
        </is>
      </c>
      <c r="D345" s="1" t="n">
        <v>45947</v>
      </c>
      <c r="E345" s="1" t="n">
        <v>46318</v>
      </c>
      <c r="F345" t="inlineStr">
        <is>
          <t>JÄMTLANDS LÄN</t>
        </is>
      </c>
      <c r="G345" t="inlineStr">
        <is>
          <t>STRÖMSUND</t>
        </is>
      </c>
      <c r="I345" t="n">
        <v>2.1</v>
      </c>
      <c r="J345" t="n">
        <v>0</v>
      </c>
      <c r="K345" t="n">
        <v>1</v>
      </c>
      <c r="L345" t="n">
        <v>0</v>
      </c>
      <c r="M345" t="n">
        <v>0</v>
      </c>
      <c r="N345" t="n">
        <v>0</v>
      </c>
      <c r="O345" t="n">
        <v>0</v>
      </c>
      <c r="P345" t="n">
        <v>0</v>
      </c>
      <c r="Q345" t="n">
        <v>0</v>
      </c>
      <c r="R345" t="n">
        <v>0</v>
      </c>
      <c r="S345" t="n">
        <v>1</v>
      </c>
      <c r="T345" t="n">
        <v>1</v>
      </c>
      <c r="U345" t="n">
        <v>0</v>
      </c>
      <c r="V345" s="2" t="inlineStr">
        <is>
          <t>Stuplav</t>
        </is>
      </c>
      <c r="W345">
        <f>HYPERLINK("https://klasma.github.io/Logging_2313/artfynd/A 51357-2025 artfynd.xlsx", "A 51357-2025")</f>
        <v/>
      </c>
      <c r="X345">
        <f>HYPERLINK("https://klasma.github.io/Logging_2313/kartor/A 51357-2025 karta.png", "A 51357-2025")</f>
        <v/>
      </c>
      <c r="Y345">
        <f>HYPERLINK("https://klasma.github.io/Logging_2313/kartor_geotiff/A 51357-2025 georefererad karta.tif", "A 51357-2025")</f>
        <v/>
      </c>
      <c r="AA345">
        <f>HYPERLINK("https://klasma.github.io/Logging_2313/klagomål/A 51357-2025 FSC-klagomål.docx", "A 51357-2025")</f>
        <v/>
      </c>
      <c r="AB345">
        <f>HYPERLINK("https://klasma.github.io/Logging_2313/klagomålsmail/A 51357-2025 FSC-klagomål mail.docx", "A 51357-2025")</f>
        <v/>
      </c>
      <c r="AC345">
        <f>HYPERLINK("https://klasma.github.io/Logging_2313/tillsyn/A 51357-2025 tillsynsbegäran.docx", "A 51357-2025")</f>
        <v/>
      </c>
      <c r="AD345">
        <f>HYPERLINK("https://klasma.github.io/Logging_2313/tillsynsmail/A 51357-2025 tillsynsbegäran mail.docx", "A 51357-2025")</f>
        <v/>
      </c>
    </row>
    <row r="346" ht="15" customHeight="1">
      <c r="A346" t="inlineStr">
        <is>
          <t>A 40090-2024</t>
        </is>
      </c>
      <c r="B346" t="inlineStr">
        <is>
          <t>avverkningsanmälan</t>
        </is>
      </c>
      <c r="C346" t="inlineStr">
        <is>
          <t>Föryngringsavverkning</t>
        </is>
      </c>
      <c r="D346" s="1" t="n">
        <v>45554</v>
      </c>
      <c r="E346" s="1" t="n">
        <v>46318</v>
      </c>
      <c r="F346" t="inlineStr">
        <is>
          <t>JÄMTLANDS LÄN</t>
        </is>
      </c>
      <c r="G346" t="inlineStr">
        <is>
          <t>STRÖMSUND</t>
        </is>
      </c>
      <c r="H346" t="inlineStr">
        <is>
          <t>Kyrkan</t>
        </is>
      </c>
      <c r="I346" t="n">
        <v>5.2</v>
      </c>
      <c r="J346" t="n">
        <v>0</v>
      </c>
      <c r="K346" t="n">
        <v>0</v>
      </c>
      <c r="L346" t="n">
        <v>0</v>
      </c>
      <c r="M346" t="n">
        <v>0</v>
      </c>
      <c r="N346" t="n">
        <v>0</v>
      </c>
      <c r="O346" t="n">
        <v>0</v>
      </c>
      <c r="P346" t="n">
        <v>0</v>
      </c>
      <c r="Q346" t="n">
        <v>0</v>
      </c>
      <c r="R346" t="n">
        <v>0</v>
      </c>
      <c r="S346" t="n">
        <v>1</v>
      </c>
      <c r="T346" t="n">
        <v>2</v>
      </c>
      <c r="U346" t="n">
        <v>2</v>
      </c>
      <c r="V346" s="2" t="inlineStr">
        <is>
          <t>Brudborste</t>
        </is>
      </c>
      <c r="W346">
        <f>HYPERLINK("https://klasma.github.io/Logging_2313/artfynd/A 40090-2024 artfynd.xlsx", "A 40090-2024")</f>
        <v/>
      </c>
      <c r="X346">
        <f>HYPERLINK("https://klasma.github.io/Logging_2313/kartor/A 40090-2024 karta.png", "A 40090-2024")</f>
        <v/>
      </c>
      <c r="Y346">
        <f>HYPERLINK("https://klasma.github.io/Logging_2313/kartor_geotiff/A 40090-2024 georefererad karta.tif", "A 40090-2024")</f>
        <v/>
      </c>
      <c r="AA346">
        <f>HYPERLINK("https://klasma.github.io/Logging_2313/klagomål/A 40090-2024 FSC-klagomål.docx", "A 40090-2024")</f>
        <v/>
      </c>
      <c r="AB346">
        <f>HYPERLINK("https://klasma.github.io/Logging_2313/klagomålsmail/A 40090-2024 FSC-klagomål mail.docx", "A 40090-2024")</f>
        <v/>
      </c>
      <c r="AC346">
        <f>HYPERLINK("https://klasma.github.io/Logging_2313/tillsyn/A 40090-2024 tillsynsbegäran.docx", "A 40090-2024")</f>
        <v/>
      </c>
      <c r="AD346">
        <f>HYPERLINK("https://klasma.github.io/Logging_2313/tillsynsmail/A 40090-2024 tillsynsbegäran mail.docx", "A 40090-2024")</f>
        <v/>
      </c>
    </row>
    <row r="347" ht="15" customHeight="1">
      <c r="A347" t="inlineStr">
        <is>
          <t>A 52059-2025</t>
        </is>
      </c>
      <c r="B347" t="inlineStr">
        <is>
          <t>avverkningsanmälan</t>
        </is>
      </c>
      <c r="C347" t="inlineStr">
        <is>
          <t>Föryngringsavverkning</t>
        </is>
      </c>
      <c r="D347" s="1" t="n">
        <v>45952</v>
      </c>
      <c r="E347" s="1" t="n">
        <v>46318</v>
      </c>
      <c r="F347" t="inlineStr">
        <is>
          <t>JÄMTLANDS LÄN</t>
        </is>
      </c>
      <c r="G347" t="inlineStr">
        <is>
          <t>STRÖMSUND</t>
        </is>
      </c>
      <c r="H347" t="inlineStr">
        <is>
          <t>SCA</t>
        </is>
      </c>
      <c r="I347" t="n">
        <v>12.4</v>
      </c>
      <c r="J347" t="n">
        <v>0</v>
      </c>
      <c r="K347" t="n">
        <v>0</v>
      </c>
      <c r="L347" t="n">
        <v>1</v>
      </c>
      <c r="M347" t="n">
        <v>0</v>
      </c>
      <c r="N347" t="n">
        <v>0</v>
      </c>
      <c r="O347" t="n">
        <v>0</v>
      </c>
      <c r="P347" t="n">
        <v>0</v>
      </c>
      <c r="Q347" t="n">
        <v>1</v>
      </c>
      <c r="R347" t="n">
        <v>0</v>
      </c>
      <c r="S347" t="n">
        <v>1</v>
      </c>
      <c r="T347" t="n">
        <v>1</v>
      </c>
      <c r="U347" t="n">
        <v>0</v>
      </c>
      <c r="V347" s="2" t="inlineStr">
        <is>
          <t>Lunglav</t>
        </is>
      </c>
      <c r="W347">
        <f>HYPERLINK("https://klasma.github.io/Logging_2313/artfynd/A 52059-2025 artfynd.xlsx", "A 52059-2025")</f>
        <v/>
      </c>
      <c r="X347">
        <f>HYPERLINK("https://klasma.github.io/Logging_2313/kartor/A 52059-2025 karta.png", "A 52059-2025")</f>
        <v/>
      </c>
      <c r="Y347">
        <f>HYPERLINK("https://klasma.github.io/Logging_2313/kartor_geotiff/A 52059-2025 georefererad karta.tif", "A 52059-2025")</f>
        <v/>
      </c>
      <c r="AA347">
        <f>HYPERLINK("https://klasma.github.io/Logging_2313/klagomål/A 52059-2025 FSC-klagomål.docx", "A 52059-2025")</f>
        <v/>
      </c>
      <c r="AB347">
        <f>HYPERLINK("https://klasma.github.io/Logging_2313/klagomålsmail/A 52059-2025 FSC-klagomål mail.docx", "A 52059-2025")</f>
        <v/>
      </c>
      <c r="AC347">
        <f>HYPERLINK("https://klasma.github.io/Logging_2313/tillsyn/A 52059-2025 tillsynsbegäran.docx", "A 52059-2025")</f>
        <v/>
      </c>
      <c r="AD347">
        <f>HYPERLINK("https://klasma.github.io/Logging_2313/tillsynsmail/A 52059-2025 tillsynsbegäran mail.docx", "A 52059-2025")</f>
        <v/>
      </c>
    </row>
    <row r="348" ht="15" customHeight="1">
      <c r="A348" t="inlineStr">
        <is>
          <t>A 41811-2022</t>
        </is>
      </c>
      <c r="B348" t="inlineStr">
        <is>
          <t>avverkningsanmälan</t>
        </is>
      </c>
      <c r="C348" t="inlineStr">
        <is>
          <t>Avverkning för att bevara och utveckla /försöksver</t>
        </is>
      </c>
      <c r="D348" s="1" t="n">
        <v>44827</v>
      </c>
      <c r="E348" s="1" t="n">
        <v>46318</v>
      </c>
      <c r="F348" t="inlineStr">
        <is>
          <t>JÄMTLANDS LÄN</t>
        </is>
      </c>
      <c r="G348" t="inlineStr">
        <is>
          <t>STRÖMSUND</t>
        </is>
      </c>
      <c r="H348" t="inlineStr">
        <is>
          <t>SCA</t>
        </is>
      </c>
      <c r="I348" t="n">
        <v>7.6</v>
      </c>
      <c r="J348" t="n">
        <v>1</v>
      </c>
      <c r="K348" t="n">
        <v>0</v>
      </c>
      <c r="L348" t="n">
        <v>0</v>
      </c>
      <c r="M348" t="n">
        <v>1</v>
      </c>
      <c r="N348" t="n">
        <v>0</v>
      </c>
      <c r="O348" t="n">
        <v>0</v>
      </c>
      <c r="P348" t="n">
        <v>0</v>
      </c>
      <c r="Q348" t="n">
        <v>1</v>
      </c>
      <c r="R348" t="n">
        <v>1</v>
      </c>
      <c r="S348" t="n">
        <v>1</v>
      </c>
      <c r="T348" t="n">
        <v>1</v>
      </c>
      <c r="U348" t="n">
        <v>0</v>
      </c>
      <c r="V348" s="2" t="inlineStr">
        <is>
          <t>Knärot</t>
        </is>
      </c>
      <c r="W348">
        <f>HYPERLINK("https://klasma.github.io/Logging_2313/artfynd/A 41811-2022 artfynd.xlsx", "A 41811-2022")</f>
        <v/>
      </c>
      <c r="X348">
        <f>HYPERLINK("https://klasma.github.io/Logging_2313/kartor/A 41811-2022 karta.png", "A 41811-2022")</f>
        <v/>
      </c>
      <c r="Y348">
        <f>HYPERLINK("https://klasma.github.io/Logging_2313/kartor_geotiff/A 41811-2022 georefererad karta.tif", "A 41811-2022")</f>
        <v/>
      </c>
      <c r="Z348">
        <f>HYPERLINK("https://klasma.github.io/Logging_2313/knärot/A 41811-2022 karta knärot.png", "A 41811-2022")</f>
        <v/>
      </c>
      <c r="AA348">
        <f>HYPERLINK("https://klasma.github.io/Logging_2313/klagomål/A 41811-2022 FSC-klagomål.docx", "A 41811-2022")</f>
        <v/>
      </c>
      <c r="AB348">
        <f>HYPERLINK("https://klasma.github.io/Logging_2313/klagomålsmail/A 41811-2022 FSC-klagomål mail.docx", "A 41811-2022")</f>
        <v/>
      </c>
      <c r="AC348">
        <f>HYPERLINK("https://klasma.github.io/Logging_2313/tillsyn/A 41811-2022 tillsynsbegäran.docx", "A 41811-2022")</f>
        <v/>
      </c>
      <c r="AD348">
        <f>HYPERLINK("https://klasma.github.io/Logging_2313/tillsynsmail/A 41811-2022 tillsynsbegäran mail.docx", "A 41811-2022")</f>
        <v/>
      </c>
    </row>
    <row r="349" ht="15" customHeight="1">
      <c r="A349" t="inlineStr">
        <is>
          <t>A 52455-2025</t>
        </is>
      </c>
      <c r="B349" t="inlineStr">
        <is>
          <t>avverkningsanmälan</t>
        </is>
      </c>
      <c r="C349" t="inlineStr">
        <is>
          <t>Föryngringsavverkning</t>
        </is>
      </c>
      <c r="D349" s="1" t="n">
        <v>45954</v>
      </c>
      <c r="E349" s="1" t="n">
        <v>46318</v>
      </c>
      <c r="F349" t="inlineStr">
        <is>
          <t>JÄMTLANDS LÄN</t>
        </is>
      </c>
      <c r="G349" t="inlineStr">
        <is>
          <t>STRÖMSUND</t>
        </is>
      </c>
      <c r="H349" t="inlineStr">
        <is>
          <t>SCA</t>
        </is>
      </c>
      <c r="I349" t="n">
        <v>1.7</v>
      </c>
      <c r="J349" t="n">
        <v>1</v>
      </c>
      <c r="K349" t="n">
        <v>0</v>
      </c>
      <c r="L349" t="n">
        <v>0</v>
      </c>
      <c r="M349" t="n">
        <v>0</v>
      </c>
      <c r="N349" t="n">
        <v>0</v>
      </c>
      <c r="O349" t="n">
        <v>0</v>
      </c>
      <c r="P349" t="n">
        <v>0</v>
      </c>
      <c r="Q349" t="n">
        <v>0</v>
      </c>
      <c r="R349" t="n">
        <v>0</v>
      </c>
      <c r="S349" t="n">
        <v>1</v>
      </c>
      <c r="T349" t="n">
        <v>1</v>
      </c>
      <c r="U349" t="n">
        <v>0</v>
      </c>
      <c r="V349" s="2" t="inlineStr">
        <is>
          <t>Fläcknycklar</t>
        </is>
      </c>
      <c r="W349">
        <f>HYPERLINK("https://klasma.github.io/Logging_2313/artfynd/A 52455-2025 artfynd.xlsx", "A 52455-2025")</f>
        <v/>
      </c>
      <c r="X349">
        <f>HYPERLINK("https://klasma.github.io/Logging_2313/kartor/A 52455-2025 karta.png", "A 52455-2025")</f>
        <v/>
      </c>
      <c r="Y349">
        <f>HYPERLINK("https://klasma.github.io/Logging_2313/kartor_geotiff/A 52455-2025 georefererad karta.tif", "A 52455-2025")</f>
        <v/>
      </c>
      <c r="AA349">
        <f>HYPERLINK("https://klasma.github.io/Logging_2313/klagomål/A 52455-2025 FSC-klagomål.docx", "A 52455-2025")</f>
        <v/>
      </c>
      <c r="AB349">
        <f>HYPERLINK("https://klasma.github.io/Logging_2313/klagomålsmail/A 52455-2025 FSC-klagomål mail.docx", "A 52455-2025")</f>
        <v/>
      </c>
      <c r="AC349">
        <f>HYPERLINK("https://klasma.github.io/Logging_2313/tillsyn/A 52455-2025 tillsynsbegäran.docx", "A 52455-2025")</f>
        <v/>
      </c>
      <c r="AD349">
        <f>HYPERLINK("https://klasma.github.io/Logging_2313/tillsynsmail/A 52455-2025 tillsynsbegäran mail.docx", "A 52455-2025")</f>
        <v/>
      </c>
    </row>
    <row r="350" ht="15" customHeight="1">
      <c r="A350" t="inlineStr">
        <is>
          <t>A 52808-2025</t>
        </is>
      </c>
      <c r="B350" t="inlineStr">
        <is>
          <t>avverkningsanmälan</t>
        </is>
      </c>
      <c r="C350" t="inlineStr">
        <is>
          <t>Föryngringsavverkning</t>
        </is>
      </c>
      <c r="D350" s="1" t="n">
        <v>45957</v>
      </c>
      <c r="E350" s="1" t="n">
        <v>46318</v>
      </c>
      <c r="F350" t="inlineStr">
        <is>
          <t>JÄMTLANDS LÄN</t>
        </is>
      </c>
      <c r="G350" t="inlineStr">
        <is>
          <t>STRÖMSUND</t>
        </is>
      </c>
      <c r="H350" t="inlineStr">
        <is>
          <t>SCA</t>
        </is>
      </c>
      <c r="I350" t="n">
        <v>4.7</v>
      </c>
      <c r="J350" t="n">
        <v>0</v>
      </c>
      <c r="K350" t="n">
        <v>0</v>
      </c>
      <c r="L350" t="n">
        <v>1</v>
      </c>
      <c r="M350" t="n">
        <v>0</v>
      </c>
      <c r="N350" t="n">
        <v>0</v>
      </c>
      <c r="O350" t="n">
        <v>0</v>
      </c>
      <c r="P350" t="n">
        <v>0</v>
      </c>
      <c r="Q350" t="n">
        <v>1</v>
      </c>
      <c r="R350" t="n">
        <v>0</v>
      </c>
      <c r="S350" t="n">
        <v>1</v>
      </c>
      <c r="T350" t="n">
        <v>1</v>
      </c>
      <c r="U350" t="n">
        <v>0</v>
      </c>
      <c r="V350" s="2" t="inlineStr">
        <is>
          <t>Ullticka</t>
        </is>
      </c>
      <c r="W350">
        <f>HYPERLINK("https://klasma.github.io/Logging_2313/artfynd/A 52808-2025 artfynd.xlsx", "A 52808-2025")</f>
        <v/>
      </c>
      <c r="X350">
        <f>HYPERLINK("https://klasma.github.io/Logging_2313/kartor/A 52808-2025 karta.png", "A 52808-2025")</f>
        <v/>
      </c>
      <c r="Y350">
        <f>HYPERLINK("https://klasma.github.io/Logging_2313/kartor_geotiff/A 52808-2025 georefererad karta.tif", "A 52808-2025")</f>
        <v/>
      </c>
      <c r="AA350">
        <f>HYPERLINK("https://klasma.github.io/Logging_2313/klagomål/A 52808-2025 FSC-klagomål.docx", "A 52808-2025")</f>
        <v/>
      </c>
      <c r="AB350">
        <f>HYPERLINK("https://klasma.github.io/Logging_2313/klagomålsmail/A 52808-2025 FSC-klagomål mail.docx", "A 52808-2025")</f>
        <v/>
      </c>
      <c r="AC350">
        <f>HYPERLINK("https://klasma.github.io/Logging_2313/tillsyn/A 52808-2025 tillsynsbegäran.docx", "A 52808-2025")</f>
        <v/>
      </c>
      <c r="AD350">
        <f>HYPERLINK("https://klasma.github.io/Logging_2313/tillsynsmail/A 52808-2025 tillsynsbegäran mail.docx", "A 52808-2025")</f>
        <v/>
      </c>
    </row>
    <row r="351" ht="15" customHeight="1">
      <c r="A351" t="inlineStr">
        <is>
          <t>A 53019-2022</t>
        </is>
      </c>
      <c r="B351" t="inlineStr">
        <is>
          <t>avverkningsanmälan</t>
        </is>
      </c>
      <c r="C351" t="inlineStr">
        <is>
          <t>Föryngringsavverkning</t>
        </is>
      </c>
      <c r="D351" s="1" t="n">
        <v>44875</v>
      </c>
      <c r="E351" s="1" t="n">
        <v>46318</v>
      </c>
      <c r="F351" t="inlineStr">
        <is>
          <t>JÄMTLANDS LÄN</t>
        </is>
      </c>
      <c r="G351" t="inlineStr">
        <is>
          <t>STRÖMSUND</t>
        </is>
      </c>
      <c r="H351" t="inlineStr">
        <is>
          <t>SCA</t>
        </is>
      </c>
      <c r="I351" t="n">
        <v>4.8</v>
      </c>
      <c r="J351" t="n">
        <v>1</v>
      </c>
      <c r="K351" t="n">
        <v>0</v>
      </c>
      <c r="L351" t="n">
        <v>0</v>
      </c>
      <c r="M351" t="n">
        <v>0</v>
      </c>
      <c r="N351" t="n">
        <v>0</v>
      </c>
      <c r="O351" t="n">
        <v>0</v>
      </c>
      <c r="P351" t="n">
        <v>0</v>
      </c>
      <c r="Q351" t="n">
        <v>0</v>
      </c>
      <c r="R351" t="n">
        <v>0</v>
      </c>
      <c r="S351" t="n">
        <v>1</v>
      </c>
      <c r="T351" t="n">
        <v>1</v>
      </c>
      <c r="U351" t="n">
        <v>0</v>
      </c>
      <c r="V351" s="2" t="inlineStr">
        <is>
          <t>Utter</t>
        </is>
      </c>
      <c r="W351">
        <f>HYPERLINK("https://klasma.github.io/Logging_2313/artfynd/A 53019-2022 artfynd.xlsx", "A 53019-2022")</f>
        <v/>
      </c>
      <c r="X351">
        <f>HYPERLINK("https://klasma.github.io/Logging_2313/kartor/A 53019-2022 karta.png", "A 53019-2022")</f>
        <v/>
      </c>
      <c r="Y351">
        <f>HYPERLINK("https://klasma.github.io/Logging_2313/kartor_geotiff/A 53019-2022 georefererad karta.tif", "A 53019-2022")</f>
        <v/>
      </c>
      <c r="AA351">
        <f>HYPERLINK("https://klasma.github.io/Logging_2313/klagomål/A 53019-2022 FSC-klagomål.docx", "A 53019-2022")</f>
        <v/>
      </c>
      <c r="AB351">
        <f>HYPERLINK("https://klasma.github.io/Logging_2313/klagomålsmail/A 53019-2022 FSC-klagomål mail.docx", "A 53019-2022")</f>
        <v/>
      </c>
      <c r="AC351">
        <f>HYPERLINK("https://klasma.github.io/Logging_2313/tillsyn/A 53019-2022 tillsynsbegäran.docx", "A 53019-2022")</f>
        <v/>
      </c>
      <c r="AD351">
        <f>HYPERLINK("https://klasma.github.io/Logging_2313/tillsynsmail/A 53019-2022 tillsynsbegäran mail.docx", "A 53019-2022")</f>
        <v/>
      </c>
    </row>
    <row r="352" ht="15" customHeight="1">
      <c r="A352" t="inlineStr">
        <is>
          <t>A 23310-2023</t>
        </is>
      </c>
      <c r="B352" t="inlineStr">
        <is>
          <t>avverkningsanmälan</t>
        </is>
      </c>
      <c r="C352" t="inlineStr">
        <is>
          <t>Avverkning för att bevara och utveckla /försöksver</t>
        </is>
      </c>
      <c r="D352" s="1" t="n">
        <v>45075</v>
      </c>
      <c r="E352" s="1" t="n">
        <v>46318</v>
      </c>
      <c r="F352" t="inlineStr">
        <is>
          <t>JÄMTLANDS LÄN</t>
        </is>
      </c>
      <c r="G352" t="inlineStr">
        <is>
          <t>STRÖMSUND</t>
        </is>
      </c>
      <c r="H352" t="inlineStr">
        <is>
          <t>SCA</t>
        </is>
      </c>
      <c r="I352" t="n">
        <v>2.3</v>
      </c>
      <c r="J352" t="n">
        <v>0</v>
      </c>
      <c r="K352" t="n">
        <v>0</v>
      </c>
      <c r="L352" t="n">
        <v>1</v>
      </c>
      <c r="M352" t="n">
        <v>0</v>
      </c>
      <c r="N352" t="n">
        <v>0</v>
      </c>
      <c r="O352" t="n">
        <v>0</v>
      </c>
      <c r="P352" t="n">
        <v>0</v>
      </c>
      <c r="Q352" t="n">
        <v>1</v>
      </c>
      <c r="R352" t="n">
        <v>0</v>
      </c>
      <c r="S352" t="n">
        <v>1</v>
      </c>
      <c r="T352" t="n">
        <v>1</v>
      </c>
      <c r="U352" t="n">
        <v>1</v>
      </c>
      <c r="V352" s="2" t="inlineStr">
        <is>
          <t>Vitgrynig nållav</t>
        </is>
      </c>
      <c r="W352">
        <f>HYPERLINK("https://klasma.github.io/Logging_2313/artfynd/A 23310-2023 artfynd.xlsx", "A 23310-2023")</f>
        <v/>
      </c>
      <c r="X352">
        <f>HYPERLINK("https://klasma.github.io/Logging_2313/kartor/A 23310-2023 karta.png", "A 23310-2023")</f>
        <v/>
      </c>
      <c r="Y352">
        <f>HYPERLINK("https://klasma.github.io/Logging_2313/kartor_geotiff/A 23310-2023 georefererad karta.tif", "A 23310-2023")</f>
        <v/>
      </c>
      <c r="AA352">
        <f>HYPERLINK("https://klasma.github.io/Logging_2313/klagomål/A 23310-2023 FSC-klagomål.docx", "A 23310-2023")</f>
        <v/>
      </c>
      <c r="AB352">
        <f>HYPERLINK("https://klasma.github.io/Logging_2313/klagomålsmail/A 23310-2023 FSC-klagomål mail.docx", "A 23310-2023")</f>
        <v/>
      </c>
      <c r="AC352">
        <f>HYPERLINK("https://klasma.github.io/Logging_2313/tillsyn/A 23310-2023 tillsynsbegäran.docx", "A 23310-2023")</f>
        <v/>
      </c>
      <c r="AD352">
        <f>HYPERLINK("https://klasma.github.io/Logging_2313/tillsynsmail/A 23310-2023 tillsynsbegäran mail.docx", "A 23310-2023")</f>
        <v/>
      </c>
    </row>
    <row r="353" ht="15" customHeight="1">
      <c r="A353" t="inlineStr">
        <is>
          <t>A 57805-2023</t>
        </is>
      </c>
      <c r="B353" t="inlineStr">
        <is>
          <t>avverkningsanmälan</t>
        </is>
      </c>
      <c r="C353" t="inlineStr">
        <is>
          <t>Föryngringsavverkning</t>
        </is>
      </c>
      <c r="D353" s="1" t="n">
        <v>45243</v>
      </c>
      <c r="E353" s="1" t="n">
        <v>46318</v>
      </c>
      <c r="F353" t="inlineStr">
        <is>
          <t>JÄMTLANDS LÄN</t>
        </is>
      </c>
      <c r="G353" t="inlineStr">
        <is>
          <t>STRÖMSUND</t>
        </is>
      </c>
      <c r="H353" t="inlineStr">
        <is>
          <t>SCA</t>
        </is>
      </c>
      <c r="I353" t="n">
        <v>5.6</v>
      </c>
      <c r="J353" t="n">
        <v>0</v>
      </c>
      <c r="K353" t="n">
        <v>0</v>
      </c>
      <c r="L353" t="n">
        <v>0</v>
      </c>
      <c r="M353" t="n">
        <v>1</v>
      </c>
      <c r="N353" t="n">
        <v>0</v>
      </c>
      <c r="O353" t="n">
        <v>0</v>
      </c>
      <c r="P353" t="n">
        <v>0</v>
      </c>
      <c r="Q353" t="n">
        <v>1</v>
      </c>
      <c r="R353" t="n">
        <v>1</v>
      </c>
      <c r="S353" t="n">
        <v>1</v>
      </c>
      <c r="T353" t="n">
        <v>1</v>
      </c>
      <c r="U353" t="n">
        <v>0</v>
      </c>
      <c r="V353" s="2" t="inlineStr">
        <is>
          <t>Norsk näverlav</t>
        </is>
      </c>
      <c r="W353">
        <f>HYPERLINK("https://klasma.github.io/Logging_2313/artfynd/A 57805-2023 artfynd.xlsx", "A 57805-2023")</f>
        <v/>
      </c>
      <c r="X353">
        <f>HYPERLINK("https://klasma.github.io/Logging_2313/kartor/A 57805-2023 karta.png", "A 57805-2023")</f>
        <v/>
      </c>
      <c r="Y353">
        <f>HYPERLINK("https://klasma.github.io/Logging_2313/kartor_geotiff/A 57805-2023 georefererad karta.tif", "A 57805-2023")</f>
        <v/>
      </c>
      <c r="AA353">
        <f>HYPERLINK("https://klasma.github.io/Logging_2313/klagomål/A 57805-2023 FSC-klagomål.docx", "A 57805-2023")</f>
        <v/>
      </c>
      <c r="AB353">
        <f>HYPERLINK("https://klasma.github.io/Logging_2313/klagomålsmail/A 57805-2023 FSC-klagomål mail.docx", "A 57805-2023")</f>
        <v/>
      </c>
      <c r="AC353">
        <f>HYPERLINK("https://klasma.github.io/Logging_2313/tillsyn/A 57805-2023 tillsynsbegäran.docx", "A 57805-2023")</f>
        <v/>
      </c>
      <c r="AD353">
        <f>HYPERLINK("https://klasma.github.io/Logging_2313/tillsynsmail/A 57805-2023 tillsynsbegäran mail.docx", "A 57805-2023")</f>
        <v/>
      </c>
    </row>
    <row r="354" ht="15" customHeight="1">
      <c r="A354" t="inlineStr">
        <is>
          <t>A 51803-2024</t>
        </is>
      </c>
      <c r="B354" t="inlineStr">
        <is>
          <t>avverkningsanmälan</t>
        </is>
      </c>
      <c r="C354" t="inlineStr">
        <is>
          <t>Föryngringsavverkning</t>
        </is>
      </c>
      <c r="D354" s="1" t="n">
        <v>45607</v>
      </c>
      <c r="E354" s="1" t="n">
        <v>46318</v>
      </c>
      <c r="F354" t="inlineStr">
        <is>
          <t>JÄMTLANDS LÄN</t>
        </is>
      </c>
      <c r="G354" t="inlineStr">
        <is>
          <t>STRÖMSUND</t>
        </is>
      </c>
      <c r="H354" t="inlineStr">
        <is>
          <t>Kommuner</t>
        </is>
      </c>
      <c r="I354" t="n">
        <v>17</v>
      </c>
      <c r="J354" t="n">
        <v>0</v>
      </c>
      <c r="K354" t="n">
        <v>0</v>
      </c>
      <c r="L354" t="n">
        <v>0</v>
      </c>
      <c r="M354" t="n">
        <v>1</v>
      </c>
      <c r="N354" t="n">
        <v>0</v>
      </c>
      <c r="O354" t="n">
        <v>0</v>
      </c>
      <c r="P354" t="n">
        <v>0</v>
      </c>
      <c r="Q354" t="n">
        <v>1</v>
      </c>
      <c r="R354" t="n">
        <v>1</v>
      </c>
      <c r="S354" t="n">
        <v>1</v>
      </c>
      <c r="T354" t="n">
        <v>1</v>
      </c>
      <c r="U354" t="n">
        <v>0</v>
      </c>
      <c r="V354" s="2" t="inlineStr">
        <is>
          <t>Gränsticka</t>
        </is>
      </c>
      <c r="W354">
        <f>HYPERLINK("https://klasma.github.io/Logging_2313/artfynd/A 51803-2024 artfynd.xlsx", "A 51803-2024")</f>
        <v/>
      </c>
      <c r="X354">
        <f>HYPERLINK("https://klasma.github.io/Logging_2313/kartor/A 51803-2024 karta.png", "A 51803-2024")</f>
        <v/>
      </c>
      <c r="Y354">
        <f>HYPERLINK("https://klasma.github.io/Logging_2313/kartor_geotiff/A 51803-2024 georefererad karta.tif", "A 51803-2024")</f>
        <v/>
      </c>
      <c r="AA354">
        <f>HYPERLINK("https://klasma.github.io/Logging_2313/klagomål/A 51803-2024 FSC-klagomål.docx", "A 51803-2024")</f>
        <v/>
      </c>
      <c r="AB354">
        <f>HYPERLINK("https://klasma.github.io/Logging_2313/klagomålsmail/A 51803-2024 FSC-klagomål mail.docx", "A 51803-2024")</f>
        <v/>
      </c>
      <c r="AC354">
        <f>HYPERLINK("https://klasma.github.io/Logging_2313/tillsyn/A 51803-2024 tillsynsbegäran.docx", "A 51803-2024")</f>
        <v/>
      </c>
      <c r="AD354">
        <f>HYPERLINK("https://klasma.github.io/Logging_2313/tillsynsmail/A 51803-2024 tillsynsbegäran mail.docx", "A 51803-2024")</f>
        <v/>
      </c>
    </row>
    <row r="355" ht="15" customHeight="1">
      <c r="A355" t="inlineStr">
        <is>
          <t>A 15149-2022</t>
        </is>
      </c>
      <c r="B355" t="inlineStr">
        <is>
          <t>avverkningsanmälan</t>
        </is>
      </c>
      <c r="C355" t="inlineStr">
        <is>
          <t>Föryngringsavverkning</t>
        </is>
      </c>
      <c r="D355" s="1" t="n">
        <v>44658</v>
      </c>
      <c r="E355" s="1" t="n">
        <v>46318</v>
      </c>
      <c r="F355" t="inlineStr">
        <is>
          <t>JÄMTLANDS LÄN</t>
        </is>
      </c>
      <c r="G355" t="inlineStr">
        <is>
          <t>STRÖMSUND</t>
        </is>
      </c>
      <c r="I355" t="n">
        <v>10.6</v>
      </c>
      <c r="J355" t="n">
        <v>1</v>
      </c>
      <c r="K355" t="n">
        <v>0</v>
      </c>
      <c r="L355" t="n">
        <v>1</v>
      </c>
      <c r="M355" t="n">
        <v>0</v>
      </c>
      <c r="N355" t="n">
        <v>0</v>
      </c>
      <c r="O355" t="n">
        <v>0</v>
      </c>
      <c r="P355" t="n">
        <v>0</v>
      </c>
      <c r="Q355" t="n">
        <v>1</v>
      </c>
      <c r="R355" t="n">
        <v>0</v>
      </c>
      <c r="S355" t="n">
        <v>1</v>
      </c>
      <c r="T355" t="n">
        <v>1</v>
      </c>
      <c r="U355" t="n">
        <v>1</v>
      </c>
      <c r="V355" s="2" t="inlineStr">
        <is>
          <t>Lavskrika</t>
        </is>
      </c>
      <c r="W355">
        <f>HYPERLINK("https://klasma.github.io/Logging_2313/artfynd/A 15149-2022 artfynd.xlsx", "A 15149-2022")</f>
        <v/>
      </c>
      <c r="X355">
        <f>HYPERLINK("https://klasma.github.io/Logging_2313/kartor/A 15149-2022 karta.png", "A 15149-2022")</f>
        <v/>
      </c>
      <c r="Y355">
        <f>HYPERLINK("https://klasma.github.io/Logging_2313/kartor_geotiff/A 15149-2022 georefererad karta.tif", "A 15149-2022")</f>
        <v/>
      </c>
      <c r="AA355">
        <f>HYPERLINK("https://klasma.github.io/Logging_2313/klagomål/A 15149-2022 FSC-klagomål.docx", "A 15149-2022")</f>
        <v/>
      </c>
      <c r="AB355">
        <f>HYPERLINK("https://klasma.github.io/Logging_2313/klagomålsmail/A 15149-2022 FSC-klagomål mail.docx", "A 15149-2022")</f>
        <v/>
      </c>
      <c r="AC355">
        <f>HYPERLINK("https://klasma.github.io/Logging_2313/tillsyn/A 15149-2022 tillsynsbegäran.docx", "A 15149-2022")</f>
        <v/>
      </c>
      <c r="AD355">
        <f>HYPERLINK("https://klasma.github.io/Logging_2313/tillsynsmail/A 15149-2022 tillsynsbegäran mail.docx", "A 15149-2022")</f>
        <v/>
      </c>
      <c r="AE355">
        <f>HYPERLINK("https://klasma.github.io/Logging_2313/fåglar/A 15149-2022 prioriterade fågelarter.docx", "A 15149-2022")</f>
        <v/>
      </c>
    </row>
    <row r="356" ht="15" customHeight="1">
      <c r="A356" t="inlineStr">
        <is>
          <t>A 57664-2023</t>
        </is>
      </c>
      <c r="B356" t="inlineStr">
        <is>
          <t>avverkningsanmälan</t>
        </is>
      </c>
      <c r="C356" t="inlineStr">
        <is>
          <t>Föryngringsavverkning</t>
        </is>
      </c>
      <c r="D356" s="1" t="n">
        <v>45243</v>
      </c>
      <c r="E356" s="1" t="n">
        <v>46318</v>
      </c>
      <c r="F356" t="inlineStr">
        <is>
          <t>JÄMTLANDS LÄN</t>
        </is>
      </c>
      <c r="G356" t="inlineStr">
        <is>
          <t>STRÖMSUND</t>
        </is>
      </c>
      <c r="H356" t="inlineStr">
        <is>
          <t>SCA</t>
        </is>
      </c>
      <c r="I356" t="n">
        <v>6.2</v>
      </c>
      <c r="J356" t="n">
        <v>0</v>
      </c>
      <c r="K356" t="n">
        <v>0</v>
      </c>
      <c r="L356" t="n">
        <v>0</v>
      </c>
      <c r="M356" t="n">
        <v>1</v>
      </c>
      <c r="N356" t="n">
        <v>0</v>
      </c>
      <c r="O356" t="n">
        <v>0</v>
      </c>
      <c r="P356" t="n">
        <v>0</v>
      </c>
      <c r="Q356" t="n">
        <v>1</v>
      </c>
      <c r="R356" t="n">
        <v>1</v>
      </c>
      <c r="S356" t="n">
        <v>1</v>
      </c>
      <c r="T356" t="n">
        <v>2</v>
      </c>
      <c r="U356" t="n">
        <v>0</v>
      </c>
      <c r="V356" s="2" t="inlineStr">
        <is>
          <t>Norsk näverlav</t>
        </is>
      </c>
      <c r="W356">
        <f>HYPERLINK("https://klasma.github.io/Logging_2313/artfynd/A 57664-2023 artfynd.xlsx", "A 57664-2023")</f>
        <v/>
      </c>
      <c r="X356">
        <f>HYPERLINK("https://klasma.github.io/Logging_2313/kartor/A 57664-2023 karta.png", "A 57664-2023")</f>
        <v/>
      </c>
      <c r="Y356">
        <f>HYPERLINK("https://klasma.github.io/Logging_2313/kartor_geotiff/A 57664-2023 georefererad karta.tif", "A 57664-2023")</f>
        <v/>
      </c>
      <c r="AA356">
        <f>HYPERLINK("https://klasma.github.io/Logging_2313/klagomål/A 57664-2023 FSC-klagomål.docx", "A 57664-2023")</f>
        <v/>
      </c>
      <c r="AB356">
        <f>HYPERLINK("https://klasma.github.io/Logging_2313/klagomålsmail/A 57664-2023 FSC-klagomål mail.docx", "A 57664-2023")</f>
        <v/>
      </c>
      <c r="AC356">
        <f>HYPERLINK("https://klasma.github.io/Logging_2313/tillsyn/A 57664-2023 tillsynsbegäran.docx", "A 57664-2023")</f>
        <v/>
      </c>
      <c r="AD356">
        <f>HYPERLINK("https://klasma.github.io/Logging_2313/tillsynsmail/A 57664-2023 tillsynsbegäran mail.docx", "A 57664-2023")</f>
        <v/>
      </c>
    </row>
    <row r="357" ht="15" customHeight="1">
      <c r="A357" t="inlineStr">
        <is>
          <t>A 473-2025</t>
        </is>
      </c>
      <c r="B357" t="inlineStr">
        <is>
          <t>avverkningsanmälan</t>
        </is>
      </c>
      <c r="C357" t="inlineStr">
        <is>
          <t>Avverkning för annat ändamål</t>
        </is>
      </c>
      <c r="D357" s="1" t="n">
        <v>45664</v>
      </c>
      <c r="E357" s="1" t="n">
        <v>46318</v>
      </c>
      <c r="F357" t="inlineStr">
        <is>
          <t>JÄMTLANDS LÄN</t>
        </is>
      </c>
      <c r="G357" t="inlineStr">
        <is>
          <t>STRÖMSUND</t>
        </is>
      </c>
      <c r="I357" t="n">
        <v>0.1</v>
      </c>
      <c r="J357" t="n">
        <v>0</v>
      </c>
      <c r="K357" t="n">
        <v>0</v>
      </c>
      <c r="L357" t="n">
        <v>1</v>
      </c>
      <c r="M357" t="n">
        <v>0</v>
      </c>
      <c r="N357" t="n">
        <v>0</v>
      </c>
      <c r="O357" t="n">
        <v>0</v>
      </c>
      <c r="P357" t="n">
        <v>0</v>
      </c>
      <c r="Q357" t="n">
        <v>1</v>
      </c>
      <c r="R357" t="n">
        <v>0</v>
      </c>
      <c r="S357" t="n">
        <v>1</v>
      </c>
      <c r="T357" t="n">
        <v>1</v>
      </c>
      <c r="U357" t="n">
        <v>0</v>
      </c>
      <c r="V357" s="2" t="inlineStr">
        <is>
          <t>Vitfläckig guldvinge</t>
        </is>
      </c>
      <c r="W357">
        <f>HYPERLINK("https://klasma.github.io/Logging_2313/artfynd/A 473-2025 artfynd.xlsx", "A 473-2025")</f>
        <v/>
      </c>
      <c r="X357">
        <f>HYPERLINK("https://klasma.github.io/Logging_2313/kartor/A 473-2025 karta.png", "A 473-2025")</f>
        <v/>
      </c>
      <c r="Y357">
        <f>HYPERLINK("https://klasma.github.io/Logging_2313/kartor_geotiff/A 473-2025 georefererad karta.tif", "A 473-2025")</f>
        <v/>
      </c>
      <c r="AA357">
        <f>HYPERLINK("https://klasma.github.io/Logging_2313/klagomål/A 473-2025 FSC-klagomål.docx", "A 473-2025")</f>
        <v/>
      </c>
      <c r="AB357">
        <f>HYPERLINK("https://klasma.github.io/Logging_2313/klagomålsmail/A 473-2025 FSC-klagomål mail.docx", "A 473-2025")</f>
        <v/>
      </c>
      <c r="AC357">
        <f>HYPERLINK("https://klasma.github.io/Logging_2313/tillsyn/A 473-2025 tillsynsbegäran.docx", "A 473-2025")</f>
        <v/>
      </c>
      <c r="AD357">
        <f>HYPERLINK("https://klasma.github.io/Logging_2313/tillsynsmail/A 473-2025 tillsynsbegäran mail.docx", "A 473-2025")</f>
        <v/>
      </c>
    </row>
    <row r="358" ht="15" customHeight="1">
      <c r="A358" t="inlineStr">
        <is>
          <t>A 55067-2025</t>
        </is>
      </c>
      <c r="B358" t="inlineStr">
        <is>
          <t>avverkningsanmälan</t>
        </is>
      </c>
      <c r="C358" t="inlineStr">
        <is>
          <t>Föryngringsavverkning</t>
        </is>
      </c>
      <c r="D358" s="1" t="n">
        <v>45967</v>
      </c>
      <c r="E358" s="1" t="n">
        <v>46318</v>
      </c>
      <c r="F358" t="inlineStr">
        <is>
          <t>JÄMTLANDS LÄN</t>
        </is>
      </c>
      <c r="G358" t="inlineStr">
        <is>
          <t>STRÖMSUND</t>
        </is>
      </c>
      <c r="H358" t="inlineStr">
        <is>
          <t>SCA</t>
        </is>
      </c>
      <c r="I358" t="n">
        <v>5</v>
      </c>
      <c r="J358" t="n">
        <v>0</v>
      </c>
      <c r="K358" t="n">
        <v>1</v>
      </c>
      <c r="L358" t="n">
        <v>0</v>
      </c>
      <c r="M358" t="n">
        <v>0</v>
      </c>
      <c r="N358" t="n">
        <v>0</v>
      </c>
      <c r="O358" t="n">
        <v>0</v>
      </c>
      <c r="P358" t="n">
        <v>0</v>
      </c>
      <c r="Q358" t="n">
        <v>0</v>
      </c>
      <c r="R358" t="n">
        <v>0</v>
      </c>
      <c r="S358" t="n">
        <v>1</v>
      </c>
      <c r="T358" t="n">
        <v>1</v>
      </c>
      <c r="U358" t="n">
        <v>0</v>
      </c>
      <c r="V358" s="2" t="inlineStr">
        <is>
          <t>Stuplav</t>
        </is>
      </c>
      <c r="W358">
        <f>HYPERLINK("https://klasma.github.io/Logging_2313/artfynd/A 55067-2025 artfynd.xlsx", "A 55067-2025")</f>
        <v/>
      </c>
      <c r="X358">
        <f>HYPERLINK("https://klasma.github.io/Logging_2313/kartor/A 55067-2025 karta.png", "A 55067-2025")</f>
        <v/>
      </c>
      <c r="Y358">
        <f>HYPERLINK("https://klasma.github.io/Logging_2313/kartor_geotiff/A 55067-2025 georefererad karta.tif", "A 55067-2025")</f>
        <v/>
      </c>
      <c r="AA358">
        <f>HYPERLINK("https://klasma.github.io/Logging_2313/klagomål/A 55067-2025 FSC-klagomål.docx", "A 55067-2025")</f>
        <v/>
      </c>
      <c r="AB358">
        <f>HYPERLINK("https://klasma.github.io/Logging_2313/klagomålsmail/A 55067-2025 FSC-klagomål mail.docx", "A 55067-2025")</f>
        <v/>
      </c>
      <c r="AC358">
        <f>HYPERLINK("https://klasma.github.io/Logging_2313/tillsyn/A 55067-2025 tillsynsbegäran.docx", "A 55067-2025")</f>
        <v/>
      </c>
      <c r="AD358">
        <f>HYPERLINK("https://klasma.github.io/Logging_2313/tillsynsmail/A 55067-2025 tillsynsbegäran mail.docx", "A 55067-2025")</f>
        <v/>
      </c>
    </row>
    <row r="359" ht="15" customHeight="1">
      <c r="A359" t="inlineStr">
        <is>
          <t>A 7999-2025</t>
        </is>
      </c>
      <c r="B359" t="inlineStr">
        <is>
          <t>avverkningsanmälan</t>
        </is>
      </c>
      <c r="C359" t="inlineStr">
        <is>
          <t>Föryngringsavverkning</t>
        </is>
      </c>
      <c r="D359" s="1" t="n">
        <v>45706</v>
      </c>
      <c r="E359" s="1" t="n">
        <v>46318</v>
      </c>
      <c r="F359" t="inlineStr">
        <is>
          <t>JÄMTLANDS LÄN</t>
        </is>
      </c>
      <c r="G359" t="inlineStr">
        <is>
          <t>STRÖMSUND</t>
        </is>
      </c>
      <c r="I359" t="n">
        <v>2.9</v>
      </c>
      <c r="J359" t="n">
        <v>0</v>
      </c>
      <c r="K359" t="n">
        <v>0</v>
      </c>
      <c r="L359" t="n">
        <v>1</v>
      </c>
      <c r="M359" t="n">
        <v>0</v>
      </c>
      <c r="N359" t="n">
        <v>0</v>
      </c>
      <c r="O359" t="n">
        <v>0</v>
      </c>
      <c r="P359" t="n">
        <v>0</v>
      </c>
      <c r="Q359" t="n">
        <v>1</v>
      </c>
      <c r="R359" t="n">
        <v>0</v>
      </c>
      <c r="S359" t="n">
        <v>1</v>
      </c>
      <c r="T359" t="n">
        <v>1</v>
      </c>
      <c r="U359" t="n">
        <v>1</v>
      </c>
      <c r="V359" s="2" t="inlineStr">
        <is>
          <t>Sandsyra</t>
        </is>
      </c>
      <c r="W359">
        <f>HYPERLINK("https://klasma.github.io/Logging_2313/artfynd/A 7999-2025 artfynd.xlsx", "A 7999-2025")</f>
        <v/>
      </c>
      <c r="X359">
        <f>HYPERLINK("https://klasma.github.io/Logging_2313/kartor/A 7999-2025 karta.png", "A 7999-2025")</f>
        <v/>
      </c>
      <c r="Y359">
        <f>HYPERLINK("https://klasma.github.io/Logging_2313/kartor_geotiff/A 7999-2025 georefererad karta.tif", "A 7999-2025")</f>
        <v/>
      </c>
      <c r="AA359">
        <f>HYPERLINK("https://klasma.github.io/Logging_2313/klagomål/A 7999-2025 FSC-klagomål.docx", "A 7999-2025")</f>
        <v/>
      </c>
      <c r="AB359">
        <f>HYPERLINK("https://klasma.github.io/Logging_2313/klagomålsmail/A 7999-2025 FSC-klagomål mail.docx", "A 7999-2025")</f>
        <v/>
      </c>
      <c r="AC359">
        <f>HYPERLINK("https://klasma.github.io/Logging_2313/tillsyn/A 7999-2025 tillsynsbegäran.docx", "A 7999-2025")</f>
        <v/>
      </c>
      <c r="AD359">
        <f>HYPERLINK("https://klasma.github.io/Logging_2313/tillsynsmail/A 7999-2025 tillsynsbegäran mail.docx", "A 7999-2025")</f>
        <v/>
      </c>
    </row>
    <row r="360" ht="15" customHeight="1">
      <c r="A360" t="inlineStr">
        <is>
          <t>A 55242-2025</t>
        </is>
      </c>
      <c r="B360" t="inlineStr">
        <is>
          <t>avverkningsanmälan</t>
        </is>
      </c>
      <c r="C360" t="inlineStr">
        <is>
          <t>Föryngringsavverkning</t>
        </is>
      </c>
      <c r="D360" s="1" t="n">
        <v>45968</v>
      </c>
      <c r="E360" s="1" t="n">
        <v>46318</v>
      </c>
      <c r="F360" t="inlineStr">
        <is>
          <t>JÄMTLANDS LÄN</t>
        </is>
      </c>
      <c r="G360" t="inlineStr">
        <is>
          <t>STRÖMSUND</t>
        </is>
      </c>
      <c r="I360" t="n">
        <v>7.8</v>
      </c>
      <c r="J360" t="n">
        <v>1</v>
      </c>
      <c r="K360" t="n">
        <v>0</v>
      </c>
      <c r="L360" t="n">
        <v>0</v>
      </c>
      <c r="M360" t="n">
        <v>0</v>
      </c>
      <c r="N360" t="n">
        <v>0</v>
      </c>
      <c r="O360" t="n">
        <v>0</v>
      </c>
      <c r="P360" t="n">
        <v>0</v>
      </c>
      <c r="Q360" t="n">
        <v>0</v>
      </c>
      <c r="R360" t="n">
        <v>0</v>
      </c>
      <c r="S360" t="n">
        <v>1</v>
      </c>
      <c r="T360" t="n">
        <v>1</v>
      </c>
      <c r="U360" t="n">
        <v>0</v>
      </c>
      <c r="V360" s="2" t="inlineStr">
        <is>
          <t>Spillkråka</t>
        </is>
      </c>
      <c r="W360">
        <f>HYPERLINK("https://klasma.github.io/Logging_2313/artfynd/A 55242-2025 artfynd.xlsx", "A 55242-2025")</f>
        <v/>
      </c>
      <c r="X360">
        <f>HYPERLINK("https://klasma.github.io/Logging_2313/kartor/A 55242-2025 karta.png", "A 55242-2025")</f>
        <v/>
      </c>
      <c r="Y360">
        <f>HYPERLINK("https://klasma.github.io/Logging_2313/kartor_geotiff/A 55242-2025 georefererad karta.tif", "A 55242-2025")</f>
        <v/>
      </c>
      <c r="AA360">
        <f>HYPERLINK("https://klasma.github.io/Logging_2313/klagomål/A 55242-2025 FSC-klagomål.docx", "A 55242-2025")</f>
        <v/>
      </c>
      <c r="AB360">
        <f>HYPERLINK("https://klasma.github.io/Logging_2313/klagomålsmail/A 55242-2025 FSC-klagomål mail.docx", "A 55242-2025")</f>
        <v/>
      </c>
      <c r="AC360">
        <f>HYPERLINK("https://klasma.github.io/Logging_2313/tillsyn/A 55242-2025 tillsynsbegäran.docx", "A 55242-2025")</f>
        <v/>
      </c>
      <c r="AD360">
        <f>HYPERLINK("https://klasma.github.io/Logging_2313/tillsynsmail/A 55242-2025 tillsynsbegäran mail.docx", "A 55242-2025")</f>
        <v/>
      </c>
      <c r="AE360">
        <f>HYPERLINK("https://klasma.github.io/Logging_2313/fåglar/A 55242-2025 prioriterade fågelarter.docx", "A 55242-2025")</f>
        <v/>
      </c>
    </row>
    <row r="361" ht="15" customHeight="1">
      <c r="A361" t="inlineStr">
        <is>
          <t>A 55181-2025</t>
        </is>
      </c>
      <c r="B361" t="inlineStr">
        <is>
          <t>avverkningsanmälan</t>
        </is>
      </c>
      <c r="C361" t="inlineStr">
        <is>
          <t>Föryngringsavverkning</t>
        </is>
      </c>
      <c r="D361" s="1" t="n">
        <v>45968</v>
      </c>
      <c r="E361" s="1" t="n">
        <v>46318</v>
      </c>
      <c r="F361" t="inlineStr">
        <is>
          <t>JÄMTLANDS LÄN</t>
        </is>
      </c>
      <c r="G361" t="inlineStr">
        <is>
          <t>STRÖMSUND</t>
        </is>
      </c>
      <c r="H361" t="inlineStr">
        <is>
          <t>SCA</t>
        </is>
      </c>
      <c r="I361" t="n">
        <v>10.4</v>
      </c>
      <c r="J361" t="n">
        <v>0</v>
      </c>
      <c r="K361" t="n">
        <v>0</v>
      </c>
      <c r="L361" t="n">
        <v>1</v>
      </c>
      <c r="M361" t="n">
        <v>0</v>
      </c>
      <c r="N361" t="n">
        <v>0</v>
      </c>
      <c r="O361" t="n">
        <v>0</v>
      </c>
      <c r="P361" t="n">
        <v>0</v>
      </c>
      <c r="Q361" t="n">
        <v>1</v>
      </c>
      <c r="R361" t="n">
        <v>0</v>
      </c>
      <c r="S361" t="n">
        <v>1</v>
      </c>
      <c r="T361" t="n">
        <v>1</v>
      </c>
      <c r="U361" t="n">
        <v>0</v>
      </c>
      <c r="V361" s="2" t="inlineStr">
        <is>
          <t>Kolflarnlav</t>
        </is>
      </c>
      <c r="W361">
        <f>HYPERLINK("https://klasma.github.io/Logging_2313/artfynd/A 55181-2025 artfynd.xlsx", "A 55181-2025")</f>
        <v/>
      </c>
      <c r="X361">
        <f>HYPERLINK("https://klasma.github.io/Logging_2313/kartor/A 55181-2025 karta.png", "A 55181-2025")</f>
        <v/>
      </c>
      <c r="Y361">
        <f>HYPERLINK("https://klasma.github.io/Logging_2313/kartor_geotiff/A 55181-2025 georefererad karta.tif", "A 55181-2025")</f>
        <v/>
      </c>
      <c r="AA361">
        <f>HYPERLINK("https://klasma.github.io/Logging_2313/klagomål/A 55181-2025 FSC-klagomål.docx", "A 55181-2025")</f>
        <v/>
      </c>
      <c r="AB361">
        <f>HYPERLINK("https://klasma.github.io/Logging_2313/klagomålsmail/A 55181-2025 FSC-klagomål mail.docx", "A 55181-2025")</f>
        <v/>
      </c>
      <c r="AC361">
        <f>HYPERLINK("https://klasma.github.io/Logging_2313/tillsyn/A 55181-2025 tillsynsbegäran.docx", "A 55181-2025")</f>
        <v/>
      </c>
      <c r="AD361">
        <f>HYPERLINK("https://klasma.github.io/Logging_2313/tillsynsmail/A 55181-2025 tillsynsbegäran mail.docx", "A 55181-2025")</f>
        <v/>
      </c>
    </row>
    <row r="362" ht="15" customHeight="1">
      <c r="A362" t="inlineStr">
        <is>
          <t>A 39511-2023</t>
        </is>
      </c>
      <c r="B362" t="inlineStr">
        <is>
          <t>avverkningsanmälan</t>
        </is>
      </c>
      <c r="C362" t="inlineStr">
        <is>
          <t>Föryngringsavverkning</t>
        </is>
      </c>
      <c r="D362" s="1" t="n">
        <v>45166</v>
      </c>
      <c r="E362" s="1" t="n">
        <v>46318</v>
      </c>
      <c r="F362" t="inlineStr">
        <is>
          <t>JÄMTLANDS LÄN</t>
        </is>
      </c>
      <c r="G362" t="inlineStr">
        <is>
          <t>STRÖMSUND</t>
        </is>
      </c>
      <c r="H362" t="inlineStr">
        <is>
          <t>SCA</t>
        </is>
      </c>
      <c r="I362" t="n">
        <v>3.7</v>
      </c>
      <c r="J362" t="n">
        <v>0</v>
      </c>
      <c r="K362" t="n">
        <v>0</v>
      </c>
      <c r="L362" t="n">
        <v>1</v>
      </c>
      <c r="M362" t="n">
        <v>0</v>
      </c>
      <c r="N362" t="n">
        <v>0</v>
      </c>
      <c r="O362" t="n">
        <v>0</v>
      </c>
      <c r="P362" t="n">
        <v>0</v>
      </c>
      <c r="Q362" t="n">
        <v>1</v>
      </c>
      <c r="R362" t="n">
        <v>0</v>
      </c>
      <c r="S362" t="n">
        <v>1</v>
      </c>
      <c r="T362" t="n">
        <v>1</v>
      </c>
      <c r="U362" t="n">
        <v>0</v>
      </c>
      <c r="V362" s="2" t="inlineStr">
        <is>
          <t>Rosenticka</t>
        </is>
      </c>
      <c r="W362">
        <f>HYPERLINK("https://klasma.github.io/Logging_2313/artfynd/A 39511-2023 artfynd.xlsx", "A 39511-2023")</f>
        <v/>
      </c>
      <c r="X362">
        <f>HYPERLINK("https://klasma.github.io/Logging_2313/kartor/A 39511-2023 karta.png", "A 39511-2023")</f>
        <v/>
      </c>
      <c r="Y362">
        <f>HYPERLINK("https://klasma.github.io/Logging_2313/kartor_geotiff/A 39511-2023 georefererad karta.tif", "A 39511-2023")</f>
        <v/>
      </c>
      <c r="AA362">
        <f>HYPERLINK("https://klasma.github.io/Logging_2313/klagomål/A 39511-2023 FSC-klagomål.docx", "A 39511-2023")</f>
        <v/>
      </c>
      <c r="AB362">
        <f>HYPERLINK("https://klasma.github.io/Logging_2313/klagomålsmail/A 39511-2023 FSC-klagomål mail.docx", "A 39511-2023")</f>
        <v/>
      </c>
      <c r="AC362">
        <f>HYPERLINK("https://klasma.github.io/Logging_2313/tillsyn/A 39511-2023 tillsynsbegäran.docx", "A 39511-2023")</f>
        <v/>
      </c>
      <c r="AD362">
        <f>HYPERLINK("https://klasma.github.io/Logging_2313/tillsynsmail/A 39511-2023 tillsynsbegäran mail.docx", "A 39511-2023")</f>
        <v/>
      </c>
    </row>
    <row r="363" ht="15" customHeight="1">
      <c r="A363" t="inlineStr">
        <is>
          <t>A 55530-2022</t>
        </is>
      </c>
      <c r="B363" t="inlineStr">
        <is>
          <t>avverkningsanmälan</t>
        </is>
      </c>
      <c r="C363" t="inlineStr">
        <is>
          <t>Avverkning för att bevara och utveckla /försöksver</t>
        </is>
      </c>
      <c r="D363" s="1" t="n">
        <v>44887</v>
      </c>
      <c r="E363" s="1" t="n">
        <v>46318</v>
      </c>
      <c r="F363" t="inlineStr">
        <is>
          <t>JÄMTLANDS LÄN</t>
        </is>
      </c>
      <c r="G363" t="inlineStr">
        <is>
          <t>STRÖMSUND</t>
        </is>
      </c>
      <c r="H363" t="inlineStr">
        <is>
          <t>SCA</t>
        </is>
      </c>
      <c r="I363" t="n">
        <v>5.5</v>
      </c>
      <c r="J363" t="n">
        <v>0</v>
      </c>
      <c r="K363" t="n">
        <v>0</v>
      </c>
      <c r="L363" t="n">
        <v>1</v>
      </c>
      <c r="M363" t="n">
        <v>0</v>
      </c>
      <c r="N363" t="n">
        <v>0</v>
      </c>
      <c r="O363" t="n">
        <v>0</v>
      </c>
      <c r="P363" t="n">
        <v>0</v>
      </c>
      <c r="Q363" t="n">
        <v>1</v>
      </c>
      <c r="R363" t="n">
        <v>0</v>
      </c>
      <c r="S363" t="n">
        <v>1</v>
      </c>
      <c r="T363" t="n">
        <v>1</v>
      </c>
      <c r="U363" t="n">
        <v>0</v>
      </c>
      <c r="V363" s="2" t="inlineStr">
        <is>
          <t>Lunglav</t>
        </is>
      </c>
      <c r="W363">
        <f>HYPERLINK("https://klasma.github.io/Logging_2313/artfynd/A 55530-2022 artfynd.xlsx", "A 55530-2022")</f>
        <v/>
      </c>
      <c r="X363">
        <f>HYPERLINK("https://klasma.github.io/Logging_2313/kartor/A 55530-2022 karta.png", "A 55530-2022")</f>
        <v/>
      </c>
      <c r="Y363">
        <f>HYPERLINK("https://klasma.github.io/Logging_2313/kartor_geotiff/A 55530-2022 georefererad karta.tif", "A 55530-2022")</f>
        <v/>
      </c>
      <c r="AA363">
        <f>HYPERLINK("https://klasma.github.io/Logging_2313/klagomål/A 55530-2022 FSC-klagomål.docx", "A 55530-2022")</f>
        <v/>
      </c>
      <c r="AB363">
        <f>HYPERLINK("https://klasma.github.io/Logging_2313/klagomålsmail/A 55530-2022 FSC-klagomål mail.docx", "A 55530-2022")</f>
        <v/>
      </c>
      <c r="AC363">
        <f>HYPERLINK("https://klasma.github.io/Logging_2313/tillsyn/A 55530-2022 tillsynsbegäran.docx", "A 55530-2022")</f>
        <v/>
      </c>
      <c r="AD363">
        <f>HYPERLINK("https://klasma.github.io/Logging_2313/tillsynsmail/A 55530-2022 tillsynsbegäran mail.docx", "A 55530-2022")</f>
        <v/>
      </c>
    </row>
    <row r="364" ht="15" customHeight="1">
      <c r="A364" t="inlineStr">
        <is>
          <t>A 20887-2026</t>
        </is>
      </c>
      <c r="B364" t="inlineStr">
        <is>
          <t>avverkningsanmälan</t>
        </is>
      </c>
      <c r="C364" t="inlineStr">
        <is>
          <t>Föryngringsavverkning</t>
        </is>
      </c>
      <c r="D364" s="1" t="n">
        <v>46142</v>
      </c>
      <c r="E364" s="1" t="n">
        <v>46318</v>
      </c>
      <c r="F364" t="inlineStr">
        <is>
          <t>JÄMTLANDS LÄN</t>
        </is>
      </c>
      <c r="G364" t="inlineStr">
        <is>
          <t>STRÖMSUND</t>
        </is>
      </c>
      <c r="H364" t="inlineStr">
        <is>
          <t>Holmen skog AB</t>
        </is>
      </c>
      <c r="I364" t="n">
        <v>6.4</v>
      </c>
      <c r="J364" t="n">
        <v>1</v>
      </c>
      <c r="K364" t="n">
        <v>0</v>
      </c>
      <c r="L364" t="n">
        <v>0</v>
      </c>
      <c r="M364" t="n">
        <v>1</v>
      </c>
      <c r="N364" t="n">
        <v>0</v>
      </c>
      <c r="O364" t="n">
        <v>0</v>
      </c>
      <c r="P364" t="n">
        <v>0</v>
      </c>
      <c r="Q364" t="n">
        <v>1</v>
      </c>
      <c r="R364" t="n">
        <v>1</v>
      </c>
      <c r="S364" t="n">
        <v>1</v>
      </c>
      <c r="T364" t="n">
        <v>1</v>
      </c>
      <c r="U364" t="n">
        <v>0</v>
      </c>
      <c r="V364" s="2" t="inlineStr">
        <is>
          <t>Lappuggla</t>
        </is>
      </c>
      <c r="W364">
        <f>HYPERLINK("https://klasma.github.io/Logging_2313/artfynd/A 20887-2026 artfynd.xlsx", "A 20887-2026")</f>
        <v/>
      </c>
      <c r="X364">
        <f>HYPERLINK("https://klasma.github.io/Logging_2313/kartor/A 20887-2026 karta.png", "A 20887-2026")</f>
        <v/>
      </c>
      <c r="Y364">
        <f>HYPERLINK("https://klasma.github.io/Logging_2313/kartor_geotiff/A 20887-2026 georefererad karta.tif", "A 20887-2026")</f>
        <v/>
      </c>
      <c r="AA364">
        <f>HYPERLINK("https://klasma.github.io/Logging_2313/klagomål/A 20887-2026 FSC-klagomål.docx", "A 20887-2026")</f>
        <v/>
      </c>
      <c r="AB364">
        <f>HYPERLINK("https://klasma.github.io/Logging_2313/klagomålsmail/A 20887-2026 FSC-klagomål mail.docx", "A 20887-2026")</f>
        <v/>
      </c>
      <c r="AC364">
        <f>HYPERLINK("https://klasma.github.io/Logging_2313/tillsyn/A 20887-2026 tillsynsbegäran.docx", "A 20887-2026")</f>
        <v/>
      </c>
      <c r="AD364">
        <f>HYPERLINK("https://klasma.github.io/Logging_2313/tillsynsmail/A 20887-2026 tillsynsbegäran mail.docx", "A 20887-2026")</f>
        <v/>
      </c>
      <c r="AE364">
        <f>HYPERLINK("https://klasma.github.io/Logging_2313/fåglar/A 20887-2026 prioriterade fågelarter.docx", "A 20887-2026")</f>
        <v/>
      </c>
    </row>
    <row r="365" ht="15" customHeight="1">
      <c r="A365" t="inlineStr">
        <is>
          <t>A 56486-2025</t>
        </is>
      </c>
      <c r="B365" t="inlineStr">
        <is>
          <t>avverkningsanmälan</t>
        </is>
      </c>
      <c r="C365" t="inlineStr">
        <is>
          <t>Föryngringsavverkning</t>
        </is>
      </c>
      <c r="D365" s="1" t="n">
        <v>45975</v>
      </c>
      <c r="E365" s="1" t="n">
        <v>46318</v>
      </c>
      <c r="F365" t="inlineStr">
        <is>
          <t>JÄMTLANDS LÄN</t>
        </is>
      </c>
      <c r="G365" t="inlineStr">
        <is>
          <t>STRÖMSUND</t>
        </is>
      </c>
      <c r="H365" t="inlineStr">
        <is>
          <t>SCA</t>
        </is>
      </c>
      <c r="I365" t="n">
        <v>1.7</v>
      </c>
      <c r="J365" t="n">
        <v>0</v>
      </c>
      <c r="K365" t="n">
        <v>1</v>
      </c>
      <c r="L365" t="n">
        <v>0</v>
      </c>
      <c r="M365" t="n">
        <v>0</v>
      </c>
      <c r="N365" t="n">
        <v>0</v>
      </c>
      <c r="O365" t="n">
        <v>0</v>
      </c>
      <c r="P365" t="n">
        <v>0</v>
      </c>
      <c r="Q365" t="n">
        <v>0</v>
      </c>
      <c r="R365" t="n">
        <v>0</v>
      </c>
      <c r="S365" t="n">
        <v>1</v>
      </c>
      <c r="T365" t="n">
        <v>1</v>
      </c>
      <c r="U365" t="n">
        <v>0</v>
      </c>
      <c r="V365" s="2" t="inlineStr">
        <is>
          <t>Gulnål</t>
        </is>
      </c>
      <c r="W365">
        <f>HYPERLINK("https://klasma.github.io/Logging_2313/artfynd/A 56486-2025 artfynd.xlsx", "A 56486-2025")</f>
        <v/>
      </c>
      <c r="X365">
        <f>HYPERLINK("https://klasma.github.io/Logging_2313/kartor/A 56486-2025 karta.png", "A 56486-2025")</f>
        <v/>
      </c>
      <c r="Y365">
        <f>HYPERLINK("https://klasma.github.io/Logging_2313/kartor_geotiff/A 56486-2025 georefererad karta.tif", "A 56486-2025")</f>
        <v/>
      </c>
      <c r="AA365">
        <f>HYPERLINK("https://klasma.github.io/Logging_2313/klagomål/A 56486-2025 FSC-klagomål.docx", "A 56486-2025")</f>
        <v/>
      </c>
      <c r="AB365">
        <f>HYPERLINK("https://klasma.github.io/Logging_2313/klagomålsmail/A 56486-2025 FSC-klagomål mail.docx", "A 56486-2025")</f>
        <v/>
      </c>
      <c r="AC365">
        <f>HYPERLINK("https://klasma.github.io/Logging_2313/tillsyn/A 56486-2025 tillsynsbegäran.docx", "A 56486-2025")</f>
        <v/>
      </c>
      <c r="AD365">
        <f>HYPERLINK("https://klasma.github.io/Logging_2313/tillsynsmail/A 56486-2025 tillsynsbegäran mail.docx", "A 56486-2025")</f>
        <v/>
      </c>
    </row>
    <row r="366" ht="15" customHeight="1">
      <c r="A366" t="inlineStr">
        <is>
          <t>A 59840-2025</t>
        </is>
      </c>
      <c r="B366" t="inlineStr">
        <is>
          <t>avverkningsanmälan</t>
        </is>
      </c>
      <c r="C366" t="inlineStr">
        <is>
          <t>Avverkning för att bevara och utveckla /försöksver</t>
        </is>
      </c>
      <c r="D366" s="1" t="n">
        <v>45992</v>
      </c>
      <c r="E366" s="1" t="n">
        <v>46318</v>
      </c>
      <c r="F366" t="inlineStr">
        <is>
          <t>JÄMTLANDS LÄN</t>
        </is>
      </c>
      <c r="G366" t="inlineStr">
        <is>
          <t>STRÖMSUND</t>
        </is>
      </c>
      <c r="H366" t="inlineStr">
        <is>
          <t>SCA</t>
        </is>
      </c>
      <c r="I366" t="n">
        <v>1.6</v>
      </c>
      <c r="J366" t="n">
        <v>0</v>
      </c>
      <c r="K366" t="n">
        <v>0</v>
      </c>
      <c r="L366" t="n">
        <v>0</v>
      </c>
      <c r="M366" t="n">
        <v>1</v>
      </c>
      <c r="N366" t="n">
        <v>0</v>
      </c>
      <c r="O366" t="n">
        <v>0</v>
      </c>
      <c r="P366" t="n">
        <v>0</v>
      </c>
      <c r="Q366" t="n">
        <v>1</v>
      </c>
      <c r="R366" t="n">
        <v>1</v>
      </c>
      <c r="S366" t="n">
        <v>1</v>
      </c>
      <c r="T366" t="n">
        <v>1</v>
      </c>
      <c r="U366" t="n">
        <v>0</v>
      </c>
      <c r="V366" s="2" t="inlineStr">
        <is>
          <t>Garnlav</t>
        </is>
      </c>
      <c r="W366">
        <f>HYPERLINK("https://klasma.github.io/Logging_2313/artfynd/A 59840-2025 artfynd.xlsx", "A 59840-2025")</f>
        <v/>
      </c>
      <c r="X366">
        <f>HYPERLINK("https://klasma.github.io/Logging_2313/kartor/A 59840-2025 karta.png", "A 59840-2025")</f>
        <v/>
      </c>
      <c r="Y366">
        <f>HYPERLINK("https://klasma.github.io/Logging_2313/kartor_geotiff/A 59840-2025 georefererad karta.tif", "A 59840-2025")</f>
        <v/>
      </c>
      <c r="AA366">
        <f>HYPERLINK("https://klasma.github.io/Logging_2313/klagomål/A 59840-2025 FSC-klagomål.docx", "A 59840-2025")</f>
        <v/>
      </c>
      <c r="AB366">
        <f>HYPERLINK("https://klasma.github.io/Logging_2313/klagomålsmail/A 59840-2025 FSC-klagomål mail.docx", "A 59840-2025")</f>
        <v/>
      </c>
      <c r="AC366">
        <f>HYPERLINK("https://klasma.github.io/Logging_2313/tillsyn/A 59840-2025 tillsynsbegäran.docx", "A 59840-2025")</f>
        <v/>
      </c>
      <c r="AD366">
        <f>HYPERLINK("https://klasma.github.io/Logging_2313/tillsynsmail/A 59840-2025 tillsynsbegäran mail.docx", "A 59840-2025")</f>
        <v/>
      </c>
    </row>
    <row r="367" ht="15" customHeight="1">
      <c r="A367" t="inlineStr">
        <is>
          <t>A 31684-2024</t>
        </is>
      </c>
      <c r="B367" t="inlineStr">
        <is>
          <t>avverkningsanmälan</t>
        </is>
      </c>
      <c r="C367" t="inlineStr">
        <is>
          <t>Föryngringsavverkning</t>
        </is>
      </c>
      <c r="D367" s="1" t="n">
        <v>45506</v>
      </c>
      <c r="E367" s="1" t="n">
        <v>46318</v>
      </c>
      <c r="F367" t="inlineStr">
        <is>
          <t>JÄMTLANDS LÄN</t>
        </is>
      </c>
      <c r="G367" t="inlineStr">
        <is>
          <t>STRÖMSUND</t>
        </is>
      </c>
      <c r="H367" t="inlineStr">
        <is>
          <t>SCA</t>
        </is>
      </c>
      <c r="I367" t="n">
        <v>5.4</v>
      </c>
      <c r="J367" t="n">
        <v>0</v>
      </c>
      <c r="K367" t="n">
        <v>0</v>
      </c>
      <c r="L367" t="n">
        <v>1</v>
      </c>
      <c r="M367" t="n">
        <v>0</v>
      </c>
      <c r="N367" t="n">
        <v>0</v>
      </c>
      <c r="O367" t="n">
        <v>0</v>
      </c>
      <c r="P367" t="n">
        <v>0</v>
      </c>
      <c r="Q367" t="n">
        <v>1</v>
      </c>
      <c r="R367" t="n">
        <v>0</v>
      </c>
      <c r="S367" t="n">
        <v>1</v>
      </c>
      <c r="T367" t="n">
        <v>1</v>
      </c>
      <c r="U367" t="n">
        <v>0</v>
      </c>
      <c r="V367" s="2" t="inlineStr">
        <is>
          <t>Skrovellav</t>
        </is>
      </c>
      <c r="W367">
        <f>HYPERLINK("https://klasma.github.io/Logging_2313/artfynd/A 31684-2024 artfynd.xlsx", "A 31684-2024")</f>
        <v/>
      </c>
      <c r="X367">
        <f>HYPERLINK("https://klasma.github.io/Logging_2313/kartor/A 31684-2024 karta.png", "A 31684-2024")</f>
        <v/>
      </c>
      <c r="Y367">
        <f>HYPERLINK("https://klasma.github.io/Logging_2313/kartor_geotiff/A 31684-2024 georefererad karta.tif", "A 31684-2024")</f>
        <v/>
      </c>
      <c r="AA367">
        <f>HYPERLINK("https://klasma.github.io/Logging_2313/klagomål/A 31684-2024 FSC-klagomål.docx", "A 31684-2024")</f>
        <v/>
      </c>
      <c r="AB367">
        <f>HYPERLINK("https://klasma.github.io/Logging_2313/klagomålsmail/A 31684-2024 FSC-klagomål mail.docx", "A 31684-2024")</f>
        <v/>
      </c>
      <c r="AC367">
        <f>HYPERLINK("https://klasma.github.io/Logging_2313/tillsyn/A 31684-2024 tillsynsbegäran.docx", "A 31684-2024")</f>
        <v/>
      </c>
      <c r="AD367">
        <f>HYPERLINK("https://klasma.github.io/Logging_2313/tillsynsmail/A 31684-2024 tillsynsbegäran mail.docx", "A 31684-2024")</f>
        <v/>
      </c>
    </row>
    <row r="368" ht="15" customHeight="1">
      <c r="A368" t="inlineStr">
        <is>
          <t>A 59735-2025</t>
        </is>
      </c>
      <c r="B368" t="inlineStr">
        <is>
          <t>avverkningsanmälan</t>
        </is>
      </c>
      <c r="C368" t="inlineStr">
        <is>
          <t>Föryngringsavverkning</t>
        </is>
      </c>
      <c r="D368" s="1" t="n">
        <v>45992</v>
      </c>
      <c r="E368" s="1" t="n">
        <v>46318</v>
      </c>
      <c r="F368" t="inlineStr">
        <is>
          <t>JÄMTLANDS LÄN</t>
        </is>
      </c>
      <c r="G368" t="inlineStr">
        <is>
          <t>STRÖMSUND</t>
        </is>
      </c>
      <c r="H368" t="inlineStr">
        <is>
          <t>SCA</t>
        </is>
      </c>
      <c r="I368" t="n">
        <v>13.5</v>
      </c>
      <c r="J368" t="n">
        <v>0</v>
      </c>
      <c r="K368" t="n">
        <v>1</v>
      </c>
      <c r="L368" t="n">
        <v>0</v>
      </c>
      <c r="M368" t="n">
        <v>0</v>
      </c>
      <c r="N368" t="n">
        <v>0</v>
      </c>
      <c r="O368" t="n">
        <v>0</v>
      </c>
      <c r="P368" t="n">
        <v>0</v>
      </c>
      <c r="Q368" t="n">
        <v>0</v>
      </c>
      <c r="R368" t="n">
        <v>0</v>
      </c>
      <c r="S368" t="n">
        <v>1</v>
      </c>
      <c r="T368" t="n">
        <v>1</v>
      </c>
      <c r="U368" t="n">
        <v>0</v>
      </c>
      <c r="V368" s="2" t="inlineStr">
        <is>
          <t>Skinnlav</t>
        </is>
      </c>
      <c r="W368">
        <f>HYPERLINK("https://klasma.github.io/Logging_2313/artfynd/A 59735-2025 artfynd.xlsx", "A 59735-2025")</f>
        <v/>
      </c>
      <c r="X368">
        <f>HYPERLINK("https://klasma.github.io/Logging_2313/kartor/A 59735-2025 karta.png", "A 59735-2025")</f>
        <v/>
      </c>
      <c r="Y368">
        <f>HYPERLINK("https://klasma.github.io/Logging_2313/kartor_geotiff/A 59735-2025 georefererad karta.tif", "A 59735-2025")</f>
        <v/>
      </c>
      <c r="AA368">
        <f>HYPERLINK("https://klasma.github.io/Logging_2313/klagomål/A 59735-2025 FSC-klagomål.docx", "A 59735-2025")</f>
        <v/>
      </c>
      <c r="AB368">
        <f>HYPERLINK("https://klasma.github.io/Logging_2313/klagomålsmail/A 59735-2025 FSC-klagomål mail.docx", "A 59735-2025")</f>
        <v/>
      </c>
      <c r="AC368">
        <f>HYPERLINK("https://klasma.github.io/Logging_2313/tillsyn/A 59735-2025 tillsynsbegäran.docx", "A 59735-2025")</f>
        <v/>
      </c>
      <c r="AD368">
        <f>HYPERLINK("https://klasma.github.io/Logging_2313/tillsynsmail/A 59735-2025 tillsynsbegäran mail.docx", "A 59735-2025")</f>
        <v/>
      </c>
    </row>
    <row r="369" ht="15" customHeight="1">
      <c r="A369" t="inlineStr">
        <is>
          <t>A 6961-2024</t>
        </is>
      </c>
      <c r="B369" t="inlineStr">
        <is>
          <t>avverkningsanmälan</t>
        </is>
      </c>
      <c r="C369" t="inlineStr">
        <is>
          <t>Föryngringsavverkning</t>
        </is>
      </c>
      <c r="D369" s="1" t="n">
        <v>45343</v>
      </c>
      <c r="E369" s="1" t="n">
        <v>46318</v>
      </c>
      <c r="F369" t="inlineStr">
        <is>
          <t>JÄMTLANDS LÄN</t>
        </is>
      </c>
      <c r="G369" t="inlineStr">
        <is>
          <t>STRÖMSUND</t>
        </is>
      </c>
      <c r="I369" t="n">
        <v>2.9</v>
      </c>
      <c r="J369" t="n">
        <v>1</v>
      </c>
      <c r="K369" t="n">
        <v>0</v>
      </c>
      <c r="L369" t="n">
        <v>0</v>
      </c>
      <c r="M369" t="n">
        <v>0</v>
      </c>
      <c r="N369" t="n">
        <v>0</v>
      </c>
      <c r="O369" t="n">
        <v>0</v>
      </c>
      <c r="P369" t="n">
        <v>0</v>
      </c>
      <c r="Q369" t="n">
        <v>0</v>
      </c>
      <c r="R369" t="n">
        <v>0</v>
      </c>
      <c r="S369" t="n">
        <v>1</v>
      </c>
      <c r="T369" t="n">
        <v>1</v>
      </c>
      <c r="U369" t="n">
        <v>0</v>
      </c>
      <c r="V369" s="2" t="inlineStr">
        <is>
          <t>Brudsporre</t>
        </is>
      </c>
      <c r="W369">
        <f>HYPERLINK("https://klasma.github.io/Logging_2313/artfynd/A 6961-2024 artfynd.xlsx", "A 6961-2024")</f>
        <v/>
      </c>
      <c r="X369">
        <f>HYPERLINK("https://klasma.github.io/Logging_2313/kartor/A 6961-2024 karta.png", "A 6961-2024")</f>
        <v/>
      </c>
      <c r="Y369">
        <f>HYPERLINK("https://klasma.github.io/Logging_2313/kartor_geotiff/A 6961-2024 georefererad karta.tif", "A 6961-2024")</f>
        <v/>
      </c>
      <c r="AA369">
        <f>HYPERLINK("https://klasma.github.io/Logging_2313/klagomål/A 6961-2024 FSC-klagomål.docx", "A 6961-2024")</f>
        <v/>
      </c>
      <c r="AB369">
        <f>HYPERLINK("https://klasma.github.io/Logging_2313/klagomålsmail/A 6961-2024 FSC-klagomål mail.docx", "A 6961-2024")</f>
        <v/>
      </c>
      <c r="AC369">
        <f>HYPERLINK("https://klasma.github.io/Logging_2313/tillsyn/A 6961-2024 tillsynsbegäran.docx", "A 6961-2024")</f>
        <v/>
      </c>
      <c r="AD369">
        <f>HYPERLINK("https://klasma.github.io/Logging_2313/tillsynsmail/A 6961-2024 tillsynsbegäran mail.docx", "A 6961-2024")</f>
        <v/>
      </c>
    </row>
    <row r="370" ht="15" customHeight="1">
      <c r="A370" t="inlineStr">
        <is>
          <t>A 44603-2024</t>
        </is>
      </c>
      <c r="B370" t="inlineStr">
        <is>
          <t>avverkningsanmälan</t>
        </is>
      </c>
      <c r="C370" t="inlineStr">
        <is>
          <t>Föryngringsavverkning</t>
        </is>
      </c>
      <c r="D370" s="1" t="n">
        <v>45574</v>
      </c>
      <c r="E370" s="1" t="n">
        <v>46318</v>
      </c>
      <c r="F370" t="inlineStr">
        <is>
          <t>JÄMTLANDS LÄN</t>
        </is>
      </c>
      <c r="G370" t="inlineStr">
        <is>
          <t>STRÖMSUND</t>
        </is>
      </c>
      <c r="H370" t="inlineStr">
        <is>
          <t>SCA</t>
        </is>
      </c>
      <c r="I370" t="n">
        <v>4.6</v>
      </c>
      <c r="J370" t="n">
        <v>0</v>
      </c>
      <c r="K370" t="n">
        <v>0</v>
      </c>
      <c r="L370" t="n">
        <v>0</v>
      </c>
      <c r="M370" t="n">
        <v>1</v>
      </c>
      <c r="N370" t="n">
        <v>0</v>
      </c>
      <c r="O370" t="n">
        <v>0</v>
      </c>
      <c r="P370" t="n">
        <v>0</v>
      </c>
      <c r="Q370" t="n">
        <v>1</v>
      </c>
      <c r="R370" t="n">
        <v>1</v>
      </c>
      <c r="S370" t="n">
        <v>1</v>
      </c>
      <c r="T370" t="n">
        <v>1</v>
      </c>
      <c r="U370" t="n">
        <v>0</v>
      </c>
      <c r="V370" s="2" t="inlineStr">
        <is>
          <t>Norsk näverlav</t>
        </is>
      </c>
      <c r="W370">
        <f>HYPERLINK("https://klasma.github.io/Logging_2313/artfynd/A 44603-2024 artfynd.xlsx", "A 44603-2024")</f>
        <v/>
      </c>
      <c r="X370">
        <f>HYPERLINK("https://klasma.github.io/Logging_2313/kartor/A 44603-2024 karta.png", "A 44603-2024")</f>
        <v/>
      </c>
      <c r="Y370">
        <f>HYPERLINK("https://klasma.github.io/Logging_2313/kartor_geotiff/A 44603-2024 georefererad karta.tif", "A 44603-2024")</f>
        <v/>
      </c>
      <c r="AA370">
        <f>HYPERLINK("https://klasma.github.io/Logging_2313/klagomål/A 44603-2024 FSC-klagomål.docx", "A 44603-2024")</f>
        <v/>
      </c>
      <c r="AB370">
        <f>HYPERLINK("https://klasma.github.io/Logging_2313/klagomålsmail/A 44603-2024 FSC-klagomål mail.docx", "A 44603-2024")</f>
        <v/>
      </c>
      <c r="AC370">
        <f>HYPERLINK("https://klasma.github.io/Logging_2313/tillsyn/A 44603-2024 tillsynsbegäran.docx", "A 44603-2024")</f>
        <v/>
      </c>
      <c r="AD370">
        <f>HYPERLINK("https://klasma.github.io/Logging_2313/tillsynsmail/A 44603-2024 tillsynsbegäran mail.docx", "A 44603-2024")</f>
        <v/>
      </c>
    </row>
    <row r="371" ht="15" customHeight="1">
      <c r="A371" t="inlineStr">
        <is>
          <t>A 22814-2026</t>
        </is>
      </c>
      <c r="B371" t="inlineStr">
        <is>
          <t>avverkningsanmälan</t>
        </is>
      </c>
      <c r="C371" t="inlineStr">
        <is>
          <t>Föryngringsavverkning</t>
        </is>
      </c>
      <c r="D371" s="1" t="n">
        <v>46160</v>
      </c>
      <c r="E371" s="1" t="n">
        <v>46318</v>
      </c>
      <c r="F371" t="inlineStr">
        <is>
          <t>JÄMTLANDS LÄN</t>
        </is>
      </c>
      <c r="G371" t="inlineStr">
        <is>
          <t>STRÖMSUND</t>
        </is>
      </c>
      <c r="H371" t="inlineStr">
        <is>
          <t>SCA</t>
        </is>
      </c>
      <c r="I371" t="n">
        <v>0.8</v>
      </c>
      <c r="J371" t="n">
        <v>1</v>
      </c>
      <c r="K371" t="n">
        <v>0</v>
      </c>
      <c r="L371" t="n">
        <v>0</v>
      </c>
      <c r="M371" t="n">
        <v>0</v>
      </c>
      <c r="N371" t="n">
        <v>0</v>
      </c>
      <c r="O371" t="n">
        <v>0</v>
      </c>
      <c r="P371" t="n">
        <v>0</v>
      </c>
      <c r="Q371" t="n">
        <v>0</v>
      </c>
      <c r="R371" t="n">
        <v>0</v>
      </c>
      <c r="S371" t="n">
        <v>1</v>
      </c>
      <c r="T371" t="n">
        <v>2</v>
      </c>
      <c r="U371" t="n">
        <v>2</v>
      </c>
      <c r="V371" s="2" t="inlineStr">
        <is>
          <t>Fläcknycklar</t>
        </is>
      </c>
      <c r="W371">
        <f>HYPERLINK("https://klasma.github.io/Logging_2313/artfynd/A 22814-2026 artfynd.xlsx", "A 22814-2026")</f>
        <v/>
      </c>
      <c r="X371">
        <f>HYPERLINK("https://klasma.github.io/Logging_2313/kartor/A 22814-2026 karta.png", "A 22814-2026")</f>
        <v/>
      </c>
      <c r="Y371">
        <f>HYPERLINK("https://klasma.github.io/Logging_2313/kartor_geotiff/A 22814-2026 georefererad karta.tif", "A 22814-2026")</f>
        <v/>
      </c>
      <c r="AA371">
        <f>HYPERLINK("https://klasma.github.io/Logging_2313/klagomål/A 22814-2026 FSC-klagomål.docx", "A 22814-2026")</f>
        <v/>
      </c>
      <c r="AB371">
        <f>HYPERLINK("https://klasma.github.io/Logging_2313/klagomålsmail/A 22814-2026 FSC-klagomål mail.docx", "A 22814-2026")</f>
        <v/>
      </c>
      <c r="AC371">
        <f>HYPERLINK("https://klasma.github.io/Logging_2313/tillsyn/A 22814-2026 tillsynsbegäran.docx", "A 22814-2026")</f>
        <v/>
      </c>
      <c r="AD371">
        <f>HYPERLINK("https://klasma.github.io/Logging_2313/tillsynsmail/A 22814-2026 tillsynsbegäran mail.docx", "A 22814-2026")</f>
        <v/>
      </c>
    </row>
    <row r="372" ht="15" customHeight="1">
      <c r="A372" t="inlineStr">
        <is>
          <t>A 62213-2025</t>
        </is>
      </c>
      <c r="B372" t="inlineStr">
        <is>
          <t>avverkningsanmälan</t>
        </is>
      </c>
      <c r="C372" t="inlineStr">
        <is>
          <t>Föryngringsavverkning</t>
        </is>
      </c>
      <c r="D372" s="1" t="n">
        <v>46006</v>
      </c>
      <c r="E372" s="1" t="n">
        <v>46318</v>
      </c>
      <c r="F372" t="inlineStr">
        <is>
          <t>JÄMTLANDS LÄN</t>
        </is>
      </c>
      <c r="G372" t="inlineStr">
        <is>
          <t>STRÖMSUND</t>
        </is>
      </c>
      <c r="H372" t="inlineStr">
        <is>
          <t>SCA</t>
        </is>
      </c>
      <c r="I372" t="n">
        <v>1.4</v>
      </c>
      <c r="J372" t="n">
        <v>1</v>
      </c>
      <c r="K372" t="n">
        <v>0</v>
      </c>
      <c r="L372" t="n">
        <v>0</v>
      </c>
      <c r="M372" t="n">
        <v>1</v>
      </c>
      <c r="N372" t="n">
        <v>0</v>
      </c>
      <c r="O372" t="n">
        <v>0</v>
      </c>
      <c r="P372" t="n">
        <v>0</v>
      </c>
      <c r="Q372" t="n">
        <v>1</v>
      </c>
      <c r="R372" t="n">
        <v>1</v>
      </c>
      <c r="S372" t="n">
        <v>1</v>
      </c>
      <c r="T372" t="n">
        <v>1</v>
      </c>
      <c r="U372" t="n">
        <v>0</v>
      </c>
      <c r="V372" s="2" t="inlineStr">
        <is>
          <t>Knärot</t>
        </is>
      </c>
      <c r="W372">
        <f>HYPERLINK("https://klasma.github.io/Logging_2313/artfynd/A 62213-2025 artfynd.xlsx", "A 62213-2025")</f>
        <v/>
      </c>
      <c r="X372">
        <f>HYPERLINK("https://klasma.github.io/Logging_2313/kartor/A 62213-2025 karta.png", "A 62213-2025")</f>
        <v/>
      </c>
      <c r="Y372">
        <f>HYPERLINK("https://klasma.github.io/Logging_2313/kartor_geotiff/A 62213-2025 georefererad karta.tif", "A 62213-2025")</f>
        <v/>
      </c>
      <c r="Z372">
        <f>HYPERLINK("https://klasma.github.io/Logging_2313/knärot/A 62213-2025 karta knärot.png", "A 62213-2025")</f>
        <v/>
      </c>
      <c r="AA372">
        <f>HYPERLINK("https://klasma.github.io/Logging_2313/klagomål/A 62213-2025 FSC-klagomål.docx", "A 62213-2025")</f>
        <v/>
      </c>
      <c r="AB372">
        <f>HYPERLINK("https://klasma.github.io/Logging_2313/klagomålsmail/A 62213-2025 FSC-klagomål mail.docx", "A 62213-2025")</f>
        <v/>
      </c>
      <c r="AC372">
        <f>HYPERLINK("https://klasma.github.io/Logging_2313/tillsyn/A 62213-2025 tillsynsbegäran.docx", "A 62213-2025")</f>
        <v/>
      </c>
      <c r="AD372">
        <f>HYPERLINK("https://klasma.github.io/Logging_2313/tillsynsmail/A 62213-2025 tillsynsbegäran mail.docx", "A 62213-2025")</f>
        <v/>
      </c>
    </row>
    <row r="373" ht="15" customHeight="1">
      <c r="A373" t="inlineStr">
        <is>
          <t>A 17568-2026</t>
        </is>
      </c>
      <c r="B373" t="inlineStr">
        <is>
          <t>avverkningsanmälan</t>
        </is>
      </c>
      <c r="C373" t="inlineStr">
        <is>
          <t>Föryngringsavverkning</t>
        </is>
      </c>
      <c r="D373" s="1" t="n">
        <v>46121</v>
      </c>
      <c r="E373" s="1" t="n">
        <v>46318</v>
      </c>
      <c r="F373" t="inlineStr">
        <is>
          <t>JÄMTLANDS LÄN</t>
        </is>
      </c>
      <c r="G373" t="inlineStr">
        <is>
          <t>STRÖMSUND</t>
        </is>
      </c>
      <c r="I373" t="n">
        <v>5.6</v>
      </c>
      <c r="J373" t="n">
        <v>1</v>
      </c>
      <c r="K373" t="n">
        <v>0</v>
      </c>
      <c r="L373" t="n">
        <v>0</v>
      </c>
      <c r="M373" t="n">
        <v>0</v>
      </c>
      <c r="N373" t="n">
        <v>0</v>
      </c>
      <c r="O373" t="n">
        <v>0</v>
      </c>
      <c r="P373" t="n">
        <v>0</v>
      </c>
      <c r="Q373" t="n">
        <v>0</v>
      </c>
      <c r="R373" t="n">
        <v>0</v>
      </c>
      <c r="S373" t="n">
        <v>1</v>
      </c>
      <c r="T373" t="n">
        <v>2</v>
      </c>
      <c r="U373" t="n">
        <v>2</v>
      </c>
      <c r="V373" s="2" t="inlineStr">
        <is>
          <t>Fläcknycklar</t>
        </is>
      </c>
      <c r="W373">
        <f>HYPERLINK("https://klasma.github.io/Logging_2313/artfynd/A 17568-2026 artfynd.xlsx", "A 17568-2026")</f>
        <v/>
      </c>
      <c r="X373">
        <f>HYPERLINK("https://klasma.github.io/Logging_2313/kartor/A 17568-2026 karta.png", "A 17568-2026")</f>
        <v/>
      </c>
      <c r="Y373">
        <f>HYPERLINK("https://klasma.github.io/Logging_2313/kartor_geotiff/A 17568-2026 georefererad karta.tif", "A 17568-2026")</f>
        <v/>
      </c>
      <c r="AA373">
        <f>HYPERLINK("https://klasma.github.io/Logging_2313/klagomål/A 17568-2026 FSC-klagomål.docx", "A 17568-2026")</f>
        <v/>
      </c>
      <c r="AB373">
        <f>HYPERLINK("https://klasma.github.io/Logging_2313/klagomålsmail/A 17568-2026 FSC-klagomål mail.docx", "A 17568-2026")</f>
        <v/>
      </c>
      <c r="AC373">
        <f>HYPERLINK("https://klasma.github.io/Logging_2313/tillsyn/A 17568-2026 tillsynsbegäran.docx", "A 17568-2026")</f>
        <v/>
      </c>
      <c r="AD373">
        <f>HYPERLINK("https://klasma.github.io/Logging_2313/tillsynsmail/A 17568-2026 tillsynsbegäran mail.docx", "A 17568-2026")</f>
        <v/>
      </c>
    </row>
    <row r="374" ht="15" customHeight="1">
      <c r="A374" t="inlineStr">
        <is>
          <t>A 60828-2023</t>
        </is>
      </c>
      <c r="B374" t="inlineStr">
        <is>
          <t>avverkningsanmälan</t>
        </is>
      </c>
      <c r="C374" t="inlineStr">
        <is>
          <t>Föryngringsavverkning</t>
        </is>
      </c>
      <c r="D374" s="1" t="n">
        <v>45258</v>
      </c>
      <c r="E374" s="1" t="n">
        <v>46318</v>
      </c>
      <c r="F374" t="inlineStr">
        <is>
          <t>JÄMTLANDS LÄN</t>
        </is>
      </c>
      <c r="G374" t="inlineStr">
        <is>
          <t>STRÖMSUND</t>
        </is>
      </c>
      <c r="I374" t="n">
        <v>6.7</v>
      </c>
      <c r="J374" t="n">
        <v>1</v>
      </c>
      <c r="K374" t="n">
        <v>0</v>
      </c>
      <c r="L374" t="n">
        <v>1</v>
      </c>
      <c r="M374" t="n">
        <v>0</v>
      </c>
      <c r="N374" t="n">
        <v>0</v>
      </c>
      <c r="O374" t="n">
        <v>0</v>
      </c>
      <c r="P374" t="n">
        <v>0</v>
      </c>
      <c r="Q374" t="n">
        <v>1</v>
      </c>
      <c r="R374" t="n">
        <v>0</v>
      </c>
      <c r="S374" t="n">
        <v>1</v>
      </c>
      <c r="T374" t="n">
        <v>5</v>
      </c>
      <c r="U374" t="n">
        <v>5</v>
      </c>
      <c r="V374" s="2" t="inlineStr">
        <is>
          <t>Tretåig hackspett</t>
        </is>
      </c>
      <c r="W374">
        <f>HYPERLINK("https://klasma.github.io/Logging_2313/artfynd/A 60828-2023 artfynd.xlsx", "A 60828-2023")</f>
        <v/>
      </c>
      <c r="X374">
        <f>HYPERLINK("https://klasma.github.io/Logging_2313/kartor/A 60828-2023 karta.png", "A 60828-2023")</f>
        <v/>
      </c>
      <c r="Y374">
        <f>HYPERLINK("https://klasma.github.io/Logging_2313/kartor_geotiff/A 60828-2023 georefererad karta.tif", "A 60828-2023")</f>
        <v/>
      </c>
      <c r="AA374">
        <f>HYPERLINK("https://klasma.github.io/Logging_2313/klagomål/A 60828-2023 FSC-klagomål.docx", "A 60828-2023")</f>
        <v/>
      </c>
      <c r="AB374">
        <f>HYPERLINK("https://klasma.github.io/Logging_2313/klagomålsmail/A 60828-2023 FSC-klagomål mail.docx", "A 60828-2023")</f>
        <v/>
      </c>
      <c r="AC374">
        <f>HYPERLINK("https://klasma.github.io/Logging_2313/tillsyn/A 60828-2023 tillsynsbegäran.docx", "A 60828-2023")</f>
        <v/>
      </c>
      <c r="AD374">
        <f>HYPERLINK("https://klasma.github.io/Logging_2313/tillsynsmail/A 60828-2023 tillsynsbegäran mail.docx", "A 60828-2023")</f>
        <v/>
      </c>
      <c r="AE374">
        <f>HYPERLINK("https://klasma.github.io/Logging_2313/fåglar/A 60828-2023 prioriterade fågelarter.docx", "A 60828-2023")</f>
        <v/>
      </c>
    </row>
    <row r="375" ht="15" customHeight="1">
      <c r="A375" t="inlineStr">
        <is>
          <t>A 24807-2024</t>
        </is>
      </c>
      <c r="B375" t="inlineStr">
        <is>
          <t>avverkningsanmälan</t>
        </is>
      </c>
      <c r="C375" t="inlineStr">
        <is>
          <t>Föryngringsavverkning</t>
        </is>
      </c>
      <c r="D375" s="1" t="n">
        <v>45460</v>
      </c>
      <c r="E375" s="1" t="n">
        <v>46318</v>
      </c>
      <c r="F375" t="inlineStr">
        <is>
          <t>JÄMTLANDS LÄN</t>
        </is>
      </c>
      <c r="G375" t="inlineStr">
        <is>
          <t>STRÖMSUND</t>
        </is>
      </c>
      <c r="H375" t="inlineStr">
        <is>
          <t>SCA</t>
        </is>
      </c>
      <c r="I375" t="n">
        <v>2</v>
      </c>
      <c r="J375" t="n">
        <v>0</v>
      </c>
      <c r="K375" t="n">
        <v>0</v>
      </c>
      <c r="L375" t="n">
        <v>1</v>
      </c>
      <c r="M375" t="n">
        <v>0</v>
      </c>
      <c r="N375" t="n">
        <v>0</v>
      </c>
      <c r="O375" t="n">
        <v>0</v>
      </c>
      <c r="P375" t="n">
        <v>0</v>
      </c>
      <c r="Q375" t="n">
        <v>1</v>
      </c>
      <c r="R375" t="n">
        <v>0</v>
      </c>
      <c r="S375" t="n">
        <v>1</v>
      </c>
      <c r="T375" t="n">
        <v>1</v>
      </c>
      <c r="U375" t="n">
        <v>1</v>
      </c>
      <c r="V375" s="2" t="inlineStr">
        <is>
          <t>Ullticka</t>
        </is>
      </c>
      <c r="W375">
        <f>HYPERLINK("https://klasma.github.io/Logging_2313/artfynd/A 24807-2024 artfynd.xlsx", "A 24807-2024")</f>
        <v/>
      </c>
      <c r="X375">
        <f>HYPERLINK("https://klasma.github.io/Logging_2313/kartor/A 24807-2024 karta.png", "A 24807-2024")</f>
        <v/>
      </c>
      <c r="Y375">
        <f>HYPERLINK("https://klasma.github.io/Logging_2313/kartor_geotiff/A 24807-2024 georefererad karta.tif", "A 24807-2024")</f>
        <v/>
      </c>
      <c r="AA375">
        <f>HYPERLINK("https://klasma.github.io/Logging_2313/klagomål/A 24807-2024 FSC-klagomål.docx", "A 24807-2024")</f>
        <v/>
      </c>
      <c r="AB375">
        <f>HYPERLINK("https://klasma.github.io/Logging_2313/klagomålsmail/A 24807-2024 FSC-klagomål mail.docx", "A 24807-2024")</f>
        <v/>
      </c>
      <c r="AC375">
        <f>HYPERLINK("https://klasma.github.io/Logging_2313/tillsyn/A 24807-2024 tillsynsbegäran.docx", "A 24807-2024")</f>
        <v/>
      </c>
      <c r="AD375">
        <f>HYPERLINK("https://klasma.github.io/Logging_2313/tillsynsmail/A 24807-2024 tillsynsbegäran mail.docx", "A 24807-2024")</f>
        <v/>
      </c>
    </row>
    <row r="376" ht="15" customHeight="1">
      <c r="A376" t="inlineStr">
        <is>
          <t>A 57415-2023</t>
        </is>
      </c>
      <c r="B376" t="inlineStr">
        <is>
          <t>avverkningsanmälan</t>
        </is>
      </c>
      <c r="C376" t="inlineStr">
        <is>
          <t>Föryngringsavverkning</t>
        </is>
      </c>
      <c r="D376" s="1" t="n">
        <v>45245</v>
      </c>
      <c r="E376" s="1" t="n">
        <v>46318</v>
      </c>
      <c r="F376" t="inlineStr">
        <is>
          <t>JÄMTLANDS LÄN</t>
        </is>
      </c>
      <c r="G376" t="inlineStr">
        <is>
          <t>STRÖMSUND</t>
        </is>
      </c>
      <c r="H376" t="inlineStr">
        <is>
          <t>SCA</t>
        </is>
      </c>
      <c r="I376" t="n">
        <v>1.9</v>
      </c>
      <c r="J376" t="n">
        <v>0</v>
      </c>
      <c r="K376" t="n">
        <v>0</v>
      </c>
      <c r="L376" t="n">
        <v>1</v>
      </c>
      <c r="M376" t="n">
        <v>0</v>
      </c>
      <c r="N376" t="n">
        <v>0</v>
      </c>
      <c r="O376" t="n">
        <v>0</v>
      </c>
      <c r="P376" t="n">
        <v>0</v>
      </c>
      <c r="Q376" t="n">
        <v>1</v>
      </c>
      <c r="R376" t="n">
        <v>0</v>
      </c>
      <c r="S376" t="n">
        <v>1</v>
      </c>
      <c r="T376" t="n">
        <v>1</v>
      </c>
      <c r="U376" t="n">
        <v>1</v>
      </c>
      <c r="V376" s="2" t="inlineStr">
        <is>
          <t>Dropptaggsvamp</t>
        </is>
      </c>
      <c r="W376">
        <f>HYPERLINK("https://klasma.github.io/Logging_2313/artfynd/A 57415-2023 artfynd.xlsx", "A 57415-2023")</f>
        <v/>
      </c>
      <c r="X376">
        <f>HYPERLINK("https://klasma.github.io/Logging_2313/kartor/A 57415-2023 karta.png", "A 57415-2023")</f>
        <v/>
      </c>
      <c r="Y376">
        <f>HYPERLINK("https://klasma.github.io/Logging_2313/kartor_geotiff/A 57415-2023 georefererad karta.tif", "A 57415-2023")</f>
        <v/>
      </c>
      <c r="AA376">
        <f>HYPERLINK("https://klasma.github.io/Logging_2313/klagomål/A 57415-2023 FSC-klagomål.docx", "A 57415-2023")</f>
        <v/>
      </c>
      <c r="AB376">
        <f>HYPERLINK("https://klasma.github.io/Logging_2313/klagomålsmail/A 57415-2023 FSC-klagomål mail.docx", "A 57415-2023")</f>
        <v/>
      </c>
      <c r="AC376">
        <f>HYPERLINK("https://klasma.github.io/Logging_2313/tillsyn/A 57415-2023 tillsynsbegäran.docx", "A 57415-2023")</f>
        <v/>
      </c>
      <c r="AD376">
        <f>HYPERLINK("https://klasma.github.io/Logging_2313/tillsynsmail/A 57415-2023 tillsynsbegäran mail.docx", "A 57415-2023")</f>
        <v/>
      </c>
    </row>
    <row r="377" ht="15" customHeight="1">
      <c r="A377" t="inlineStr">
        <is>
          <t>A 24062-2026</t>
        </is>
      </c>
      <c r="B377" t="inlineStr">
        <is>
          <t>avverkningsanmälan</t>
        </is>
      </c>
      <c r="C377" t="inlineStr">
        <is>
          <t>Föryngringsavverkning</t>
        </is>
      </c>
      <c r="D377" s="1" t="n">
        <v>46168</v>
      </c>
      <c r="E377" s="1" t="n">
        <v>46318</v>
      </c>
      <c r="F377" t="inlineStr">
        <is>
          <t>JÄMTLANDS LÄN</t>
        </is>
      </c>
      <c r="G377" t="inlineStr">
        <is>
          <t>STRÖMSUND</t>
        </is>
      </c>
      <c r="H377" t="inlineStr">
        <is>
          <t>SCA</t>
        </is>
      </c>
      <c r="I377" t="n">
        <v>7.9</v>
      </c>
      <c r="J377" t="n">
        <v>1</v>
      </c>
      <c r="K377" t="n">
        <v>1</v>
      </c>
      <c r="L377" t="n">
        <v>0</v>
      </c>
      <c r="M377" t="n">
        <v>0</v>
      </c>
      <c r="N377" t="n">
        <v>0</v>
      </c>
      <c r="O377" t="n">
        <v>0</v>
      </c>
      <c r="P377" t="n">
        <v>0</v>
      </c>
      <c r="Q377" t="n">
        <v>0</v>
      </c>
      <c r="R377" t="n">
        <v>0</v>
      </c>
      <c r="S377" t="n">
        <v>1</v>
      </c>
      <c r="T377" t="n">
        <v>1</v>
      </c>
      <c r="U377" t="n">
        <v>0</v>
      </c>
      <c r="V377" s="2" t="inlineStr">
        <is>
          <t>Spindelblomster</t>
        </is>
      </c>
      <c r="W377">
        <f>HYPERLINK("https://klasma.github.io/Logging_2313/artfynd/A 24062-2026 artfynd.xlsx", "A 24062-2026")</f>
        <v/>
      </c>
      <c r="X377">
        <f>HYPERLINK("https://klasma.github.io/Logging_2313/kartor/A 24062-2026 karta.png", "A 24062-2026")</f>
        <v/>
      </c>
      <c r="Y377">
        <f>HYPERLINK("https://klasma.github.io/Logging_2313/kartor_geotiff/A 24062-2026 georefererad karta.tif", "A 24062-2026")</f>
        <v/>
      </c>
      <c r="AA377">
        <f>HYPERLINK("https://klasma.github.io/Logging_2313/klagomål/A 24062-2026 FSC-klagomål.docx", "A 24062-2026")</f>
        <v/>
      </c>
      <c r="AB377">
        <f>HYPERLINK("https://klasma.github.io/Logging_2313/klagomålsmail/A 24062-2026 FSC-klagomål mail.docx", "A 24062-2026")</f>
        <v/>
      </c>
      <c r="AC377">
        <f>HYPERLINK("https://klasma.github.io/Logging_2313/tillsyn/A 24062-2026 tillsynsbegäran.docx", "A 24062-2026")</f>
        <v/>
      </c>
      <c r="AD377">
        <f>HYPERLINK("https://klasma.github.io/Logging_2313/tillsynsmail/A 24062-2026 tillsynsbegäran mail.docx", "A 24062-2026")</f>
        <v/>
      </c>
    </row>
    <row r="378" ht="15" customHeight="1">
      <c r="A378" t="inlineStr">
        <is>
          <t>A 55383-2024</t>
        </is>
      </c>
      <c r="B378" t="inlineStr">
        <is>
          <t>avverkningsanmälan</t>
        </is>
      </c>
      <c r="C378" t="inlineStr">
        <is>
          <t>Föryngringsavverkning</t>
        </is>
      </c>
      <c r="D378" s="1" t="n">
        <v>45622</v>
      </c>
      <c r="E378" s="1" t="n">
        <v>46318</v>
      </c>
      <c r="F378" t="inlineStr">
        <is>
          <t>JÄMTLANDS LÄN</t>
        </is>
      </c>
      <c r="G378" t="inlineStr">
        <is>
          <t>STRÖMSUND</t>
        </is>
      </c>
      <c r="I378" t="n">
        <v>4.8</v>
      </c>
      <c r="J378" t="n">
        <v>1</v>
      </c>
      <c r="K378" t="n">
        <v>0</v>
      </c>
      <c r="L378" t="n">
        <v>0</v>
      </c>
      <c r="M378" t="n">
        <v>0</v>
      </c>
      <c r="N378" t="n">
        <v>0</v>
      </c>
      <c r="O378" t="n">
        <v>0</v>
      </c>
      <c r="P378" t="n">
        <v>0</v>
      </c>
      <c r="Q378" t="n">
        <v>0</v>
      </c>
      <c r="R378" t="n">
        <v>0</v>
      </c>
      <c r="S378" t="n">
        <v>1</v>
      </c>
      <c r="T378" t="n">
        <v>1</v>
      </c>
      <c r="U378" t="n">
        <v>0</v>
      </c>
      <c r="V378" s="2" t="inlineStr">
        <is>
          <t>Utter</t>
        </is>
      </c>
      <c r="W378">
        <f>HYPERLINK("https://klasma.github.io/Logging_2313/artfynd/A 55383-2024 artfynd.xlsx", "A 55383-2024")</f>
        <v/>
      </c>
      <c r="X378">
        <f>HYPERLINK("https://klasma.github.io/Logging_2313/kartor/A 55383-2024 karta.png", "A 55383-2024")</f>
        <v/>
      </c>
      <c r="Y378">
        <f>HYPERLINK("https://klasma.github.io/Logging_2313/kartor_geotiff/A 55383-2024 georefererad karta.tif", "A 55383-2024")</f>
        <v/>
      </c>
      <c r="AA378">
        <f>HYPERLINK("https://klasma.github.io/Logging_2313/klagomål/A 55383-2024 FSC-klagomål.docx", "A 55383-2024")</f>
        <v/>
      </c>
      <c r="AB378">
        <f>HYPERLINK("https://klasma.github.io/Logging_2313/klagomålsmail/A 55383-2024 FSC-klagomål mail.docx", "A 55383-2024")</f>
        <v/>
      </c>
      <c r="AC378">
        <f>HYPERLINK("https://klasma.github.io/Logging_2313/tillsyn/A 55383-2024 tillsynsbegäran.docx", "A 55383-2024")</f>
        <v/>
      </c>
      <c r="AD378">
        <f>HYPERLINK("https://klasma.github.io/Logging_2313/tillsynsmail/A 55383-2024 tillsynsbegäran mail.docx", "A 55383-2024")</f>
        <v/>
      </c>
    </row>
    <row r="379" ht="15" customHeight="1">
      <c r="A379" t="inlineStr">
        <is>
          <t>A 53053-2023</t>
        </is>
      </c>
      <c r="B379" t="inlineStr">
        <is>
          <t>avverkningsanmälan</t>
        </is>
      </c>
      <c r="C379" t="inlineStr">
        <is>
          <t>Föryngringsavverkning</t>
        </is>
      </c>
      <c r="D379" s="1" t="n">
        <v>45226</v>
      </c>
      <c r="E379" s="1" t="n">
        <v>46318</v>
      </c>
      <c r="F379" t="inlineStr">
        <is>
          <t>JÄMTLANDS LÄN</t>
        </is>
      </c>
      <c r="G379" t="inlineStr">
        <is>
          <t>STRÖMSUND</t>
        </is>
      </c>
      <c r="H379" t="inlineStr">
        <is>
          <t>SCA</t>
        </is>
      </c>
      <c r="I379" t="n">
        <v>2.9</v>
      </c>
      <c r="J379" t="n">
        <v>0</v>
      </c>
      <c r="K379" t="n">
        <v>0</v>
      </c>
      <c r="L379" t="n">
        <v>1</v>
      </c>
      <c r="M379" t="n">
        <v>0</v>
      </c>
      <c r="N379" t="n">
        <v>0</v>
      </c>
      <c r="O379" t="n">
        <v>0</v>
      </c>
      <c r="P379" t="n">
        <v>0</v>
      </c>
      <c r="Q379" t="n">
        <v>1</v>
      </c>
      <c r="R379" t="n">
        <v>0</v>
      </c>
      <c r="S379" t="n">
        <v>1</v>
      </c>
      <c r="T379" t="n">
        <v>1</v>
      </c>
      <c r="U379" t="n">
        <v>0</v>
      </c>
      <c r="V379" s="2" t="inlineStr">
        <is>
          <t>Rosenticka</t>
        </is>
      </c>
      <c r="W379">
        <f>HYPERLINK("https://klasma.github.io/Logging_2313/artfynd/A 53053-2023 artfynd.xlsx", "A 53053-2023")</f>
        <v/>
      </c>
      <c r="X379">
        <f>HYPERLINK("https://klasma.github.io/Logging_2313/kartor/A 53053-2023 karta.png", "A 53053-2023")</f>
        <v/>
      </c>
      <c r="Y379">
        <f>HYPERLINK("https://klasma.github.io/Logging_2313/kartor_geotiff/A 53053-2023 georefererad karta.tif", "A 53053-2023")</f>
        <v/>
      </c>
      <c r="AA379">
        <f>HYPERLINK("https://klasma.github.io/Logging_2313/klagomål/A 53053-2023 FSC-klagomål.docx", "A 53053-2023")</f>
        <v/>
      </c>
      <c r="AB379">
        <f>HYPERLINK("https://klasma.github.io/Logging_2313/klagomålsmail/A 53053-2023 FSC-klagomål mail.docx", "A 53053-2023")</f>
        <v/>
      </c>
      <c r="AC379">
        <f>HYPERLINK("https://klasma.github.io/Logging_2313/tillsyn/A 53053-2023 tillsynsbegäran.docx", "A 53053-2023")</f>
        <v/>
      </c>
      <c r="AD379">
        <f>HYPERLINK("https://klasma.github.io/Logging_2313/tillsynsmail/A 53053-2023 tillsynsbegäran mail.docx", "A 53053-2023")</f>
        <v/>
      </c>
    </row>
    <row r="380" ht="15" customHeight="1">
      <c r="A380" t="inlineStr">
        <is>
          <t>A 34298-2025</t>
        </is>
      </c>
      <c r="B380" t="inlineStr">
        <is>
          <t>avverkningsanmälan</t>
        </is>
      </c>
      <c r="C380" t="inlineStr">
        <is>
          <t>Föryngringsavverkning</t>
        </is>
      </c>
      <c r="D380" s="1" t="n">
        <v>45846</v>
      </c>
      <c r="E380" s="1" t="n">
        <v>46318</v>
      </c>
      <c r="F380" t="inlineStr">
        <is>
          <t>JÄMTLANDS LÄN</t>
        </is>
      </c>
      <c r="G380" t="inlineStr">
        <is>
          <t>STRÖMSUND</t>
        </is>
      </c>
      <c r="H380" t="inlineStr">
        <is>
          <t>SCA</t>
        </is>
      </c>
      <c r="I380" t="n">
        <v>16.3</v>
      </c>
      <c r="J380" t="n">
        <v>1</v>
      </c>
      <c r="K380" t="n">
        <v>0</v>
      </c>
      <c r="L380" t="n">
        <v>0</v>
      </c>
      <c r="M380" t="n">
        <v>1</v>
      </c>
      <c r="N380" t="n">
        <v>0</v>
      </c>
      <c r="O380" t="n">
        <v>0</v>
      </c>
      <c r="P380" t="n">
        <v>0</v>
      </c>
      <c r="Q380" t="n">
        <v>1</v>
      </c>
      <c r="R380" t="n">
        <v>1</v>
      </c>
      <c r="S380" t="n">
        <v>1</v>
      </c>
      <c r="T380" t="n">
        <v>1</v>
      </c>
      <c r="U380" t="n">
        <v>0</v>
      </c>
      <c r="V380" s="2" t="inlineStr">
        <is>
          <t>Doftticka</t>
        </is>
      </c>
      <c r="W380">
        <f>HYPERLINK("https://klasma.github.io/Logging_2313/artfynd/A 34298-2025 artfynd.xlsx", "A 34298-2025")</f>
        <v/>
      </c>
      <c r="X380">
        <f>HYPERLINK("https://klasma.github.io/Logging_2313/kartor/A 34298-2025 karta.png", "A 34298-2025")</f>
        <v/>
      </c>
      <c r="Y380">
        <f>HYPERLINK("https://klasma.github.io/Logging_2313/kartor_geotiff/A 34298-2025 georefererad karta.tif", "A 34298-2025")</f>
        <v/>
      </c>
      <c r="AA380">
        <f>HYPERLINK("https://klasma.github.io/Logging_2313/klagomål/A 34298-2025 FSC-klagomål.docx", "A 34298-2025")</f>
        <v/>
      </c>
      <c r="AB380">
        <f>HYPERLINK("https://klasma.github.io/Logging_2313/klagomålsmail/A 34298-2025 FSC-klagomål mail.docx", "A 34298-2025")</f>
        <v/>
      </c>
      <c r="AC380">
        <f>HYPERLINK("https://klasma.github.io/Logging_2313/tillsyn/A 34298-2025 tillsynsbegäran.docx", "A 34298-2025")</f>
        <v/>
      </c>
      <c r="AD380">
        <f>HYPERLINK("https://klasma.github.io/Logging_2313/tillsynsmail/A 34298-2025 tillsynsbegäran mail.docx", "A 34298-2025")</f>
        <v/>
      </c>
    </row>
    <row r="381" ht="15" customHeight="1">
      <c r="A381" t="inlineStr">
        <is>
          <t>A 700-2026</t>
        </is>
      </c>
      <c r="B381" t="inlineStr">
        <is>
          <t>avverkningsanmälan</t>
        </is>
      </c>
      <c r="C381" t="inlineStr">
        <is>
          <t>Föryngringsavverkning</t>
        </is>
      </c>
      <c r="D381" s="1" t="n">
        <v>46029</v>
      </c>
      <c r="E381" s="1" t="n">
        <v>46318</v>
      </c>
      <c r="F381" t="inlineStr">
        <is>
          <t>JÄMTLANDS LÄN</t>
        </is>
      </c>
      <c r="G381" t="inlineStr">
        <is>
          <t>STRÖMSUND</t>
        </is>
      </c>
      <c r="H381" t="inlineStr">
        <is>
          <t>SCA</t>
        </is>
      </c>
      <c r="I381" t="n">
        <v>32.7</v>
      </c>
      <c r="J381" t="n">
        <v>0</v>
      </c>
      <c r="K381" t="n">
        <v>1</v>
      </c>
      <c r="L381" t="n">
        <v>0</v>
      </c>
      <c r="M381" t="n">
        <v>0</v>
      </c>
      <c r="N381" t="n">
        <v>0</v>
      </c>
      <c r="O381" t="n">
        <v>0</v>
      </c>
      <c r="P381" t="n">
        <v>0</v>
      </c>
      <c r="Q381" t="n">
        <v>0</v>
      </c>
      <c r="R381" t="n">
        <v>0</v>
      </c>
      <c r="S381" t="n">
        <v>1</v>
      </c>
      <c r="T381" t="n">
        <v>1</v>
      </c>
      <c r="U381" t="n">
        <v>0</v>
      </c>
      <c r="V381" s="2" t="inlineStr">
        <is>
          <t>Trådticka</t>
        </is>
      </c>
      <c r="W381">
        <f>HYPERLINK("https://klasma.github.io/Logging_2313/artfynd/A 700-2026 artfynd.xlsx", "A 700-2026")</f>
        <v/>
      </c>
      <c r="X381">
        <f>HYPERLINK("https://klasma.github.io/Logging_2313/kartor/A 700-2026 karta.png", "A 700-2026")</f>
        <v/>
      </c>
      <c r="Y381">
        <f>HYPERLINK("https://klasma.github.io/Logging_2313/kartor_geotiff/A 700-2026 georefererad karta.tif", "A 700-2026")</f>
        <v/>
      </c>
      <c r="AA381">
        <f>HYPERLINK("https://klasma.github.io/Logging_2313/klagomål/A 700-2026 FSC-klagomål.docx", "A 700-2026")</f>
        <v/>
      </c>
      <c r="AB381">
        <f>HYPERLINK("https://klasma.github.io/Logging_2313/klagomålsmail/A 700-2026 FSC-klagomål mail.docx", "A 700-2026")</f>
        <v/>
      </c>
      <c r="AC381">
        <f>HYPERLINK("https://klasma.github.io/Logging_2313/tillsyn/A 700-2026 tillsynsbegäran.docx", "A 700-2026")</f>
        <v/>
      </c>
      <c r="AD381">
        <f>HYPERLINK("https://klasma.github.io/Logging_2313/tillsynsmail/A 700-2026 tillsynsbegäran mail.docx", "A 700-2026")</f>
        <v/>
      </c>
    </row>
    <row r="382" ht="15" customHeight="1">
      <c r="A382" t="inlineStr">
        <is>
          <t>A 10401-2025</t>
        </is>
      </c>
      <c r="B382" t="inlineStr">
        <is>
          <t>avverkningsanmälan</t>
        </is>
      </c>
      <c r="C382" t="inlineStr">
        <is>
          <t>Föryngringsavverkning</t>
        </is>
      </c>
      <c r="D382" s="1" t="n">
        <v>45720</v>
      </c>
      <c r="E382" s="1" t="n">
        <v>46318</v>
      </c>
      <c r="F382" t="inlineStr">
        <is>
          <t>JÄMTLANDS LÄN</t>
        </is>
      </c>
      <c r="G382" t="inlineStr">
        <is>
          <t>STRÖMSUND</t>
        </is>
      </c>
      <c r="H382" t="inlineStr">
        <is>
          <t>SCA</t>
        </is>
      </c>
      <c r="I382" t="n">
        <v>9.800000000000001</v>
      </c>
      <c r="J382" t="n">
        <v>0</v>
      </c>
      <c r="K382" t="n">
        <v>0</v>
      </c>
      <c r="L382" t="n">
        <v>1</v>
      </c>
      <c r="M382" t="n">
        <v>0</v>
      </c>
      <c r="N382" t="n">
        <v>0</v>
      </c>
      <c r="O382" t="n">
        <v>0</v>
      </c>
      <c r="P382" t="n">
        <v>0</v>
      </c>
      <c r="Q382" t="n">
        <v>1</v>
      </c>
      <c r="R382" t="n">
        <v>0</v>
      </c>
      <c r="S382" t="n">
        <v>1</v>
      </c>
      <c r="T382" t="n">
        <v>1</v>
      </c>
      <c r="U382" t="n">
        <v>0</v>
      </c>
      <c r="V382" s="2" t="inlineStr">
        <is>
          <t>Gammelgransskål</t>
        </is>
      </c>
      <c r="W382">
        <f>HYPERLINK("https://klasma.github.io/Logging_2313/artfynd/A 10401-2025 artfynd.xlsx", "A 10401-2025")</f>
        <v/>
      </c>
      <c r="X382">
        <f>HYPERLINK("https://klasma.github.io/Logging_2313/kartor/A 10401-2025 karta.png", "A 10401-2025")</f>
        <v/>
      </c>
      <c r="Y382">
        <f>HYPERLINK("https://klasma.github.io/Logging_2313/kartor_geotiff/A 10401-2025 georefererad karta.tif", "A 10401-2025")</f>
        <v/>
      </c>
      <c r="AA382">
        <f>HYPERLINK("https://klasma.github.io/Logging_2313/klagomål/A 10401-2025 FSC-klagomål.docx", "A 10401-2025")</f>
        <v/>
      </c>
      <c r="AB382">
        <f>HYPERLINK("https://klasma.github.io/Logging_2313/klagomålsmail/A 10401-2025 FSC-klagomål mail.docx", "A 10401-2025")</f>
        <v/>
      </c>
      <c r="AC382">
        <f>HYPERLINK("https://klasma.github.io/Logging_2313/tillsyn/A 10401-2025 tillsynsbegäran.docx", "A 10401-2025")</f>
        <v/>
      </c>
      <c r="AD382">
        <f>HYPERLINK("https://klasma.github.io/Logging_2313/tillsynsmail/A 10401-2025 tillsynsbegäran mail.docx", "A 10401-2025")</f>
        <v/>
      </c>
    </row>
    <row r="383" ht="15" customHeight="1">
      <c r="A383" t="inlineStr">
        <is>
          <t>A 12097-2025</t>
        </is>
      </c>
      <c r="B383" t="inlineStr">
        <is>
          <t>avverkningsanmälan</t>
        </is>
      </c>
      <c r="C383" t="inlineStr">
        <is>
          <t>Föryngringsavverkning</t>
        </is>
      </c>
      <c r="D383" s="1" t="n">
        <v>45729</v>
      </c>
      <c r="E383" s="1" t="n">
        <v>46318</v>
      </c>
      <c r="F383" t="inlineStr">
        <is>
          <t>JÄMTLANDS LÄN</t>
        </is>
      </c>
      <c r="G383" t="inlineStr">
        <is>
          <t>STRÖMSUND</t>
        </is>
      </c>
      <c r="I383" t="n">
        <v>1.3</v>
      </c>
      <c r="J383" t="n">
        <v>0</v>
      </c>
      <c r="K383" t="n">
        <v>0</v>
      </c>
      <c r="L383" t="n">
        <v>1</v>
      </c>
      <c r="M383" t="n">
        <v>0</v>
      </c>
      <c r="N383" t="n">
        <v>0</v>
      </c>
      <c r="O383" t="n">
        <v>0</v>
      </c>
      <c r="P383" t="n">
        <v>0</v>
      </c>
      <c r="Q383" t="n">
        <v>1</v>
      </c>
      <c r="R383" t="n">
        <v>0</v>
      </c>
      <c r="S383" t="n">
        <v>1</v>
      </c>
      <c r="T383" t="n">
        <v>2</v>
      </c>
      <c r="U383" t="n">
        <v>0</v>
      </c>
      <c r="V383" s="2" t="inlineStr">
        <is>
          <t>Brunklöver</t>
        </is>
      </c>
      <c r="W383">
        <f>HYPERLINK("https://klasma.github.io/Logging_2313/artfynd/A 12097-2025 artfynd.xlsx", "A 12097-2025")</f>
        <v/>
      </c>
      <c r="X383">
        <f>HYPERLINK("https://klasma.github.io/Logging_2313/kartor/A 12097-2025 karta.png", "A 12097-2025")</f>
        <v/>
      </c>
      <c r="Y383">
        <f>HYPERLINK("https://klasma.github.io/Logging_2313/kartor_geotiff/A 12097-2025 georefererad karta.tif", "A 12097-2025")</f>
        <v/>
      </c>
      <c r="AA383">
        <f>HYPERLINK("https://klasma.github.io/Logging_2313/klagomål/A 12097-2025 FSC-klagomål.docx", "A 12097-2025")</f>
        <v/>
      </c>
      <c r="AB383">
        <f>HYPERLINK("https://klasma.github.io/Logging_2313/klagomålsmail/A 12097-2025 FSC-klagomål mail.docx", "A 12097-2025")</f>
        <v/>
      </c>
      <c r="AC383">
        <f>HYPERLINK("https://klasma.github.io/Logging_2313/tillsyn/A 12097-2025 tillsynsbegäran.docx", "A 12097-2025")</f>
        <v/>
      </c>
      <c r="AD383">
        <f>HYPERLINK("https://klasma.github.io/Logging_2313/tillsynsmail/A 12097-2025 tillsynsbegäran mail.docx", "A 12097-2025")</f>
        <v/>
      </c>
    </row>
    <row r="384" ht="15" customHeight="1">
      <c r="A384" t="inlineStr">
        <is>
          <t>A 7134-2026</t>
        </is>
      </c>
      <c r="B384" t="inlineStr">
        <is>
          <t>avverkningsanmälan</t>
        </is>
      </c>
      <c r="C384" t="inlineStr">
        <is>
          <t>Föryngringsavverkning</t>
        </is>
      </c>
      <c r="D384" s="1" t="n">
        <v>46058</v>
      </c>
      <c r="E384" s="1" t="n">
        <v>46318</v>
      </c>
      <c r="F384" t="inlineStr">
        <is>
          <t>JÄMTLANDS LÄN</t>
        </is>
      </c>
      <c r="G384" t="inlineStr">
        <is>
          <t>STRÖMSUND</t>
        </is>
      </c>
      <c r="H384" t="inlineStr">
        <is>
          <t>Kyrkan</t>
        </is>
      </c>
      <c r="I384" t="n">
        <v>6.2</v>
      </c>
      <c r="J384" t="n">
        <v>1</v>
      </c>
      <c r="K384" t="n">
        <v>0</v>
      </c>
      <c r="L384" t="n">
        <v>0</v>
      </c>
      <c r="M384" t="n">
        <v>0</v>
      </c>
      <c r="N384" t="n">
        <v>0</v>
      </c>
      <c r="O384" t="n">
        <v>0</v>
      </c>
      <c r="P384" t="n">
        <v>0</v>
      </c>
      <c r="Q384" t="n">
        <v>0</v>
      </c>
      <c r="R384" t="n">
        <v>0</v>
      </c>
      <c r="S384" t="n">
        <v>1</v>
      </c>
      <c r="T384" t="n">
        <v>2</v>
      </c>
      <c r="U384" t="n">
        <v>0</v>
      </c>
      <c r="V384" s="2" t="inlineStr">
        <is>
          <t>Fläcknycklar</t>
        </is>
      </c>
      <c r="W384">
        <f>HYPERLINK("https://klasma.github.io/Logging_2313/artfynd/A 7134-2026 artfynd.xlsx", "A 7134-2026")</f>
        <v/>
      </c>
      <c r="X384">
        <f>HYPERLINK("https://klasma.github.io/Logging_2313/kartor/A 7134-2026 karta.png", "A 7134-2026")</f>
        <v/>
      </c>
      <c r="Y384">
        <f>HYPERLINK("https://klasma.github.io/Logging_2313/kartor_geotiff/A 7134-2026 georefererad karta.tif", "A 7134-2026")</f>
        <v/>
      </c>
      <c r="AA384">
        <f>HYPERLINK("https://klasma.github.io/Logging_2313/klagomål/A 7134-2026 FSC-klagomål.docx", "A 7134-2026")</f>
        <v/>
      </c>
      <c r="AB384">
        <f>HYPERLINK("https://klasma.github.io/Logging_2313/klagomålsmail/A 7134-2026 FSC-klagomål mail.docx", "A 7134-2026")</f>
        <v/>
      </c>
      <c r="AC384">
        <f>HYPERLINK("https://klasma.github.io/Logging_2313/tillsyn/A 7134-2026 tillsynsbegäran.docx", "A 7134-2026")</f>
        <v/>
      </c>
      <c r="AD384">
        <f>HYPERLINK("https://klasma.github.io/Logging_2313/tillsynsmail/A 7134-2026 tillsynsbegäran mail.docx", "A 7134-2026")</f>
        <v/>
      </c>
    </row>
    <row r="385" ht="15" customHeight="1">
      <c r="A385" t="inlineStr">
        <is>
          <t>A 59845-2024</t>
        </is>
      </c>
      <c r="B385" t="inlineStr">
        <is>
          <t>avverkningsanmälan</t>
        </is>
      </c>
      <c r="C385" t="inlineStr">
        <is>
          <t>Föryngringsavverkning</t>
        </is>
      </c>
      <c r="D385" s="1" t="n">
        <v>45639</v>
      </c>
      <c r="E385" s="1" t="n">
        <v>46318</v>
      </c>
      <c r="F385" t="inlineStr">
        <is>
          <t>JÄMTLANDS LÄN</t>
        </is>
      </c>
      <c r="G385" t="inlineStr">
        <is>
          <t>STRÖMSUND</t>
        </is>
      </c>
      <c r="H385" t="inlineStr">
        <is>
          <t>SCA</t>
        </is>
      </c>
      <c r="I385" t="n">
        <v>4.2</v>
      </c>
      <c r="J385" t="n">
        <v>0</v>
      </c>
      <c r="K385" t="n">
        <v>0</v>
      </c>
      <c r="L385" t="n">
        <v>1</v>
      </c>
      <c r="M385" t="n">
        <v>0</v>
      </c>
      <c r="N385" t="n">
        <v>0</v>
      </c>
      <c r="O385" t="n">
        <v>0</v>
      </c>
      <c r="P385" t="n">
        <v>0</v>
      </c>
      <c r="Q385" t="n">
        <v>1</v>
      </c>
      <c r="R385" t="n">
        <v>0</v>
      </c>
      <c r="S385" t="n">
        <v>1</v>
      </c>
      <c r="T385" t="n">
        <v>1</v>
      </c>
      <c r="U385" t="n">
        <v>0</v>
      </c>
      <c r="V385" s="2" t="inlineStr">
        <is>
          <t>Lunglav</t>
        </is>
      </c>
      <c r="W385">
        <f>HYPERLINK("https://klasma.github.io/Logging_2313/artfynd/A 59845-2024 artfynd.xlsx", "A 59845-2024")</f>
        <v/>
      </c>
      <c r="X385">
        <f>HYPERLINK("https://klasma.github.io/Logging_2313/kartor/A 59845-2024 karta.png", "A 59845-2024")</f>
        <v/>
      </c>
      <c r="Y385">
        <f>HYPERLINK("https://klasma.github.io/Logging_2313/kartor_geotiff/A 59845-2024 georefererad karta.tif", "A 59845-2024")</f>
        <v/>
      </c>
      <c r="AA385">
        <f>HYPERLINK("https://klasma.github.io/Logging_2313/klagomål/A 59845-2024 FSC-klagomål.docx", "A 59845-2024")</f>
        <v/>
      </c>
      <c r="AB385">
        <f>HYPERLINK("https://klasma.github.io/Logging_2313/klagomålsmail/A 59845-2024 FSC-klagomål mail.docx", "A 59845-2024")</f>
        <v/>
      </c>
      <c r="AC385">
        <f>HYPERLINK("https://klasma.github.io/Logging_2313/tillsyn/A 59845-2024 tillsynsbegäran.docx", "A 59845-2024")</f>
        <v/>
      </c>
      <c r="AD385">
        <f>HYPERLINK("https://klasma.github.io/Logging_2313/tillsynsmail/A 59845-2024 tillsynsbegäran mail.docx", "A 59845-2024")</f>
        <v/>
      </c>
    </row>
    <row r="386" ht="15" customHeight="1">
      <c r="A386" t="inlineStr">
        <is>
          <t>A 27131-2026</t>
        </is>
      </c>
      <c r="B386" t="inlineStr">
        <is>
          <t>avverkningsanmälan</t>
        </is>
      </c>
      <c r="C386" t="inlineStr">
        <is>
          <t>Föryngringsavverkning</t>
        </is>
      </c>
      <c r="D386" s="1" t="n">
        <v>46188</v>
      </c>
      <c r="E386" s="1" t="n">
        <v>46318</v>
      </c>
      <c r="F386" t="inlineStr">
        <is>
          <t>JÄMTLANDS LÄN</t>
        </is>
      </c>
      <c r="G386" t="inlineStr">
        <is>
          <t>STRÖMSUND</t>
        </is>
      </c>
      <c r="I386" t="n">
        <v>0.8</v>
      </c>
      <c r="J386" t="n">
        <v>0</v>
      </c>
      <c r="K386" t="n">
        <v>1</v>
      </c>
      <c r="L386" t="n">
        <v>0</v>
      </c>
      <c r="M386" t="n">
        <v>0</v>
      </c>
      <c r="N386" t="n">
        <v>0</v>
      </c>
      <c r="O386" t="n">
        <v>0</v>
      </c>
      <c r="P386" t="n">
        <v>0</v>
      </c>
      <c r="Q386" t="n">
        <v>0</v>
      </c>
      <c r="R386" t="n">
        <v>0</v>
      </c>
      <c r="S386" t="n">
        <v>1</v>
      </c>
      <c r="T386" t="n">
        <v>1</v>
      </c>
      <c r="U386" t="n">
        <v>0</v>
      </c>
      <c r="V386" s="2" t="inlineStr">
        <is>
          <t>Stor aspticka</t>
        </is>
      </c>
      <c r="W386">
        <f>HYPERLINK("https://klasma.github.io/Logging_2313/artfynd/A 27131-2026 artfynd.xlsx", "A 27131-2026")</f>
        <v/>
      </c>
      <c r="X386">
        <f>HYPERLINK("https://klasma.github.io/Logging_2313/kartor/A 27131-2026 karta.png", "A 27131-2026")</f>
        <v/>
      </c>
      <c r="Y386">
        <f>HYPERLINK("https://klasma.github.io/Logging_2313/kartor_geotiff/A 27131-2026 georefererad karta.tif", "A 27131-2026")</f>
        <v/>
      </c>
      <c r="AA386">
        <f>HYPERLINK("https://klasma.github.io/Logging_2313/klagomål/A 27131-2026 FSC-klagomål.docx", "A 27131-2026")</f>
        <v/>
      </c>
      <c r="AB386">
        <f>HYPERLINK("https://klasma.github.io/Logging_2313/klagomålsmail/A 27131-2026 FSC-klagomål mail.docx", "A 27131-2026")</f>
        <v/>
      </c>
      <c r="AC386">
        <f>HYPERLINK("https://klasma.github.io/Logging_2313/tillsyn/A 27131-2026 tillsynsbegäran.docx", "A 27131-2026")</f>
        <v/>
      </c>
      <c r="AD386">
        <f>HYPERLINK("https://klasma.github.io/Logging_2313/tillsynsmail/A 27131-2026 tillsynsbegäran mail.docx", "A 27131-2026")</f>
        <v/>
      </c>
    </row>
    <row r="387" ht="15" customHeight="1">
      <c r="A387" t="inlineStr">
        <is>
          <t>A 10445-2026</t>
        </is>
      </c>
      <c r="B387" t="inlineStr">
        <is>
          <t>avverkningsanmälan</t>
        </is>
      </c>
      <c r="C387" t="inlineStr">
        <is>
          <t>Föryngringsavverkning</t>
        </is>
      </c>
      <c r="D387" s="1" t="n">
        <v>46077</v>
      </c>
      <c r="E387" s="1" t="n">
        <v>46318</v>
      </c>
      <c r="F387" t="inlineStr">
        <is>
          <t>JÄMTLANDS LÄN</t>
        </is>
      </c>
      <c r="G387" t="inlineStr">
        <is>
          <t>STRÖMSUND</t>
        </is>
      </c>
      <c r="H387" t="inlineStr">
        <is>
          <t>SCA</t>
        </is>
      </c>
      <c r="I387" t="n">
        <v>32.7</v>
      </c>
      <c r="J387" t="n">
        <v>0</v>
      </c>
      <c r="K387" t="n">
        <v>0</v>
      </c>
      <c r="L387" t="n">
        <v>1</v>
      </c>
      <c r="M387" t="n">
        <v>0</v>
      </c>
      <c r="N387" t="n">
        <v>0</v>
      </c>
      <c r="O387" t="n">
        <v>0</v>
      </c>
      <c r="P387" t="n">
        <v>0</v>
      </c>
      <c r="Q387" t="n">
        <v>1</v>
      </c>
      <c r="R387" t="n">
        <v>0</v>
      </c>
      <c r="S387" t="n">
        <v>1</v>
      </c>
      <c r="T387" t="n">
        <v>1</v>
      </c>
      <c r="U387" t="n">
        <v>0</v>
      </c>
      <c r="V387" s="2" t="inlineStr">
        <is>
          <t>Lunglav</t>
        </is>
      </c>
      <c r="W387">
        <f>HYPERLINK("https://klasma.github.io/Logging_2313/artfynd/A 10445-2026 artfynd.xlsx", "A 10445-2026")</f>
        <v/>
      </c>
      <c r="X387">
        <f>HYPERLINK("https://klasma.github.io/Logging_2313/kartor/A 10445-2026 karta.png", "A 10445-2026")</f>
        <v/>
      </c>
      <c r="Y387">
        <f>HYPERLINK("https://klasma.github.io/Logging_2313/kartor_geotiff/A 10445-2026 georefererad karta.tif", "A 10445-2026")</f>
        <v/>
      </c>
      <c r="AA387">
        <f>HYPERLINK("https://klasma.github.io/Logging_2313/klagomål/A 10445-2026 FSC-klagomål.docx", "A 10445-2026")</f>
        <v/>
      </c>
      <c r="AB387">
        <f>HYPERLINK("https://klasma.github.io/Logging_2313/klagomålsmail/A 10445-2026 FSC-klagomål mail.docx", "A 10445-2026")</f>
        <v/>
      </c>
      <c r="AC387">
        <f>HYPERLINK("https://klasma.github.io/Logging_2313/tillsyn/A 10445-2026 tillsynsbegäran.docx", "A 10445-2026")</f>
        <v/>
      </c>
      <c r="AD387">
        <f>HYPERLINK("https://klasma.github.io/Logging_2313/tillsynsmail/A 10445-2026 tillsynsbegäran mail.docx", "A 10445-2026")</f>
        <v/>
      </c>
    </row>
    <row r="388" ht="15" customHeight="1">
      <c r="A388" t="inlineStr">
        <is>
          <t>A 28509-2024</t>
        </is>
      </c>
      <c r="B388" t="inlineStr">
        <is>
          <t>avverkningsanmälan</t>
        </is>
      </c>
      <c r="C388" t="inlineStr">
        <is>
          <t>Föryngringsavverkning</t>
        </is>
      </c>
      <c r="D388" s="1" t="n">
        <v>45477</v>
      </c>
      <c r="E388" s="1" t="n">
        <v>46318</v>
      </c>
      <c r="F388" t="inlineStr">
        <is>
          <t>JÄMTLANDS LÄN</t>
        </is>
      </c>
      <c r="G388" t="inlineStr">
        <is>
          <t>STRÖMSUND</t>
        </is>
      </c>
      <c r="H388" t="inlineStr">
        <is>
          <t>SCA</t>
        </is>
      </c>
      <c r="I388" t="n">
        <v>2.6</v>
      </c>
      <c r="J388" t="n">
        <v>0</v>
      </c>
      <c r="K388" t="n">
        <v>0</v>
      </c>
      <c r="L388" t="n">
        <v>1</v>
      </c>
      <c r="M388" t="n">
        <v>0</v>
      </c>
      <c r="N388" t="n">
        <v>0</v>
      </c>
      <c r="O388" t="n">
        <v>0</v>
      </c>
      <c r="P388" t="n">
        <v>0</v>
      </c>
      <c r="Q388" t="n">
        <v>1</v>
      </c>
      <c r="R388" t="n">
        <v>0</v>
      </c>
      <c r="S388" t="n">
        <v>1</v>
      </c>
      <c r="T388" t="n">
        <v>1</v>
      </c>
      <c r="U388" t="n">
        <v>0</v>
      </c>
      <c r="V388" s="2" t="inlineStr">
        <is>
          <t>Rynkskinn</t>
        </is>
      </c>
      <c r="W388">
        <f>HYPERLINK("https://klasma.github.io/Logging_2313/artfynd/A 28509-2024 artfynd.xlsx", "A 28509-2024")</f>
        <v/>
      </c>
      <c r="X388">
        <f>HYPERLINK("https://klasma.github.io/Logging_2313/kartor/A 28509-2024 karta.png", "A 28509-2024")</f>
        <v/>
      </c>
      <c r="Y388">
        <f>HYPERLINK("https://klasma.github.io/Logging_2313/kartor_geotiff/A 28509-2024 georefererad karta.tif", "A 28509-2024")</f>
        <v/>
      </c>
      <c r="AA388">
        <f>HYPERLINK("https://klasma.github.io/Logging_2313/klagomål/A 28509-2024 FSC-klagomål.docx", "A 28509-2024")</f>
        <v/>
      </c>
      <c r="AB388">
        <f>HYPERLINK("https://klasma.github.io/Logging_2313/klagomålsmail/A 28509-2024 FSC-klagomål mail.docx", "A 28509-2024")</f>
        <v/>
      </c>
      <c r="AC388">
        <f>HYPERLINK("https://klasma.github.io/Logging_2313/tillsyn/A 28509-2024 tillsynsbegäran.docx", "A 28509-2024")</f>
        <v/>
      </c>
      <c r="AD388">
        <f>HYPERLINK("https://klasma.github.io/Logging_2313/tillsynsmail/A 28509-2024 tillsynsbegäran mail.docx", "A 28509-2024")</f>
        <v/>
      </c>
    </row>
    <row r="389" ht="15" customHeight="1">
      <c r="A389" t="inlineStr">
        <is>
          <t>A 23377-2026</t>
        </is>
      </c>
      <c r="B389" t="inlineStr">
        <is>
          <t>avverkningsanmälan</t>
        </is>
      </c>
      <c r="C389" t="inlineStr">
        <is>
          <t>Avverkning för annat ändamål</t>
        </is>
      </c>
      <c r="D389" s="1" t="n">
        <v>46162</v>
      </c>
      <c r="E389" s="1" t="n">
        <v>46318</v>
      </c>
      <c r="F389" t="inlineStr">
        <is>
          <t>JÄMTLANDS LÄN</t>
        </is>
      </c>
      <c r="G389" t="inlineStr">
        <is>
          <t>STRÖMSUND</t>
        </is>
      </c>
      <c r="I389" t="n">
        <v>0.9</v>
      </c>
      <c r="J389" t="n">
        <v>1</v>
      </c>
      <c r="K389" t="n">
        <v>0</v>
      </c>
      <c r="L389" t="n">
        <v>1</v>
      </c>
      <c r="M389" t="n">
        <v>0</v>
      </c>
      <c r="N389" t="n">
        <v>0</v>
      </c>
      <c r="O389" t="n">
        <v>0</v>
      </c>
      <c r="P389" t="n">
        <v>0</v>
      </c>
      <c r="Q389" t="n">
        <v>1</v>
      </c>
      <c r="R389" t="n">
        <v>0</v>
      </c>
      <c r="S389" t="n">
        <v>1</v>
      </c>
      <c r="T389" t="n">
        <v>2</v>
      </c>
      <c r="U389" t="n">
        <v>0</v>
      </c>
      <c r="V389" s="2" t="inlineStr">
        <is>
          <t>Tretåig hackspett</t>
        </is>
      </c>
      <c r="W389">
        <f>HYPERLINK("https://klasma.github.io/Logging_2313/artfynd/A 23377-2026 artfynd.xlsx", "A 23377-2026")</f>
        <v/>
      </c>
      <c r="X389">
        <f>HYPERLINK("https://klasma.github.io/Logging_2313/kartor/A 23377-2026 karta.png", "A 23377-2026")</f>
        <v/>
      </c>
      <c r="Y389">
        <f>HYPERLINK("https://klasma.github.io/Logging_2313/kartor_geotiff/A 23377-2026 georefererad karta.tif", "A 23377-2026")</f>
        <v/>
      </c>
      <c r="AA389">
        <f>HYPERLINK("https://klasma.github.io/Logging_2313/klagomål/A 23377-2026 FSC-klagomål.docx", "A 23377-2026")</f>
        <v/>
      </c>
      <c r="AB389">
        <f>HYPERLINK("https://klasma.github.io/Logging_2313/klagomålsmail/A 23377-2026 FSC-klagomål mail.docx", "A 23377-2026")</f>
        <v/>
      </c>
      <c r="AC389">
        <f>HYPERLINK("https://klasma.github.io/Logging_2313/tillsyn/A 23377-2026 tillsynsbegäran.docx", "A 23377-2026")</f>
        <v/>
      </c>
      <c r="AD389">
        <f>HYPERLINK("https://klasma.github.io/Logging_2313/tillsynsmail/A 23377-2026 tillsynsbegäran mail.docx", "A 23377-2026")</f>
        <v/>
      </c>
      <c r="AE389">
        <f>HYPERLINK("https://klasma.github.io/Logging_2313/fåglar/A 23377-2026 prioriterade fågelarter.docx", "A 23377-2026")</f>
        <v/>
      </c>
    </row>
    <row r="390" ht="15" customHeight="1">
      <c r="A390" t="inlineStr">
        <is>
          <t>A 36655-2026</t>
        </is>
      </c>
      <c r="B390" t="inlineStr">
        <is>
          <t>avverkningsanmälan</t>
        </is>
      </c>
      <c r="C390" t="inlineStr">
        <is>
          <t>Avverkning för att bevara och utveckla /försöksver</t>
        </is>
      </c>
      <c r="D390" s="1" t="n">
        <v>46272</v>
      </c>
      <c r="E390" s="1" t="n">
        <v>46318</v>
      </c>
      <c r="F390" t="inlineStr">
        <is>
          <t>JÄMTLANDS LÄN</t>
        </is>
      </c>
      <c r="G390" t="inlineStr">
        <is>
          <t>STRÖMSUND</t>
        </is>
      </c>
      <c r="H390" t="inlineStr">
        <is>
          <t>SCA</t>
        </is>
      </c>
      <c r="I390" t="n">
        <v>2.9</v>
      </c>
      <c r="J390" t="n">
        <v>1</v>
      </c>
      <c r="K390" t="n">
        <v>0</v>
      </c>
      <c r="L390" t="n">
        <v>0</v>
      </c>
      <c r="M390" t="n">
        <v>1</v>
      </c>
      <c r="N390" t="n">
        <v>0</v>
      </c>
      <c r="O390" t="n">
        <v>0</v>
      </c>
      <c r="P390" t="n">
        <v>0</v>
      </c>
      <c r="Q390" t="n">
        <v>1</v>
      </c>
      <c r="R390" t="n">
        <v>1</v>
      </c>
      <c r="S390" t="n">
        <v>1</v>
      </c>
      <c r="T390" t="n">
        <v>1</v>
      </c>
      <c r="U390" t="n">
        <v>0</v>
      </c>
      <c r="V390" s="2" t="inlineStr">
        <is>
          <t>Knärot</t>
        </is>
      </c>
      <c r="W390">
        <f>HYPERLINK("https://klasma.github.io/Logging_2313/artfynd/A 36655-2026 artfynd.xlsx", "A 36655-2026")</f>
        <v/>
      </c>
      <c r="X390">
        <f>HYPERLINK("https://klasma.github.io/Logging_2313/kartor/A 36655-2026 karta.png", "A 36655-2026")</f>
        <v/>
      </c>
      <c r="Y390">
        <f>HYPERLINK("https://klasma.github.io/Logging_2313/kartor_geotiff/A 36655-2026 georefererad karta.tif", "A 36655-2026")</f>
        <v/>
      </c>
      <c r="Z390">
        <f>HYPERLINK("https://klasma.github.io/Logging_2313/knärot/A 36655-2026 karta knärot.png", "A 36655-2026")</f>
        <v/>
      </c>
      <c r="AA390">
        <f>HYPERLINK("https://klasma.github.io/Logging_2313/klagomål/A 36655-2026 FSC-klagomål.docx", "A 36655-2026")</f>
        <v/>
      </c>
      <c r="AB390">
        <f>HYPERLINK("https://klasma.github.io/Logging_2313/klagomålsmail/A 36655-2026 FSC-klagomål mail.docx", "A 36655-2026")</f>
        <v/>
      </c>
      <c r="AC390">
        <f>HYPERLINK("https://klasma.github.io/Logging_2313/tillsyn/A 36655-2026 tillsynsbegäran.docx", "A 36655-2026")</f>
        <v/>
      </c>
      <c r="AD390">
        <f>HYPERLINK("https://klasma.github.io/Logging_2313/tillsynsmail/A 36655-2026 tillsynsbegäran mail.docx", "A 36655-2026")</f>
        <v/>
      </c>
    </row>
    <row r="391" ht="15" customHeight="1">
      <c r="A391" t="inlineStr">
        <is>
          <t>A 43206-2026</t>
        </is>
      </c>
      <c r="B391" t="inlineStr">
        <is>
          <t>avverkningsanmälan</t>
        </is>
      </c>
      <c r="C391" t="inlineStr">
        <is>
          <t>Föryngringsavverkning</t>
        </is>
      </c>
      <c r="D391" s="1" t="n">
        <v>46314</v>
      </c>
      <c r="E391" s="1" t="n">
        <v>46318</v>
      </c>
      <c r="F391" t="inlineStr">
        <is>
          <t>JÄMTLANDS LÄN</t>
        </is>
      </c>
      <c r="G391" t="inlineStr">
        <is>
          <t>STRÖMSUND</t>
        </is>
      </c>
      <c r="H391" t="inlineStr">
        <is>
          <t>SCA</t>
        </is>
      </c>
      <c r="I391" t="n">
        <v>5.9</v>
      </c>
      <c r="J391" t="n">
        <v>1</v>
      </c>
      <c r="K391" t="n">
        <v>1</v>
      </c>
      <c r="L391" t="n">
        <v>0</v>
      </c>
      <c r="M391" t="n">
        <v>0</v>
      </c>
      <c r="N391" t="n">
        <v>0</v>
      </c>
      <c r="O391" t="n">
        <v>0</v>
      </c>
      <c r="P391" t="n">
        <v>0</v>
      </c>
      <c r="Q391" t="n">
        <v>0</v>
      </c>
      <c r="R391" t="n">
        <v>0</v>
      </c>
      <c r="S391" t="n">
        <v>1</v>
      </c>
      <c r="T391" t="n">
        <v>1</v>
      </c>
      <c r="U391" t="n">
        <v>0</v>
      </c>
      <c r="V391" s="2" t="inlineStr">
        <is>
          <t>Plattlummer</t>
        </is>
      </c>
      <c r="W391">
        <f>HYPERLINK("https://klasma.github.io/Logging_2313/artfynd/A 43206-2026 artfynd.xlsx", "A 43206-2026")</f>
        <v/>
      </c>
      <c r="X391">
        <f>HYPERLINK("https://klasma.github.io/Logging_2313/kartor/A 43206-2026 karta.png", "A 43206-2026")</f>
        <v/>
      </c>
      <c r="Y391">
        <f>HYPERLINK("https://klasma.github.io/Logging_2313/kartor_geotiff/A 43206-2026 georefererad karta.tif", "A 43206-2026")</f>
        <v/>
      </c>
      <c r="AA391">
        <f>HYPERLINK("https://klasma.github.io/Logging_2313/klagomål/A 43206-2026 FSC-klagomål.docx", "A 43206-2026")</f>
        <v/>
      </c>
      <c r="AB391">
        <f>HYPERLINK("https://klasma.github.io/Logging_2313/klagomålsmail/A 43206-2026 FSC-klagomål mail.docx", "A 43206-2026")</f>
        <v/>
      </c>
      <c r="AC391">
        <f>HYPERLINK("https://klasma.github.io/Logging_2313/tillsyn/A 43206-2026 tillsynsbegäran.docx", "A 43206-2026")</f>
        <v/>
      </c>
      <c r="AD391">
        <f>HYPERLINK("https://klasma.github.io/Logging_2313/tillsynsmail/A 43206-2026 tillsynsbegäran mail.docx", "A 43206-2026")</f>
        <v/>
      </c>
    </row>
    <row r="392" ht="15" customHeight="1">
      <c r="A392" t="inlineStr">
        <is>
          <t>A 17668-2026</t>
        </is>
      </c>
      <c r="B392" t="inlineStr">
        <is>
          <t>avverkningsanmälan</t>
        </is>
      </c>
      <c r="C392" t="inlineStr">
        <is>
          <t>Avverkning för annat ändamål</t>
        </is>
      </c>
      <c r="D392" s="1" t="n">
        <v>46120</v>
      </c>
      <c r="E392" s="1" t="n">
        <v>46318</v>
      </c>
      <c r="F392" t="inlineStr">
        <is>
          <t>JÄMTLANDS LÄN</t>
        </is>
      </c>
      <c r="G392" t="inlineStr">
        <is>
          <t>STRÖMSUND</t>
        </is>
      </c>
      <c r="I392" t="n">
        <v>1.9</v>
      </c>
      <c r="J392" t="n">
        <v>0</v>
      </c>
      <c r="K392" t="n">
        <v>0</v>
      </c>
      <c r="L392" t="n">
        <v>0</v>
      </c>
      <c r="M392" t="n">
        <v>1</v>
      </c>
      <c r="N392" t="n">
        <v>0</v>
      </c>
      <c r="O392" t="n">
        <v>0</v>
      </c>
      <c r="P392" t="n">
        <v>0</v>
      </c>
      <c r="Q392" t="n">
        <v>1</v>
      </c>
      <c r="R392" t="n">
        <v>1</v>
      </c>
      <c r="S392" t="n">
        <v>1</v>
      </c>
      <c r="T392" t="n">
        <v>1</v>
      </c>
      <c r="U392" t="n">
        <v>1</v>
      </c>
      <c r="V392" s="2" t="inlineStr">
        <is>
          <t>Garnlav</t>
        </is>
      </c>
      <c r="W392">
        <f>HYPERLINK("https://klasma.github.io/Logging_2313/artfynd/A 17668-2026 artfynd.xlsx", "A 17668-2026")</f>
        <v/>
      </c>
      <c r="X392">
        <f>HYPERLINK("https://klasma.github.io/Logging_2313/kartor/A 17668-2026 karta.png", "A 17668-2026")</f>
        <v/>
      </c>
      <c r="Y392">
        <f>HYPERLINK("https://klasma.github.io/Logging_2313/kartor_geotiff/A 17668-2026 georefererad karta.tif", "A 17668-2026")</f>
        <v/>
      </c>
      <c r="AA392">
        <f>HYPERLINK("https://klasma.github.io/Logging_2313/klagomål/A 17668-2026 FSC-klagomål.docx", "A 17668-2026")</f>
        <v/>
      </c>
      <c r="AB392">
        <f>HYPERLINK("https://klasma.github.io/Logging_2313/klagomålsmail/A 17668-2026 FSC-klagomål mail.docx", "A 17668-2026")</f>
        <v/>
      </c>
      <c r="AC392">
        <f>HYPERLINK("https://klasma.github.io/Logging_2313/tillsyn/A 17668-2026 tillsynsbegäran.docx", "A 17668-2026")</f>
        <v/>
      </c>
      <c r="AD392">
        <f>HYPERLINK("https://klasma.github.io/Logging_2313/tillsynsmail/A 17668-2026 tillsynsbegäran mail.docx", "A 17668-2026")</f>
        <v/>
      </c>
    </row>
    <row r="393" ht="15" customHeight="1">
      <c r="A393" t="inlineStr">
        <is>
          <t>A 19664-2026</t>
        </is>
      </c>
      <c r="B393" t="inlineStr">
        <is>
          <t>avverkningsanmälan</t>
        </is>
      </c>
      <c r="C393" t="inlineStr">
        <is>
          <t>Föryngringsavverkning</t>
        </is>
      </c>
      <c r="D393" s="1" t="n">
        <v>46134</v>
      </c>
      <c r="E393" s="1" t="n">
        <v>46318</v>
      </c>
      <c r="F393" t="inlineStr">
        <is>
          <t>JÄMTLANDS LÄN</t>
        </is>
      </c>
      <c r="G393" t="inlineStr">
        <is>
          <t>STRÖMSUND</t>
        </is>
      </c>
      <c r="H393" t="inlineStr">
        <is>
          <t>SCA</t>
        </is>
      </c>
      <c r="I393" t="n">
        <v>3.6</v>
      </c>
      <c r="J393" t="n">
        <v>0</v>
      </c>
      <c r="K393" t="n">
        <v>0</v>
      </c>
      <c r="L393" t="n">
        <v>1</v>
      </c>
      <c r="M393" t="n">
        <v>0</v>
      </c>
      <c r="N393" t="n">
        <v>0</v>
      </c>
      <c r="O393" t="n">
        <v>0</v>
      </c>
      <c r="P393" t="n">
        <v>0</v>
      </c>
      <c r="Q393" t="n">
        <v>1</v>
      </c>
      <c r="R393" t="n">
        <v>0</v>
      </c>
      <c r="S393" t="n">
        <v>1</v>
      </c>
      <c r="T393" t="n">
        <v>1</v>
      </c>
      <c r="U393" t="n">
        <v>0</v>
      </c>
      <c r="V393" s="2" t="inlineStr">
        <is>
          <t>Kortskaftad ärgspik</t>
        </is>
      </c>
      <c r="W393">
        <f>HYPERLINK("https://klasma.github.io/Logging_2313/artfynd/A 19664-2026 artfynd.xlsx", "A 19664-2026")</f>
        <v/>
      </c>
      <c r="X393">
        <f>HYPERLINK("https://klasma.github.io/Logging_2313/kartor/A 19664-2026 karta.png", "A 19664-2026")</f>
        <v/>
      </c>
      <c r="Y393">
        <f>HYPERLINK("https://klasma.github.io/Logging_2313/kartor_geotiff/A 19664-2026 georefererad karta.tif", "A 19664-2026")</f>
        <v/>
      </c>
      <c r="AA393">
        <f>HYPERLINK("https://klasma.github.io/Logging_2313/klagomål/A 19664-2026 FSC-klagomål.docx", "A 19664-2026")</f>
        <v/>
      </c>
      <c r="AB393">
        <f>HYPERLINK("https://klasma.github.io/Logging_2313/klagomålsmail/A 19664-2026 FSC-klagomål mail.docx", "A 19664-2026")</f>
        <v/>
      </c>
      <c r="AC393">
        <f>HYPERLINK("https://klasma.github.io/Logging_2313/tillsyn/A 19664-2026 tillsynsbegäran.docx", "A 19664-2026")</f>
        <v/>
      </c>
      <c r="AD393">
        <f>HYPERLINK("https://klasma.github.io/Logging_2313/tillsynsmail/A 19664-2026 tillsynsbegäran mail.docx", "A 19664-2026")</f>
        <v/>
      </c>
    </row>
    <row r="394" ht="15" customHeight="1">
      <c r="A394" t="inlineStr">
        <is>
          <t>A 15258-2024</t>
        </is>
      </c>
      <c r="B394" t="inlineStr">
        <is>
          <t>avverkningsanmälan</t>
        </is>
      </c>
      <c r="C394" t="inlineStr">
        <is>
          <t>Föryngringsavverkning</t>
        </is>
      </c>
      <c r="D394" s="1" t="n">
        <v>45400</v>
      </c>
      <c r="E394" s="1" t="n">
        <v>46318</v>
      </c>
      <c r="F394" t="inlineStr">
        <is>
          <t>JÄMTLANDS LÄN</t>
        </is>
      </c>
      <c r="G394" t="inlineStr">
        <is>
          <t>STRÖMSUND</t>
        </is>
      </c>
      <c r="I394" t="n">
        <v>40.8</v>
      </c>
      <c r="J394" t="n">
        <v>0</v>
      </c>
      <c r="K394" t="n">
        <v>1</v>
      </c>
      <c r="L394" t="n">
        <v>0</v>
      </c>
      <c r="M394" t="n">
        <v>0</v>
      </c>
      <c r="N394" t="n">
        <v>0</v>
      </c>
      <c r="O394" t="n">
        <v>0</v>
      </c>
      <c r="P394" t="n">
        <v>0</v>
      </c>
      <c r="Q394" t="n">
        <v>0</v>
      </c>
      <c r="R394" t="n">
        <v>0</v>
      </c>
      <c r="S394" t="n">
        <v>1</v>
      </c>
      <c r="T394" t="n">
        <v>1</v>
      </c>
      <c r="U394" t="n">
        <v>0</v>
      </c>
      <c r="V394" s="2" t="inlineStr">
        <is>
          <t>Finbräken</t>
        </is>
      </c>
      <c r="W394">
        <f>HYPERLINK("https://klasma.github.io/Logging_2313/artfynd/A 15258-2024 artfynd.xlsx", "A 15258-2024")</f>
        <v/>
      </c>
      <c r="X394">
        <f>HYPERLINK("https://klasma.github.io/Logging_2313/kartor/A 15258-2024 karta.png", "A 15258-2024")</f>
        <v/>
      </c>
      <c r="Y394">
        <f>HYPERLINK("https://klasma.github.io/Logging_2313/kartor_geotiff/A 15258-2024 georefererad karta.tif", "A 15258-2024")</f>
        <v/>
      </c>
      <c r="AA394">
        <f>HYPERLINK("https://klasma.github.io/Logging_2313/klagomål/A 15258-2024 FSC-klagomål.docx", "A 15258-2024")</f>
        <v/>
      </c>
      <c r="AB394">
        <f>HYPERLINK("https://klasma.github.io/Logging_2313/klagomålsmail/A 15258-2024 FSC-klagomål mail.docx", "A 15258-2024")</f>
        <v/>
      </c>
      <c r="AC394">
        <f>HYPERLINK("https://klasma.github.io/Logging_2313/tillsyn/A 15258-2024 tillsynsbegäran.docx", "A 15258-2024")</f>
        <v/>
      </c>
      <c r="AD394">
        <f>HYPERLINK("https://klasma.github.io/Logging_2313/tillsynsmail/A 15258-2024 tillsynsbegäran mail.docx", "A 15258-2024")</f>
        <v/>
      </c>
    </row>
    <row r="395" ht="15" customHeight="1">
      <c r="A395" t="inlineStr">
        <is>
          <t>A 31808-2026</t>
        </is>
      </c>
      <c r="B395" t="inlineStr">
        <is>
          <t>avverkningsanmälan</t>
        </is>
      </c>
      <c r="C395" t="inlineStr">
        <is>
          <t>Avverkning för att bevara och utveckla /försöksver</t>
        </is>
      </c>
      <c r="D395" s="1" t="n">
        <v>46230</v>
      </c>
      <c r="E395" s="1" t="n">
        <v>46318</v>
      </c>
      <c r="F395" t="inlineStr">
        <is>
          <t>JÄMTLANDS LÄN</t>
        </is>
      </c>
      <c r="G395" t="inlineStr">
        <is>
          <t>STRÖMSUND</t>
        </is>
      </c>
      <c r="H395" t="inlineStr">
        <is>
          <t>SCA</t>
        </is>
      </c>
      <c r="I395" t="n">
        <v>6.2</v>
      </c>
      <c r="J395" t="n">
        <v>0</v>
      </c>
      <c r="K395" t="n">
        <v>0</v>
      </c>
      <c r="L395" t="n">
        <v>1</v>
      </c>
      <c r="M395" t="n">
        <v>0</v>
      </c>
      <c r="N395" t="n">
        <v>0</v>
      </c>
      <c r="O395" t="n">
        <v>0</v>
      </c>
      <c r="P395" t="n">
        <v>0</v>
      </c>
      <c r="Q395" t="n">
        <v>1</v>
      </c>
      <c r="R395" t="n">
        <v>0</v>
      </c>
      <c r="S395" t="n">
        <v>1</v>
      </c>
      <c r="T395" t="n">
        <v>1</v>
      </c>
      <c r="U395" t="n">
        <v>0</v>
      </c>
      <c r="V395" s="2" t="inlineStr">
        <is>
          <t>Harticka</t>
        </is>
      </c>
      <c r="W395">
        <f>HYPERLINK("https://klasma.github.io/Logging_2313/artfynd/A 31808-2026 artfynd.xlsx", "A 31808-2026")</f>
        <v/>
      </c>
      <c r="X395">
        <f>HYPERLINK("https://klasma.github.io/Logging_2313/kartor/A 31808-2026 karta.png", "A 31808-2026")</f>
        <v/>
      </c>
      <c r="Y395">
        <f>HYPERLINK("https://klasma.github.io/Logging_2313/kartor_geotiff/A 31808-2026 georefererad karta.tif", "A 31808-2026")</f>
        <v/>
      </c>
      <c r="AA395">
        <f>HYPERLINK("https://klasma.github.io/Logging_2313/klagomål/A 31808-2026 FSC-klagomål.docx", "A 31808-2026")</f>
        <v/>
      </c>
      <c r="AB395">
        <f>HYPERLINK("https://klasma.github.io/Logging_2313/klagomålsmail/A 31808-2026 FSC-klagomål mail.docx", "A 31808-2026")</f>
        <v/>
      </c>
      <c r="AC395">
        <f>HYPERLINK("https://klasma.github.io/Logging_2313/tillsyn/A 31808-2026 tillsynsbegäran.docx", "A 31808-2026")</f>
        <v/>
      </c>
      <c r="AD395">
        <f>HYPERLINK("https://klasma.github.io/Logging_2313/tillsynsmail/A 31808-2026 tillsynsbegäran mail.docx", "A 31808-2026")</f>
        <v/>
      </c>
    </row>
    <row r="396" ht="15" customHeight="1">
      <c r="A396" t="inlineStr">
        <is>
          <t>A 44402-2023</t>
        </is>
      </c>
      <c r="B396" t="inlineStr">
        <is>
          <t>avverkningsanmälan</t>
        </is>
      </c>
      <c r="C396" t="inlineStr">
        <is>
          <t>Avverkning för att bevara och utveckla /försöksver</t>
        </is>
      </c>
      <c r="D396" s="1" t="n">
        <v>45188</v>
      </c>
      <c r="E396" s="1" t="n">
        <v>46318</v>
      </c>
      <c r="F396" t="inlineStr">
        <is>
          <t>JÄMTLANDS LÄN</t>
        </is>
      </c>
      <c r="G396" t="inlineStr">
        <is>
          <t>STRÖMSUND</t>
        </is>
      </c>
      <c r="H396" t="inlineStr">
        <is>
          <t>SCA</t>
        </is>
      </c>
      <c r="I396" t="n">
        <v>4.6</v>
      </c>
      <c r="J396" t="n">
        <v>0</v>
      </c>
      <c r="K396" t="n">
        <v>0</v>
      </c>
      <c r="L396" t="n">
        <v>1</v>
      </c>
      <c r="M396" t="n">
        <v>0</v>
      </c>
      <c r="N396" t="n">
        <v>0</v>
      </c>
      <c r="O396" t="n">
        <v>0</v>
      </c>
      <c r="P396" t="n">
        <v>0</v>
      </c>
      <c r="Q396" t="n">
        <v>1</v>
      </c>
      <c r="R396" t="n">
        <v>0</v>
      </c>
      <c r="S396" t="n">
        <v>1</v>
      </c>
      <c r="T396" t="n">
        <v>1</v>
      </c>
      <c r="U396" t="n">
        <v>0</v>
      </c>
      <c r="V396" s="2" t="inlineStr">
        <is>
          <t>Doftskinn</t>
        </is>
      </c>
      <c r="W396">
        <f>HYPERLINK("https://klasma.github.io/Logging_2313/artfynd/A 44402-2023 artfynd.xlsx", "A 44402-2023")</f>
        <v/>
      </c>
      <c r="X396">
        <f>HYPERLINK("https://klasma.github.io/Logging_2313/kartor/A 44402-2023 karta.png", "A 44402-2023")</f>
        <v/>
      </c>
      <c r="Y396">
        <f>HYPERLINK("https://klasma.github.io/Logging_2313/kartor_geotiff/A 44402-2023 georefererad karta.tif", "A 44402-2023")</f>
        <v/>
      </c>
      <c r="AA396">
        <f>HYPERLINK("https://klasma.github.io/Logging_2313/klagomål/A 44402-2023 FSC-klagomål.docx", "A 44402-2023")</f>
        <v/>
      </c>
      <c r="AB396">
        <f>HYPERLINK("https://klasma.github.io/Logging_2313/klagomålsmail/A 44402-2023 FSC-klagomål mail.docx", "A 44402-2023")</f>
        <v/>
      </c>
      <c r="AC396">
        <f>HYPERLINK("https://klasma.github.io/Logging_2313/tillsyn/A 44402-2023 tillsynsbegäran.docx", "A 44402-2023")</f>
        <v/>
      </c>
      <c r="AD396">
        <f>HYPERLINK("https://klasma.github.io/Logging_2313/tillsynsmail/A 44402-2023 tillsynsbegäran mail.docx", "A 44402-2023")</f>
        <v/>
      </c>
    </row>
    <row r="397" ht="15" customHeight="1">
      <c r="A397" t="inlineStr">
        <is>
          <t>A 39075-2023</t>
        </is>
      </c>
      <c r="B397" t="inlineStr">
        <is>
          <t>avverkningsanmälan</t>
        </is>
      </c>
      <c r="C397" t="inlineStr">
        <is>
          <t>Avverkning för att bevara och utveckla /försöksver</t>
        </is>
      </c>
      <c r="D397" s="1" t="n">
        <v>45163</v>
      </c>
      <c r="E397" s="1" t="n">
        <v>46318</v>
      </c>
      <c r="F397" t="inlineStr">
        <is>
          <t>JÄMTLANDS LÄN</t>
        </is>
      </c>
      <c r="G397" t="inlineStr">
        <is>
          <t>STRÖMSUND</t>
        </is>
      </c>
      <c r="H397" t="inlineStr">
        <is>
          <t>SCA</t>
        </is>
      </c>
      <c r="I397" t="n">
        <v>2.1</v>
      </c>
      <c r="J397" t="n">
        <v>0</v>
      </c>
      <c r="K397" t="n">
        <v>0</v>
      </c>
      <c r="L397" t="n">
        <v>1</v>
      </c>
      <c r="M397" t="n">
        <v>0</v>
      </c>
      <c r="N397" t="n">
        <v>0</v>
      </c>
      <c r="O397" t="n">
        <v>0</v>
      </c>
      <c r="P397" t="n">
        <v>0</v>
      </c>
      <c r="Q397" t="n">
        <v>1</v>
      </c>
      <c r="R397" t="n">
        <v>0</v>
      </c>
      <c r="S397" t="n">
        <v>1</v>
      </c>
      <c r="T397" t="n">
        <v>1</v>
      </c>
      <c r="U397" t="n">
        <v>0</v>
      </c>
      <c r="V397" s="2" t="inlineStr">
        <is>
          <t>Brunpudrad nållav</t>
        </is>
      </c>
      <c r="W397">
        <f>HYPERLINK("https://klasma.github.io/Logging_2313/artfynd/A 39075-2023 artfynd.xlsx", "A 39075-2023")</f>
        <v/>
      </c>
      <c r="X397">
        <f>HYPERLINK("https://klasma.github.io/Logging_2313/kartor/A 39075-2023 karta.png", "A 39075-2023")</f>
        <v/>
      </c>
      <c r="Y397">
        <f>HYPERLINK("https://klasma.github.io/Logging_2313/kartor_geotiff/A 39075-2023 georefererad karta.tif", "A 39075-2023")</f>
        <v/>
      </c>
      <c r="AA397">
        <f>HYPERLINK("https://klasma.github.io/Logging_2313/klagomål/A 39075-2023 FSC-klagomål.docx", "A 39075-2023")</f>
        <v/>
      </c>
      <c r="AB397">
        <f>HYPERLINK("https://klasma.github.io/Logging_2313/klagomålsmail/A 39075-2023 FSC-klagomål mail.docx", "A 39075-2023")</f>
        <v/>
      </c>
      <c r="AC397">
        <f>HYPERLINK("https://klasma.github.io/Logging_2313/tillsyn/A 39075-2023 tillsynsbegäran.docx", "A 39075-2023")</f>
        <v/>
      </c>
      <c r="AD397">
        <f>HYPERLINK("https://klasma.github.io/Logging_2313/tillsynsmail/A 39075-2023 tillsynsbegäran mail.docx", "A 39075-2023")</f>
        <v/>
      </c>
    </row>
    <row r="398" ht="15" customHeight="1">
      <c r="A398" t="inlineStr">
        <is>
          <t>A 69551-2021</t>
        </is>
      </c>
      <c r="B398" t="inlineStr">
        <is>
          <t>avverkningsanmälan</t>
        </is>
      </c>
      <c r="C398" t="inlineStr">
        <is>
          <t>Föryngringsavverkning</t>
        </is>
      </c>
      <c r="D398" s="1" t="n">
        <v>44531</v>
      </c>
      <c r="E398" s="1" t="n">
        <v>46318</v>
      </c>
      <c r="F398" t="inlineStr">
        <is>
          <t>JÄMTLANDS LÄN</t>
        </is>
      </c>
      <c r="G398" t="inlineStr">
        <is>
          <t>STRÖMSUND</t>
        </is>
      </c>
      <c r="H398" t="inlineStr">
        <is>
          <t>SCA</t>
        </is>
      </c>
      <c r="I398" t="n">
        <v>14.1</v>
      </c>
      <c r="J398" t="n">
        <v>0</v>
      </c>
      <c r="K398" t="n">
        <v>0</v>
      </c>
      <c r="L398" t="n">
        <v>1</v>
      </c>
      <c r="M398" t="n">
        <v>0</v>
      </c>
      <c r="N398" t="n">
        <v>0</v>
      </c>
      <c r="O398" t="n">
        <v>0</v>
      </c>
      <c r="P398" t="n">
        <v>0</v>
      </c>
      <c r="Q398" t="n">
        <v>1</v>
      </c>
      <c r="R398" t="n">
        <v>0</v>
      </c>
      <c r="S398" t="n">
        <v>1</v>
      </c>
      <c r="T398" t="n">
        <v>1</v>
      </c>
      <c r="U398" t="n">
        <v>0</v>
      </c>
      <c r="V398" s="2" t="inlineStr">
        <is>
          <t>Skrovellav</t>
        </is>
      </c>
      <c r="W398">
        <f>HYPERLINK("https://klasma.github.io/Logging_2313/artfynd/A 69551-2021 artfynd.xlsx", "A 69551-2021")</f>
        <v/>
      </c>
      <c r="X398">
        <f>HYPERLINK("https://klasma.github.io/Logging_2313/kartor/A 69551-2021 karta.png", "A 69551-2021")</f>
        <v/>
      </c>
      <c r="Y398">
        <f>HYPERLINK("https://klasma.github.io/Logging_2313/kartor_geotiff/A 69551-2021 georefererad karta.tif", "A 69551-2021")</f>
        <v/>
      </c>
      <c r="AA398">
        <f>HYPERLINK("https://klasma.github.io/Logging_2313/klagomål/A 69551-2021 FSC-klagomål.docx", "A 69551-2021")</f>
        <v/>
      </c>
      <c r="AB398">
        <f>HYPERLINK("https://klasma.github.io/Logging_2313/klagomålsmail/A 69551-2021 FSC-klagomål mail.docx", "A 69551-2021")</f>
        <v/>
      </c>
      <c r="AC398">
        <f>HYPERLINK("https://klasma.github.io/Logging_2313/tillsyn/A 69551-2021 tillsynsbegäran.docx", "A 69551-2021")</f>
        <v/>
      </c>
      <c r="AD398">
        <f>HYPERLINK("https://klasma.github.io/Logging_2313/tillsynsmail/A 69551-2021 tillsynsbegäran mail.docx", "A 69551-2021")</f>
        <v/>
      </c>
    </row>
    <row r="399" ht="15" customHeight="1">
      <c r="A399" t="inlineStr">
        <is>
          <t>A 45366-2023</t>
        </is>
      </c>
      <c r="B399" t="inlineStr">
        <is>
          <t>avverkningsanmälan</t>
        </is>
      </c>
      <c r="C399" t="inlineStr">
        <is>
          <t>Föryngringsavverkning</t>
        </is>
      </c>
      <c r="D399" s="1" t="n">
        <v>45192</v>
      </c>
      <c r="E399" s="1" t="n">
        <v>46318</v>
      </c>
      <c r="F399" t="inlineStr">
        <is>
          <t>JÄMTLANDS LÄN</t>
        </is>
      </c>
      <c r="G399" t="inlineStr">
        <is>
          <t>STRÖMSUND</t>
        </is>
      </c>
      <c r="I399" t="n">
        <v>0.8</v>
      </c>
      <c r="J399" t="n">
        <v>0</v>
      </c>
      <c r="K399" t="n">
        <v>0</v>
      </c>
      <c r="L399" t="n">
        <v>1</v>
      </c>
      <c r="M399" t="n">
        <v>0</v>
      </c>
      <c r="N399" t="n">
        <v>0</v>
      </c>
      <c r="O399" t="n">
        <v>0</v>
      </c>
      <c r="P399" t="n">
        <v>0</v>
      </c>
      <c r="Q399" t="n">
        <v>1</v>
      </c>
      <c r="R399" t="n">
        <v>0</v>
      </c>
      <c r="S399" t="n">
        <v>1</v>
      </c>
      <c r="T399" t="n">
        <v>1</v>
      </c>
      <c r="U399" t="n">
        <v>0</v>
      </c>
      <c r="V399" s="2" t="inlineStr">
        <is>
          <t>Turkos blåvinge</t>
        </is>
      </c>
      <c r="W399">
        <f>HYPERLINK("https://klasma.github.io/Logging_2313/artfynd/A 45366-2023 artfynd.xlsx", "A 45366-2023")</f>
        <v/>
      </c>
      <c r="X399">
        <f>HYPERLINK("https://klasma.github.io/Logging_2313/kartor/A 45366-2023 karta.png", "A 45366-2023")</f>
        <v/>
      </c>
      <c r="Y399">
        <f>HYPERLINK("https://klasma.github.io/Logging_2313/kartor_geotiff/A 45366-2023 georefererad karta.tif", "A 45366-2023")</f>
        <v/>
      </c>
      <c r="AA399">
        <f>HYPERLINK("https://klasma.github.io/Logging_2313/klagomål/A 45366-2023 FSC-klagomål.docx", "A 45366-2023")</f>
        <v/>
      </c>
      <c r="AB399">
        <f>HYPERLINK("https://klasma.github.io/Logging_2313/klagomålsmail/A 45366-2023 FSC-klagomål mail.docx", "A 45366-2023")</f>
        <v/>
      </c>
      <c r="AC399">
        <f>HYPERLINK("https://klasma.github.io/Logging_2313/tillsyn/A 45366-2023 tillsynsbegäran.docx", "A 45366-2023")</f>
        <v/>
      </c>
      <c r="AD399">
        <f>HYPERLINK("https://klasma.github.io/Logging_2313/tillsynsmail/A 45366-2023 tillsynsbegäran mail.docx", "A 45366-2023")</f>
        <v/>
      </c>
    </row>
    <row r="400" ht="15" customHeight="1">
      <c r="A400" t="inlineStr">
        <is>
          <t>A 13897-2023</t>
        </is>
      </c>
      <c r="B400" t="inlineStr">
        <is>
          <t>avverkningsanmälan</t>
        </is>
      </c>
      <c r="C400" t="inlineStr">
        <is>
          <t>Avverkning för annat ändamål</t>
        </is>
      </c>
      <c r="D400" s="1" t="n">
        <v>45008</v>
      </c>
      <c r="E400" s="1" t="n">
        <v>46318</v>
      </c>
      <c r="F400" t="inlineStr">
        <is>
          <t>JÄMTLANDS LÄN</t>
        </is>
      </c>
      <c r="G400" t="inlineStr">
        <is>
          <t>STRÖMSUND</t>
        </is>
      </c>
      <c r="H400" t="inlineStr">
        <is>
          <t>Holmen skog AB</t>
        </is>
      </c>
      <c r="I400" t="n">
        <v>2.6</v>
      </c>
      <c r="J400" t="n">
        <v>0</v>
      </c>
      <c r="K400" t="n">
        <v>0</v>
      </c>
      <c r="L400" t="n">
        <v>1</v>
      </c>
      <c r="M400" t="n">
        <v>0</v>
      </c>
      <c r="N400" t="n">
        <v>0</v>
      </c>
      <c r="O400" t="n">
        <v>0</v>
      </c>
      <c r="P400" t="n">
        <v>0</v>
      </c>
      <c r="Q400" t="n">
        <v>1</v>
      </c>
      <c r="R400" t="n">
        <v>0</v>
      </c>
      <c r="S400" t="n">
        <v>1</v>
      </c>
      <c r="T400" t="n">
        <v>2</v>
      </c>
      <c r="U400" t="n">
        <v>0</v>
      </c>
      <c r="V400" s="2" t="inlineStr">
        <is>
          <t>Kolflarnlav</t>
        </is>
      </c>
      <c r="W400">
        <f>HYPERLINK("https://klasma.github.io/Logging_2313/artfynd/A 13897-2023 artfynd.xlsx", "A 13897-2023")</f>
        <v/>
      </c>
      <c r="X400">
        <f>HYPERLINK("https://klasma.github.io/Logging_2313/kartor/A 13897-2023 karta.png", "A 13897-2023")</f>
        <v/>
      </c>
      <c r="Y400">
        <f>HYPERLINK("https://klasma.github.io/Logging_2313/kartor_geotiff/A 13897-2023 georefererad karta.tif", "A 13897-2023")</f>
        <v/>
      </c>
      <c r="AA400">
        <f>HYPERLINK("https://klasma.github.io/Logging_2313/klagomål/A 13897-2023 FSC-klagomål.docx", "A 13897-2023")</f>
        <v/>
      </c>
      <c r="AB400">
        <f>HYPERLINK("https://klasma.github.io/Logging_2313/klagomålsmail/A 13897-2023 FSC-klagomål mail.docx", "A 13897-2023")</f>
        <v/>
      </c>
      <c r="AC400">
        <f>HYPERLINK("https://klasma.github.io/Logging_2313/tillsyn/A 13897-2023 tillsynsbegäran.docx", "A 13897-2023")</f>
        <v/>
      </c>
      <c r="AD400">
        <f>HYPERLINK("https://klasma.github.io/Logging_2313/tillsynsmail/A 13897-2023 tillsynsbegäran mail.docx", "A 13897-2023")</f>
        <v/>
      </c>
    </row>
    <row r="401" ht="15" customHeight="1">
      <c r="A401" t="inlineStr">
        <is>
          <t>A 8896-2024</t>
        </is>
      </c>
      <c r="B401" t="inlineStr">
        <is>
          <t>avverkningsanmälan</t>
        </is>
      </c>
      <c r="C401" t="inlineStr">
        <is>
          <t>Avverkning för att bevara och utveckla /försöksver</t>
        </is>
      </c>
      <c r="D401" s="1" t="n">
        <v>45357</v>
      </c>
      <c r="E401" s="1" t="n">
        <v>46318</v>
      </c>
      <c r="F401" t="inlineStr">
        <is>
          <t>JÄMTLANDS LÄN</t>
        </is>
      </c>
      <c r="G401" t="inlineStr">
        <is>
          <t>STRÖMSUND</t>
        </is>
      </c>
      <c r="H401" t="inlineStr">
        <is>
          <t>Holmen skog AB</t>
        </is>
      </c>
      <c r="I401" t="n">
        <v>2.6</v>
      </c>
      <c r="J401" t="n">
        <v>1</v>
      </c>
      <c r="K401" t="n">
        <v>0</v>
      </c>
      <c r="L401" t="n">
        <v>1</v>
      </c>
      <c r="M401" t="n">
        <v>0</v>
      </c>
      <c r="N401" t="n">
        <v>0</v>
      </c>
      <c r="O401" t="n">
        <v>0</v>
      </c>
      <c r="P401" t="n">
        <v>0</v>
      </c>
      <c r="Q401" t="n">
        <v>1</v>
      </c>
      <c r="R401" t="n">
        <v>0</v>
      </c>
      <c r="S401" t="n">
        <v>1</v>
      </c>
      <c r="T401" t="n">
        <v>2</v>
      </c>
      <c r="U401" t="n">
        <v>2</v>
      </c>
      <c r="V401" s="2" t="inlineStr">
        <is>
          <t>Tretåig hackspett</t>
        </is>
      </c>
      <c r="W401">
        <f>HYPERLINK("https://klasma.github.io/Logging_2313/artfynd/A 8896-2024 artfynd.xlsx", "A 8896-2024")</f>
        <v/>
      </c>
      <c r="X401">
        <f>HYPERLINK("https://klasma.github.io/Logging_2313/kartor/A 8896-2024 karta.png", "A 8896-2024")</f>
        <v/>
      </c>
      <c r="Y401">
        <f>HYPERLINK("https://klasma.github.io/Logging_2313/kartor_geotiff/A 8896-2024 georefererad karta.tif", "A 8896-2024")</f>
        <v/>
      </c>
      <c r="AA401">
        <f>HYPERLINK("https://klasma.github.io/Logging_2313/klagomål/A 8896-2024 FSC-klagomål.docx", "A 8896-2024")</f>
        <v/>
      </c>
      <c r="AB401">
        <f>HYPERLINK("https://klasma.github.io/Logging_2313/klagomålsmail/A 8896-2024 FSC-klagomål mail.docx", "A 8896-2024")</f>
        <v/>
      </c>
      <c r="AC401">
        <f>HYPERLINK("https://klasma.github.io/Logging_2313/tillsyn/A 8896-2024 tillsynsbegäran.docx", "A 8896-2024")</f>
        <v/>
      </c>
      <c r="AD401">
        <f>HYPERLINK("https://klasma.github.io/Logging_2313/tillsynsmail/A 8896-2024 tillsynsbegäran mail.docx", "A 8896-2024")</f>
        <v/>
      </c>
      <c r="AE401">
        <f>HYPERLINK("https://klasma.github.io/Logging_2313/fåglar/A 8896-2024 prioriterade fågelarter.docx", "A 8896-2024")</f>
        <v/>
      </c>
    </row>
    <row r="402" ht="15" customHeight="1">
      <c r="A402" t="inlineStr">
        <is>
          <t>A 49374-2024</t>
        </is>
      </c>
      <c r="B402" t="inlineStr">
        <is>
          <t>avverkningsanmälan</t>
        </is>
      </c>
      <c r="C402" t="inlineStr">
        <is>
          <t>Avverkning för att bevara och utveckla /försöksver</t>
        </is>
      </c>
      <c r="D402" s="1" t="n">
        <v>45595</v>
      </c>
      <c r="E402" s="1" t="n">
        <v>46318</v>
      </c>
      <c r="F402" t="inlineStr">
        <is>
          <t>JÄMTLANDS LÄN</t>
        </is>
      </c>
      <c r="G402" t="inlineStr">
        <is>
          <t>STRÖMSUND</t>
        </is>
      </c>
      <c r="H402" t="inlineStr">
        <is>
          <t>SCA</t>
        </is>
      </c>
      <c r="I402" t="n">
        <v>1.5</v>
      </c>
      <c r="J402" t="n">
        <v>0</v>
      </c>
      <c r="K402" t="n">
        <v>0</v>
      </c>
      <c r="L402" t="n">
        <v>1</v>
      </c>
      <c r="M402" t="n">
        <v>0</v>
      </c>
      <c r="N402" t="n">
        <v>0</v>
      </c>
      <c r="O402" t="n">
        <v>0</v>
      </c>
      <c r="P402" t="n">
        <v>0</v>
      </c>
      <c r="Q402" t="n">
        <v>1</v>
      </c>
      <c r="R402" t="n">
        <v>0</v>
      </c>
      <c r="S402" t="n">
        <v>1</v>
      </c>
      <c r="T402" t="n">
        <v>1</v>
      </c>
      <c r="U402" t="n">
        <v>0</v>
      </c>
      <c r="V402" s="2" t="inlineStr">
        <is>
          <t>Veckticka</t>
        </is>
      </c>
      <c r="W402">
        <f>HYPERLINK("https://klasma.github.io/Logging_2313/artfynd/A 49374-2024 artfynd.xlsx", "A 49374-2024")</f>
        <v/>
      </c>
      <c r="X402">
        <f>HYPERLINK("https://klasma.github.io/Logging_2313/kartor/A 49374-2024 karta.png", "A 49374-2024")</f>
        <v/>
      </c>
      <c r="Y402">
        <f>HYPERLINK("https://klasma.github.io/Logging_2313/kartor_geotiff/A 49374-2024 georefererad karta.tif", "A 49374-2024")</f>
        <v/>
      </c>
      <c r="AA402">
        <f>HYPERLINK("https://klasma.github.io/Logging_2313/klagomål/A 49374-2024 FSC-klagomål.docx", "A 49374-2024")</f>
        <v/>
      </c>
      <c r="AB402">
        <f>HYPERLINK("https://klasma.github.io/Logging_2313/klagomålsmail/A 49374-2024 FSC-klagomål mail.docx", "A 49374-2024")</f>
        <v/>
      </c>
      <c r="AC402">
        <f>HYPERLINK("https://klasma.github.io/Logging_2313/tillsyn/A 49374-2024 tillsynsbegäran.docx", "A 49374-2024")</f>
        <v/>
      </c>
      <c r="AD402">
        <f>HYPERLINK("https://klasma.github.io/Logging_2313/tillsynsmail/A 49374-2024 tillsynsbegäran mail.docx", "A 49374-2024")</f>
        <v/>
      </c>
    </row>
    <row r="403" ht="15" customHeight="1">
      <c r="A403" t="inlineStr">
        <is>
          <t>A 39285-2026</t>
        </is>
      </c>
      <c r="B403" t="inlineStr">
        <is>
          <t>avverkningsanmälan</t>
        </is>
      </c>
      <c r="C403" t="inlineStr">
        <is>
          <t>Föryngringsavverkning</t>
        </is>
      </c>
      <c r="D403" s="1" t="n">
        <v>46288</v>
      </c>
      <c r="E403" s="1" t="n">
        <v>46318</v>
      </c>
      <c r="F403" t="inlineStr">
        <is>
          <t>JÄMTLANDS LÄN</t>
        </is>
      </c>
      <c r="G403" t="inlineStr">
        <is>
          <t>STRÖMSUND</t>
        </is>
      </c>
      <c r="H403" t="inlineStr">
        <is>
          <t>SCA</t>
        </is>
      </c>
      <c r="I403" t="n">
        <v>3.9</v>
      </c>
      <c r="J403" t="n">
        <v>1</v>
      </c>
      <c r="K403" t="n">
        <v>0</v>
      </c>
      <c r="L403" t="n">
        <v>0</v>
      </c>
      <c r="M403" t="n">
        <v>1</v>
      </c>
      <c r="N403" t="n">
        <v>0</v>
      </c>
      <c r="O403" t="n">
        <v>0</v>
      </c>
      <c r="P403" t="n">
        <v>0</v>
      </c>
      <c r="Q403" t="n">
        <v>1</v>
      </c>
      <c r="R403" t="n">
        <v>1</v>
      </c>
      <c r="S403" t="n">
        <v>1</v>
      </c>
      <c r="T403" t="n">
        <v>2</v>
      </c>
      <c r="U403" t="n">
        <v>0</v>
      </c>
      <c r="V403" s="2" t="inlineStr">
        <is>
          <t>Violett guldvinge</t>
        </is>
      </c>
      <c r="W403">
        <f>HYPERLINK("https://klasma.github.io/Logging_2313/artfynd/A 39285-2026 artfynd.xlsx", "A 39285-2026")</f>
        <v/>
      </c>
      <c r="X403">
        <f>HYPERLINK("https://klasma.github.io/Logging_2313/kartor/A 39285-2026 karta.png", "A 39285-2026")</f>
        <v/>
      </c>
      <c r="Y403">
        <f>HYPERLINK("https://klasma.github.io/Logging_2313/kartor_geotiff/A 39285-2026 georefererad karta.tif", "A 39285-2026")</f>
        <v/>
      </c>
      <c r="AA403">
        <f>HYPERLINK("https://klasma.github.io/Logging_2313/klagomål/A 39285-2026 FSC-klagomål.docx", "A 39285-2026")</f>
        <v/>
      </c>
      <c r="AB403">
        <f>HYPERLINK("https://klasma.github.io/Logging_2313/klagomålsmail/A 39285-2026 FSC-klagomål mail.docx", "A 39285-2026")</f>
        <v/>
      </c>
      <c r="AC403">
        <f>HYPERLINK("https://klasma.github.io/Logging_2313/tillsyn/A 39285-2026 tillsynsbegäran.docx", "A 39285-2026")</f>
        <v/>
      </c>
      <c r="AD403">
        <f>HYPERLINK("https://klasma.github.io/Logging_2313/tillsynsmail/A 39285-2026 tillsynsbegäran mail.docx", "A 39285-2026")</f>
        <v/>
      </c>
    </row>
    <row r="404" ht="15" customHeight="1">
      <c r="A404" t="inlineStr">
        <is>
          <t>A 39983-2026</t>
        </is>
      </c>
      <c r="B404" t="inlineStr">
        <is>
          <t>avverkningsanmälan</t>
        </is>
      </c>
      <c r="C404" t="inlineStr">
        <is>
          <t>Föryngringsavverkning</t>
        </is>
      </c>
      <c r="D404" s="1" t="n">
        <v>46293</v>
      </c>
      <c r="E404" s="1" t="n">
        <v>46318</v>
      </c>
      <c r="F404" t="inlineStr">
        <is>
          <t>JÄMTLANDS LÄN</t>
        </is>
      </c>
      <c r="G404" t="inlineStr">
        <is>
          <t>STRÖMSUND</t>
        </is>
      </c>
      <c r="H404" t="inlineStr">
        <is>
          <t>SCA</t>
        </is>
      </c>
      <c r="I404" t="n">
        <v>2.3</v>
      </c>
      <c r="J404" t="n">
        <v>0</v>
      </c>
      <c r="K404" t="n">
        <v>0</v>
      </c>
      <c r="L404" t="n">
        <v>1</v>
      </c>
      <c r="M404" t="n">
        <v>0</v>
      </c>
      <c r="N404" t="n">
        <v>0</v>
      </c>
      <c r="O404" t="n">
        <v>0</v>
      </c>
      <c r="P404" t="n">
        <v>0</v>
      </c>
      <c r="Q404" t="n">
        <v>1</v>
      </c>
      <c r="R404" t="n">
        <v>0</v>
      </c>
      <c r="S404" t="n">
        <v>1</v>
      </c>
      <c r="T404" t="n">
        <v>1</v>
      </c>
      <c r="U404" t="n">
        <v>0</v>
      </c>
      <c r="V404" s="2" t="inlineStr">
        <is>
          <t>Ullticka</t>
        </is>
      </c>
      <c r="W404">
        <f>HYPERLINK("https://klasma.github.io/Logging_2313/artfynd/A 39983-2026 artfynd.xlsx", "A 39983-2026")</f>
        <v/>
      </c>
      <c r="X404">
        <f>HYPERLINK("https://klasma.github.io/Logging_2313/kartor/A 39983-2026 karta.png", "A 39983-2026")</f>
        <v/>
      </c>
      <c r="Y404">
        <f>HYPERLINK("https://klasma.github.io/Logging_2313/kartor_geotiff/A 39983-2026 georefererad karta.tif", "A 39983-2026")</f>
        <v/>
      </c>
      <c r="AA404">
        <f>HYPERLINK("https://klasma.github.io/Logging_2313/klagomål/A 39983-2026 FSC-klagomål.docx", "A 39983-2026")</f>
        <v/>
      </c>
      <c r="AB404">
        <f>HYPERLINK("https://klasma.github.io/Logging_2313/klagomålsmail/A 39983-2026 FSC-klagomål mail.docx", "A 39983-2026")</f>
        <v/>
      </c>
      <c r="AC404">
        <f>HYPERLINK("https://klasma.github.io/Logging_2313/tillsyn/A 39983-2026 tillsynsbegäran.docx", "A 39983-2026")</f>
        <v/>
      </c>
      <c r="AD404">
        <f>HYPERLINK("https://klasma.github.io/Logging_2313/tillsynsmail/A 39983-2026 tillsynsbegäran mail.docx", "A 39983-2026")</f>
        <v/>
      </c>
    </row>
    <row r="405" ht="15" customHeight="1">
      <c r="A405" t="inlineStr">
        <is>
          <t>A 5327-2024</t>
        </is>
      </c>
      <c r="B405" t="inlineStr">
        <is>
          <t>avverkningsanmälan</t>
        </is>
      </c>
      <c r="C405" t="inlineStr">
        <is>
          <t>Föryngringsavverkning</t>
        </is>
      </c>
      <c r="D405" s="1" t="n">
        <v>45331</v>
      </c>
      <c r="E405" s="1" t="n">
        <v>46318</v>
      </c>
      <c r="F405" t="inlineStr">
        <is>
          <t>JÄMTLANDS LÄN</t>
        </is>
      </c>
      <c r="G405" t="inlineStr">
        <is>
          <t>STRÖMSUND</t>
        </is>
      </c>
      <c r="I405" t="n">
        <v>3.5</v>
      </c>
      <c r="J405" t="n">
        <v>1</v>
      </c>
      <c r="K405" t="n">
        <v>0</v>
      </c>
      <c r="L405" t="n">
        <v>1</v>
      </c>
      <c r="M405" t="n">
        <v>0</v>
      </c>
      <c r="N405" t="n">
        <v>0</v>
      </c>
      <c r="O405" t="n">
        <v>0</v>
      </c>
      <c r="P405" t="n">
        <v>0</v>
      </c>
      <c r="Q405" t="n">
        <v>1</v>
      </c>
      <c r="R405" t="n">
        <v>0</v>
      </c>
      <c r="S405" t="n">
        <v>1</v>
      </c>
      <c r="T405" t="n">
        <v>1</v>
      </c>
      <c r="U405" t="n">
        <v>0</v>
      </c>
      <c r="V405" s="2" t="inlineStr">
        <is>
          <t>Jämtlandsmaskros</t>
        </is>
      </c>
      <c r="W405">
        <f>HYPERLINK("https://klasma.github.io/Logging_2313/artfynd/A 5327-2024 artfynd.xlsx", "A 5327-2024")</f>
        <v/>
      </c>
      <c r="X405">
        <f>HYPERLINK("https://klasma.github.io/Logging_2313/kartor/A 5327-2024 karta.png", "A 5327-2024")</f>
        <v/>
      </c>
      <c r="Y405">
        <f>HYPERLINK("https://klasma.github.io/Logging_2313/kartor_geotiff/A 5327-2024 georefererad karta.tif", "A 5327-2024")</f>
        <v/>
      </c>
      <c r="AA405">
        <f>HYPERLINK("https://klasma.github.io/Logging_2313/klagomål/A 5327-2024 FSC-klagomål.docx", "A 5327-2024")</f>
        <v/>
      </c>
      <c r="AB405">
        <f>HYPERLINK("https://klasma.github.io/Logging_2313/klagomålsmail/A 5327-2024 FSC-klagomål mail.docx", "A 5327-2024")</f>
        <v/>
      </c>
      <c r="AC405">
        <f>HYPERLINK("https://klasma.github.io/Logging_2313/tillsyn/A 5327-2024 tillsynsbegäran.docx", "A 5327-2024")</f>
        <v/>
      </c>
      <c r="AD405">
        <f>HYPERLINK("https://klasma.github.io/Logging_2313/tillsynsmail/A 5327-2024 tillsynsbegäran mail.docx", "A 5327-2024")</f>
        <v/>
      </c>
    </row>
    <row r="406" ht="15" customHeight="1">
      <c r="A406" t="inlineStr">
        <is>
          <t>A 42384-2024</t>
        </is>
      </c>
      <c r="B406" t="inlineStr">
        <is>
          <t>avverkningsanmälan</t>
        </is>
      </c>
      <c r="C406" t="inlineStr">
        <is>
          <t>Föryngringsavverkning</t>
        </is>
      </c>
      <c r="D406" s="1" t="n">
        <v>45562</v>
      </c>
      <c r="E406" s="1" t="n">
        <v>46318</v>
      </c>
      <c r="F406" t="inlineStr">
        <is>
          <t>JÄMTLANDS LÄN</t>
        </is>
      </c>
      <c r="G406" t="inlineStr">
        <is>
          <t>STRÖMSUND</t>
        </is>
      </c>
      <c r="H406" t="inlineStr">
        <is>
          <t>Övriga statliga verk och myndigheter</t>
        </is>
      </c>
      <c r="I406" t="n">
        <v>6.1</v>
      </c>
      <c r="J406" t="n">
        <v>0</v>
      </c>
      <c r="K406" t="n">
        <v>1</v>
      </c>
      <c r="L406" t="n">
        <v>0</v>
      </c>
      <c r="M406" t="n">
        <v>0</v>
      </c>
      <c r="N406" t="n">
        <v>0</v>
      </c>
      <c r="O406" t="n">
        <v>0</v>
      </c>
      <c r="P406" t="n">
        <v>0</v>
      </c>
      <c r="Q406" t="n">
        <v>0</v>
      </c>
      <c r="R406" t="n">
        <v>0</v>
      </c>
      <c r="S406" t="n">
        <v>1</v>
      </c>
      <c r="T406" t="n">
        <v>1</v>
      </c>
      <c r="U406" t="n">
        <v>0</v>
      </c>
      <c r="V406" s="2" t="inlineStr">
        <is>
          <t>Trådticka</t>
        </is>
      </c>
      <c r="W406">
        <f>HYPERLINK("https://klasma.github.io/Logging_2313/artfynd/A 42384-2024 artfynd.xlsx", "A 42384-2024")</f>
        <v/>
      </c>
      <c r="X406">
        <f>HYPERLINK("https://klasma.github.io/Logging_2313/kartor/A 42384-2024 karta.png", "A 42384-2024")</f>
        <v/>
      </c>
      <c r="Y406">
        <f>HYPERLINK("https://klasma.github.io/Logging_2313/kartor_geotiff/A 42384-2024 georefererad karta.tif", "A 42384-2024")</f>
        <v/>
      </c>
      <c r="AA406">
        <f>HYPERLINK("https://klasma.github.io/Logging_2313/klagomål/A 42384-2024 FSC-klagomål.docx", "A 42384-2024")</f>
        <v/>
      </c>
      <c r="AB406">
        <f>HYPERLINK("https://klasma.github.io/Logging_2313/klagomålsmail/A 42384-2024 FSC-klagomål mail.docx", "A 42384-2024")</f>
        <v/>
      </c>
      <c r="AC406">
        <f>HYPERLINK("https://klasma.github.io/Logging_2313/tillsyn/A 42384-2024 tillsynsbegäran.docx", "A 42384-2024")</f>
        <v/>
      </c>
      <c r="AD406">
        <f>HYPERLINK("https://klasma.github.io/Logging_2313/tillsynsmail/A 42384-2024 tillsynsbegäran mail.docx", "A 42384-2024")</f>
        <v/>
      </c>
    </row>
    <row r="407" ht="15" customHeight="1">
      <c r="A407" t="inlineStr">
        <is>
          <t>A 39764-2026</t>
        </is>
      </c>
      <c r="B407" t="inlineStr">
        <is>
          <t>avverkningsanmälan</t>
        </is>
      </c>
      <c r="C407" t="inlineStr">
        <is>
          <t>Föryngringsavverkning</t>
        </is>
      </c>
      <c r="D407" s="1" t="n">
        <v>46290</v>
      </c>
      <c r="E407" s="1" t="n">
        <v>46318</v>
      </c>
      <c r="F407" t="inlineStr">
        <is>
          <t>JÄMTLANDS LÄN</t>
        </is>
      </c>
      <c r="G407" t="inlineStr">
        <is>
          <t>STRÖMSUND</t>
        </is>
      </c>
      <c r="H407" t="inlineStr">
        <is>
          <t>SCA</t>
        </is>
      </c>
      <c r="I407" t="n">
        <v>1</v>
      </c>
      <c r="J407" t="n">
        <v>0</v>
      </c>
      <c r="K407" t="n">
        <v>0</v>
      </c>
      <c r="L407" t="n">
        <v>0</v>
      </c>
      <c r="M407" t="n">
        <v>1</v>
      </c>
      <c r="N407" t="n">
        <v>0</v>
      </c>
      <c r="O407" t="n">
        <v>0</v>
      </c>
      <c r="P407" t="n">
        <v>0</v>
      </c>
      <c r="Q407" t="n">
        <v>1</v>
      </c>
      <c r="R407" t="n">
        <v>1</v>
      </c>
      <c r="S407" t="n">
        <v>1</v>
      </c>
      <c r="T407" t="n">
        <v>1</v>
      </c>
      <c r="U407" t="n">
        <v>0</v>
      </c>
      <c r="V407" s="2" t="inlineStr">
        <is>
          <t>Garnlav</t>
        </is>
      </c>
      <c r="W407">
        <f>HYPERLINK("https://klasma.github.io/Logging_2313/artfynd/A 39764-2026 artfynd.xlsx", "A 39764-2026")</f>
        <v/>
      </c>
      <c r="X407">
        <f>HYPERLINK("https://klasma.github.io/Logging_2313/kartor/A 39764-2026 karta.png", "A 39764-2026")</f>
        <v/>
      </c>
      <c r="Y407">
        <f>HYPERLINK("https://klasma.github.io/Logging_2313/kartor_geotiff/A 39764-2026 georefererad karta.tif", "A 39764-2026")</f>
        <v/>
      </c>
      <c r="AA407">
        <f>HYPERLINK("https://klasma.github.io/Logging_2313/klagomål/A 39764-2026 FSC-klagomål.docx", "A 39764-2026")</f>
        <v/>
      </c>
      <c r="AB407">
        <f>HYPERLINK("https://klasma.github.io/Logging_2313/klagomålsmail/A 39764-2026 FSC-klagomål mail.docx", "A 39764-2026")</f>
        <v/>
      </c>
      <c r="AC407">
        <f>HYPERLINK("https://klasma.github.io/Logging_2313/tillsyn/A 39764-2026 tillsynsbegäran.docx", "A 39764-2026")</f>
        <v/>
      </c>
      <c r="AD407">
        <f>HYPERLINK("https://klasma.github.io/Logging_2313/tillsynsmail/A 39764-2026 tillsynsbegäran mail.docx", "A 39764-2026")</f>
        <v/>
      </c>
    </row>
    <row r="408" ht="15" customHeight="1">
      <c r="A408" t="inlineStr">
        <is>
          <t>A 11578-2022</t>
        </is>
      </c>
      <c r="B408" t="inlineStr">
        <is>
          <t>avverkningsanmälan</t>
        </is>
      </c>
      <c r="C408" t="inlineStr">
        <is>
          <t>Föryngringsavverkning</t>
        </is>
      </c>
      <c r="D408" s="1" t="n">
        <v>44631</v>
      </c>
      <c r="E408" s="1" t="n">
        <v>46318</v>
      </c>
      <c r="F408" t="inlineStr">
        <is>
          <t>JÄMTLANDS LÄN</t>
        </is>
      </c>
      <c r="G408" t="inlineStr">
        <is>
          <t>STRÖMSUND</t>
        </is>
      </c>
      <c r="I408" t="n">
        <v>9.9</v>
      </c>
      <c r="J408" t="n">
        <v>1</v>
      </c>
      <c r="K408" t="n">
        <v>0</v>
      </c>
      <c r="L408" t="n">
        <v>0</v>
      </c>
      <c r="M408" t="n">
        <v>0</v>
      </c>
      <c r="N408" t="n">
        <v>0</v>
      </c>
      <c r="O408" t="n">
        <v>0</v>
      </c>
      <c r="P408" t="n">
        <v>0</v>
      </c>
      <c r="Q408" t="n">
        <v>0</v>
      </c>
      <c r="R408" t="n">
        <v>0</v>
      </c>
      <c r="S408" t="n">
        <v>1</v>
      </c>
      <c r="T408" t="n">
        <v>1</v>
      </c>
      <c r="U408" t="n">
        <v>0</v>
      </c>
      <c r="V408" s="2" t="inlineStr">
        <is>
          <t>Fläcknycklar</t>
        </is>
      </c>
      <c r="W408">
        <f>HYPERLINK("https://klasma.github.io/Logging_2313/artfynd/A 11578-2022 artfynd.xlsx", "A 11578-2022")</f>
        <v/>
      </c>
      <c r="X408">
        <f>HYPERLINK("https://klasma.github.io/Logging_2313/kartor/A 11578-2022 karta.png", "A 11578-2022")</f>
        <v/>
      </c>
      <c r="Y408">
        <f>HYPERLINK("https://klasma.github.io/Logging_2313/kartor_geotiff/A 11578-2022 georefererad karta.tif", "A 11578-2022")</f>
        <v/>
      </c>
      <c r="AA408">
        <f>HYPERLINK("https://klasma.github.io/Logging_2313/klagomål/A 11578-2022 FSC-klagomål.docx", "A 11578-2022")</f>
        <v/>
      </c>
      <c r="AB408">
        <f>HYPERLINK("https://klasma.github.io/Logging_2313/klagomålsmail/A 11578-2022 FSC-klagomål mail.docx", "A 11578-2022")</f>
        <v/>
      </c>
      <c r="AC408">
        <f>HYPERLINK("https://klasma.github.io/Logging_2313/tillsyn/A 11578-2022 tillsynsbegäran.docx", "A 11578-2022")</f>
        <v/>
      </c>
      <c r="AD408">
        <f>HYPERLINK("https://klasma.github.io/Logging_2313/tillsynsmail/A 11578-2022 tillsynsbegäran mail.docx", "A 11578-2022")</f>
        <v/>
      </c>
    </row>
    <row r="409" ht="15" customHeight="1">
      <c r="A409" t="inlineStr">
        <is>
          <t>A 52809-2025</t>
        </is>
      </c>
      <c r="B409" t="inlineStr">
        <is>
          <t>avverkningsanmälan</t>
        </is>
      </c>
      <c r="C409" t="inlineStr">
        <is>
          <t>Föryngringsavverkning</t>
        </is>
      </c>
      <c r="D409" s="1" t="n">
        <v>45957</v>
      </c>
      <c r="E409" s="1" t="n">
        <v>46318</v>
      </c>
      <c r="F409" t="inlineStr">
        <is>
          <t>JÄMTLANDS LÄN</t>
        </is>
      </c>
      <c r="G409" t="inlineStr">
        <is>
          <t>STRÖMSUND</t>
        </is>
      </c>
      <c r="H409" t="inlineStr">
        <is>
          <t>SCA</t>
        </is>
      </c>
      <c r="I409" t="n">
        <v>3.6</v>
      </c>
      <c r="J409" t="n">
        <v>0</v>
      </c>
      <c r="K409" t="n">
        <v>0</v>
      </c>
      <c r="L409" t="n">
        <v>1</v>
      </c>
      <c r="M409" t="n">
        <v>0</v>
      </c>
      <c r="N409" t="n">
        <v>0</v>
      </c>
      <c r="O409" t="n">
        <v>0</v>
      </c>
      <c r="P409" t="n">
        <v>0</v>
      </c>
      <c r="Q409" t="n">
        <v>1</v>
      </c>
      <c r="R409" t="n">
        <v>0</v>
      </c>
      <c r="S409" t="n">
        <v>1</v>
      </c>
      <c r="T409" t="n">
        <v>1</v>
      </c>
      <c r="U409" t="n">
        <v>0</v>
      </c>
      <c r="V409" s="2" t="inlineStr">
        <is>
          <t>Skogshare</t>
        </is>
      </c>
      <c r="W409">
        <f>HYPERLINK("https://klasma.github.io/Logging_2313/artfynd/A 52809-2025 artfynd.xlsx", "A 52809-2025")</f>
        <v/>
      </c>
      <c r="X409">
        <f>HYPERLINK("https://klasma.github.io/Logging_2313/kartor/A 52809-2025 karta.png", "A 52809-2025")</f>
        <v/>
      </c>
      <c r="Y409">
        <f>HYPERLINK("https://klasma.github.io/Logging_2313/kartor_geotiff/A 52809-2025 georefererad karta.tif", "A 52809-2025")</f>
        <v/>
      </c>
      <c r="AA409">
        <f>HYPERLINK("https://klasma.github.io/Logging_2313/klagomål/A 52809-2025 FSC-klagomål.docx", "A 52809-2025")</f>
        <v/>
      </c>
      <c r="AB409">
        <f>HYPERLINK("https://klasma.github.io/Logging_2313/klagomålsmail/A 52809-2025 FSC-klagomål mail.docx", "A 52809-2025")</f>
        <v/>
      </c>
      <c r="AC409">
        <f>HYPERLINK("https://klasma.github.io/Logging_2313/tillsyn/A 52809-2025 tillsynsbegäran.docx", "A 52809-2025")</f>
        <v/>
      </c>
      <c r="AD409">
        <f>HYPERLINK("https://klasma.github.io/Logging_2313/tillsynsmail/A 52809-2025 tillsynsbegäran mail.docx", "A 52809-2025")</f>
        <v/>
      </c>
    </row>
    <row r="410" ht="15" customHeight="1">
      <c r="A410" t="inlineStr">
        <is>
          <t>A 60740-2022</t>
        </is>
      </c>
      <c r="B410" t="inlineStr">
        <is>
          <t>avverkningsanmälan</t>
        </is>
      </c>
      <c r="C410" t="inlineStr">
        <is>
          <t>Föryngringsavverkning</t>
        </is>
      </c>
      <c r="D410" s="1" t="n">
        <v>44913</v>
      </c>
      <c r="E410" s="1" t="n">
        <v>46318</v>
      </c>
      <c r="F410" t="inlineStr">
        <is>
          <t>JÄMTLANDS LÄN</t>
        </is>
      </c>
      <c r="G410" t="inlineStr">
        <is>
          <t>STRÖMSUND</t>
        </is>
      </c>
      <c r="H410" t="inlineStr">
        <is>
          <t>SCA</t>
        </is>
      </c>
      <c r="I410" t="n">
        <v>16.7</v>
      </c>
      <c r="J410" t="n">
        <v>0</v>
      </c>
      <c r="K410" t="n">
        <v>0</v>
      </c>
      <c r="L410" t="n">
        <v>1</v>
      </c>
      <c r="M410" t="n">
        <v>0</v>
      </c>
      <c r="N410" t="n">
        <v>0</v>
      </c>
      <c r="O410" t="n">
        <v>0</v>
      </c>
      <c r="P410" t="n">
        <v>0</v>
      </c>
      <c r="Q410" t="n">
        <v>1</v>
      </c>
      <c r="R410" t="n">
        <v>0</v>
      </c>
      <c r="S410" t="n">
        <v>1</v>
      </c>
      <c r="T410" t="n">
        <v>1</v>
      </c>
      <c r="U410" t="n">
        <v>1</v>
      </c>
      <c r="V410" s="2" t="inlineStr">
        <is>
          <t>Vitfläckig guldvinge</t>
        </is>
      </c>
      <c r="W410">
        <f>HYPERLINK("https://klasma.github.io/Logging_2313/artfynd/A 60740-2022 artfynd.xlsx", "A 60740-2022")</f>
        <v/>
      </c>
      <c r="X410">
        <f>HYPERLINK("https://klasma.github.io/Logging_2313/kartor/A 60740-2022 karta.png", "A 60740-2022")</f>
        <v/>
      </c>
      <c r="Y410">
        <f>HYPERLINK("https://klasma.github.io/Logging_2313/kartor_geotiff/A 60740-2022 georefererad karta.tif", "A 60740-2022")</f>
        <v/>
      </c>
      <c r="AA410">
        <f>HYPERLINK("https://klasma.github.io/Logging_2313/klagomål/A 60740-2022 FSC-klagomål.docx", "A 60740-2022")</f>
        <v/>
      </c>
      <c r="AB410">
        <f>HYPERLINK("https://klasma.github.io/Logging_2313/klagomålsmail/A 60740-2022 FSC-klagomål mail.docx", "A 60740-2022")</f>
        <v/>
      </c>
      <c r="AC410">
        <f>HYPERLINK("https://klasma.github.io/Logging_2313/tillsyn/A 60740-2022 tillsynsbegäran.docx", "A 60740-2022")</f>
        <v/>
      </c>
      <c r="AD410">
        <f>HYPERLINK("https://klasma.github.io/Logging_2313/tillsynsmail/A 60740-2022 tillsynsbegäran mail.docx", "A 60740-2022")</f>
        <v/>
      </c>
    </row>
    <row r="411" ht="15" customHeight="1">
      <c r="A411" t="inlineStr">
        <is>
          <t>A 43406-2023</t>
        </is>
      </c>
      <c r="B411" t="inlineStr">
        <is>
          <t>avverkningsanmälan</t>
        </is>
      </c>
      <c r="C411" t="inlineStr">
        <is>
          <t>Avverkning för att bevara och utveckla /försöksver</t>
        </is>
      </c>
      <c r="D411" s="1" t="n">
        <v>45183</v>
      </c>
      <c r="E411" s="1" t="n">
        <v>46318</v>
      </c>
      <c r="F411" t="inlineStr">
        <is>
          <t>JÄMTLANDS LÄN</t>
        </is>
      </c>
      <c r="G411" t="inlineStr">
        <is>
          <t>STRÖMSUND</t>
        </is>
      </c>
      <c r="H411" t="inlineStr">
        <is>
          <t>SCA</t>
        </is>
      </c>
      <c r="I411" t="n">
        <v>3.6</v>
      </c>
      <c r="J411" t="n">
        <v>0</v>
      </c>
      <c r="K411" t="n">
        <v>0</v>
      </c>
      <c r="L411" t="n">
        <v>1</v>
      </c>
      <c r="M411" t="n">
        <v>0</v>
      </c>
      <c r="N411" t="n">
        <v>0</v>
      </c>
      <c r="O411" t="n">
        <v>0</v>
      </c>
      <c r="P411" t="n">
        <v>0</v>
      </c>
      <c r="Q411" t="n">
        <v>1</v>
      </c>
      <c r="R411" t="n">
        <v>0</v>
      </c>
      <c r="S411" t="n">
        <v>1</v>
      </c>
      <c r="T411" t="n">
        <v>1</v>
      </c>
      <c r="U411" t="n">
        <v>0</v>
      </c>
      <c r="V411" s="2" t="inlineStr">
        <is>
          <t>Lunglav</t>
        </is>
      </c>
      <c r="W411">
        <f>HYPERLINK("https://klasma.github.io/Logging_2313/artfynd/A 43406-2023 artfynd.xlsx", "A 43406-2023")</f>
        <v/>
      </c>
      <c r="X411">
        <f>HYPERLINK("https://klasma.github.io/Logging_2313/kartor/A 43406-2023 karta.png", "A 43406-2023")</f>
        <v/>
      </c>
      <c r="Y411">
        <f>HYPERLINK("https://klasma.github.io/Logging_2313/kartor_geotiff/A 43406-2023 georefererad karta.tif", "A 43406-2023")</f>
        <v/>
      </c>
      <c r="AA411">
        <f>HYPERLINK("https://klasma.github.io/Logging_2313/klagomål/A 43406-2023 FSC-klagomål.docx", "A 43406-2023")</f>
        <v/>
      </c>
      <c r="AB411">
        <f>HYPERLINK("https://klasma.github.io/Logging_2313/klagomålsmail/A 43406-2023 FSC-klagomål mail.docx", "A 43406-2023")</f>
        <v/>
      </c>
      <c r="AC411">
        <f>HYPERLINK("https://klasma.github.io/Logging_2313/tillsyn/A 43406-2023 tillsynsbegäran.docx", "A 43406-2023")</f>
        <v/>
      </c>
      <c r="AD411">
        <f>HYPERLINK("https://klasma.github.io/Logging_2313/tillsynsmail/A 43406-2023 tillsynsbegäran mail.docx", "A 43406-2023")</f>
        <v/>
      </c>
    </row>
    <row r="412" ht="15" customHeight="1">
      <c r="A412" t="inlineStr">
        <is>
          <t>A 61482-2021</t>
        </is>
      </c>
      <c r="B412" t="inlineStr">
        <is>
          <t>avverkningsanmälan</t>
        </is>
      </c>
      <c r="C412" t="inlineStr">
        <is>
          <t>Avverkning för att bevara och utveckla /försöksver</t>
        </is>
      </c>
      <c r="D412" s="1" t="n">
        <v>44500</v>
      </c>
      <c r="E412" s="1" t="n">
        <v>46318</v>
      </c>
      <c r="F412" t="inlineStr">
        <is>
          <t>JÄMTLANDS LÄN</t>
        </is>
      </c>
      <c r="G412" t="inlineStr">
        <is>
          <t>STRÖMSUND</t>
        </is>
      </c>
      <c r="H412" t="inlineStr">
        <is>
          <t>SCA</t>
        </is>
      </c>
      <c r="I412" t="n">
        <v>5.9</v>
      </c>
      <c r="J412" t="n">
        <v>0</v>
      </c>
      <c r="K412" t="n">
        <v>0</v>
      </c>
      <c r="L412" t="n">
        <v>1</v>
      </c>
      <c r="M412" t="n">
        <v>0</v>
      </c>
      <c r="N412" t="n">
        <v>0</v>
      </c>
      <c r="O412" t="n">
        <v>0</v>
      </c>
      <c r="P412" t="n">
        <v>0</v>
      </c>
      <c r="Q412" t="n">
        <v>1</v>
      </c>
      <c r="R412" t="n">
        <v>0</v>
      </c>
      <c r="S412" t="n">
        <v>1</v>
      </c>
      <c r="T412" t="n">
        <v>1</v>
      </c>
      <c r="U412" t="n">
        <v>0</v>
      </c>
      <c r="V412" s="2" t="inlineStr">
        <is>
          <t>Lunglav</t>
        </is>
      </c>
      <c r="W412">
        <f>HYPERLINK("https://klasma.github.io/Logging_2313/artfynd/A 61482-2021 artfynd.xlsx", "A 61482-2021")</f>
        <v/>
      </c>
      <c r="X412">
        <f>HYPERLINK("https://klasma.github.io/Logging_2313/kartor/A 61482-2021 karta.png", "A 61482-2021")</f>
        <v/>
      </c>
      <c r="Y412">
        <f>HYPERLINK("https://klasma.github.io/Logging_2313/kartor_geotiff/A 61482-2021 georefererad karta.tif", "A 61482-2021")</f>
        <v/>
      </c>
      <c r="AA412">
        <f>HYPERLINK("https://klasma.github.io/Logging_2313/klagomål/A 61482-2021 FSC-klagomål.docx", "A 61482-2021")</f>
        <v/>
      </c>
      <c r="AB412">
        <f>HYPERLINK("https://klasma.github.io/Logging_2313/klagomålsmail/A 61482-2021 FSC-klagomål mail.docx", "A 61482-2021")</f>
        <v/>
      </c>
      <c r="AC412">
        <f>HYPERLINK("https://klasma.github.io/Logging_2313/tillsyn/A 61482-2021 tillsynsbegäran.docx", "A 61482-2021")</f>
        <v/>
      </c>
      <c r="AD412">
        <f>HYPERLINK("https://klasma.github.io/Logging_2313/tillsynsmail/A 61482-2021 tillsynsbegäran mail.docx", "A 61482-2021")</f>
        <v/>
      </c>
    </row>
    <row r="413" ht="15" customHeight="1">
      <c r="A413" t="inlineStr">
        <is>
          <t>A 53143-2022</t>
        </is>
      </c>
      <c r="B413" t="inlineStr">
        <is>
          <t>avverkningsanmälan</t>
        </is>
      </c>
      <c r="C413" t="inlineStr">
        <is>
          <t>Avverkning för annat ändamål</t>
        </is>
      </c>
      <c r="D413" s="1" t="n">
        <v>44876</v>
      </c>
      <c r="E413" s="1" t="n">
        <v>46318</v>
      </c>
      <c r="F413" t="inlineStr">
        <is>
          <t>JÄMTLANDS LÄN</t>
        </is>
      </c>
      <c r="G413" t="inlineStr">
        <is>
          <t>STRÖMSUND</t>
        </is>
      </c>
      <c r="H413" t="inlineStr">
        <is>
          <t>Holmen skog AB</t>
        </is>
      </c>
      <c r="I413" t="n">
        <v>1.4</v>
      </c>
      <c r="J413" t="n">
        <v>1</v>
      </c>
      <c r="K413" t="n">
        <v>0</v>
      </c>
      <c r="L413" t="n">
        <v>0</v>
      </c>
      <c r="M413" t="n">
        <v>0</v>
      </c>
      <c r="N413" t="n">
        <v>0</v>
      </c>
      <c r="O413" t="n">
        <v>0</v>
      </c>
      <c r="P413" t="n">
        <v>0</v>
      </c>
      <c r="Q413" t="n">
        <v>0</v>
      </c>
      <c r="R413" t="n">
        <v>0</v>
      </c>
      <c r="S413" t="n">
        <v>1</v>
      </c>
      <c r="T413" t="n">
        <v>1</v>
      </c>
      <c r="U413" t="n">
        <v>0</v>
      </c>
      <c r="V413" s="2" t="inlineStr">
        <is>
          <t>Fläcknycklar</t>
        </is>
      </c>
      <c r="W413">
        <f>HYPERLINK("https://klasma.github.io/Logging_2313/artfynd/A 53143-2022 artfynd.xlsx", "A 53143-2022")</f>
        <v/>
      </c>
      <c r="X413">
        <f>HYPERLINK("https://klasma.github.io/Logging_2313/kartor/A 53143-2022 karta.png", "A 53143-2022")</f>
        <v/>
      </c>
      <c r="Y413">
        <f>HYPERLINK("https://klasma.github.io/Logging_2313/kartor_geotiff/A 53143-2022 georefererad karta.tif", "A 53143-2022")</f>
        <v/>
      </c>
      <c r="AA413">
        <f>HYPERLINK("https://klasma.github.io/Logging_2313/klagomål/A 53143-2022 FSC-klagomål.docx", "A 53143-2022")</f>
        <v/>
      </c>
      <c r="AB413">
        <f>HYPERLINK("https://klasma.github.io/Logging_2313/klagomålsmail/A 53143-2022 FSC-klagomål mail.docx", "A 53143-2022")</f>
        <v/>
      </c>
      <c r="AC413">
        <f>HYPERLINK("https://klasma.github.io/Logging_2313/tillsyn/A 53143-2022 tillsynsbegäran.docx", "A 53143-2022")</f>
        <v/>
      </c>
      <c r="AD413">
        <f>HYPERLINK("https://klasma.github.io/Logging_2313/tillsynsmail/A 53143-2022 tillsynsbegäran mail.docx", "A 53143-2022")</f>
        <v/>
      </c>
    </row>
    <row r="414" ht="15" customHeight="1">
      <c r="A414" t="inlineStr">
        <is>
          <t>A 29069-2023</t>
        </is>
      </c>
      <c r="B414" t="inlineStr">
        <is>
          <t>avverkningsanmälan</t>
        </is>
      </c>
      <c r="C414" t="inlineStr">
        <is>
          <t>Avverkning för att bevara och utveckla /försöksver</t>
        </is>
      </c>
      <c r="D414" s="1" t="n">
        <v>45104</v>
      </c>
      <c r="E414" s="1" t="n">
        <v>46318</v>
      </c>
      <c r="F414" t="inlineStr">
        <is>
          <t>JÄMTLANDS LÄN</t>
        </is>
      </c>
      <c r="G414" t="inlineStr">
        <is>
          <t>STRÖMSUND</t>
        </is>
      </c>
      <c r="H414" t="inlineStr">
        <is>
          <t>SCA</t>
        </is>
      </c>
      <c r="I414" t="n">
        <v>1.1</v>
      </c>
      <c r="J414" t="n">
        <v>0</v>
      </c>
      <c r="K414" t="n">
        <v>0</v>
      </c>
      <c r="L414" t="n">
        <v>1</v>
      </c>
      <c r="M414" t="n">
        <v>0</v>
      </c>
      <c r="N414" t="n">
        <v>0</v>
      </c>
      <c r="O414" t="n">
        <v>0</v>
      </c>
      <c r="P414" t="n">
        <v>0</v>
      </c>
      <c r="Q414" t="n">
        <v>1</v>
      </c>
      <c r="R414" t="n">
        <v>0</v>
      </c>
      <c r="S414" t="n">
        <v>1</v>
      </c>
      <c r="T414" t="n">
        <v>1</v>
      </c>
      <c r="U414" t="n">
        <v>0</v>
      </c>
      <c r="V414" s="2" t="inlineStr">
        <is>
          <t>Ullticka</t>
        </is>
      </c>
      <c r="W414">
        <f>HYPERLINK("https://klasma.github.io/Logging_2313/artfynd/A 29069-2023 artfynd.xlsx", "A 29069-2023")</f>
        <v/>
      </c>
      <c r="X414">
        <f>HYPERLINK("https://klasma.github.io/Logging_2313/kartor/A 29069-2023 karta.png", "A 29069-2023")</f>
        <v/>
      </c>
      <c r="Y414">
        <f>HYPERLINK("https://klasma.github.io/Logging_2313/kartor_geotiff/A 29069-2023 georefererad karta.tif", "A 29069-2023")</f>
        <v/>
      </c>
      <c r="AA414">
        <f>HYPERLINK("https://klasma.github.io/Logging_2313/klagomål/A 29069-2023 FSC-klagomål.docx", "A 29069-2023")</f>
        <v/>
      </c>
      <c r="AB414">
        <f>HYPERLINK("https://klasma.github.io/Logging_2313/klagomålsmail/A 29069-2023 FSC-klagomål mail.docx", "A 29069-2023")</f>
        <v/>
      </c>
      <c r="AC414">
        <f>HYPERLINK("https://klasma.github.io/Logging_2313/tillsyn/A 29069-2023 tillsynsbegäran.docx", "A 29069-2023")</f>
        <v/>
      </c>
      <c r="AD414">
        <f>HYPERLINK("https://klasma.github.io/Logging_2313/tillsynsmail/A 29069-2023 tillsynsbegäran mail.docx", "A 29069-2023")</f>
        <v/>
      </c>
    </row>
    <row r="415" ht="15" customHeight="1">
      <c r="A415" t="inlineStr">
        <is>
          <t>A 50270-2025</t>
        </is>
      </c>
      <c r="B415" t="inlineStr">
        <is>
          <t>avverkningsanmälan</t>
        </is>
      </c>
      <c r="C415" t="inlineStr">
        <is>
          <t>Föryngringsavverkning</t>
        </is>
      </c>
      <c r="D415" s="1" t="n">
        <v>45944</v>
      </c>
      <c r="E415" s="1" t="n">
        <v>46318</v>
      </c>
      <c r="F415" t="inlineStr">
        <is>
          <t>JÄMTLANDS LÄN</t>
        </is>
      </c>
      <c r="G415" t="inlineStr">
        <is>
          <t>STRÖMSUND</t>
        </is>
      </c>
      <c r="I415" t="n">
        <v>1.8</v>
      </c>
      <c r="J415" t="n">
        <v>1</v>
      </c>
      <c r="K415" t="n">
        <v>0</v>
      </c>
      <c r="L415" t="n">
        <v>1</v>
      </c>
      <c r="M415" t="n">
        <v>0</v>
      </c>
      <c r="N415" t="n">
        <v>0</v>
      </c>
      <c r="O415" t="n">
        <v>0</v>
      </c>
      <c r="P415" t="n">
        <v>0</v>
      </c>
      <c r="Q415" t="n">
        <v>1</v>
      </c>
      <c r="R415" t="n">
        <v>0</v>
      </c>
      <c r="S415" t="n">
        <v>1</v>
      </c>
      <c r="T415" t="n">
        <v>1</v>
      </c>
      <c r="U415" t="n">
        <v>1</v>
      </c>
      <c r="V415" s="2" t="inlineStr">
        <is>
          <t>Tretåig hackspett</t>
        </is>
      </c>
      <c r="W415">
        <f>HYPERLINK("https://klasma.github.io/Logging_2313/artfynd/A 50270-2025 artfynd.xlsx", "A 50270-2025")</f>
        <v/>
      </c>
      <c r="X415">
        <f>HYPERLINK("https://klasma.github.io/Logging_2313/kartor/A 50270-2025 karta.png", "A 50270-2025")</f>
        <v/>
      </c>
      <c r="Y415">
        <f>HYPERLINK("https://klasma.github.io/Logging_2313/kartor_geotiff/A 50270-2025 georefererad karta.tif", "A 50270-2025")</f>
        <v/>
      </c>
      <c r="AA415">
        <f>HYPERLINK("https://klasma.github.io/Logging_2313/klagomål/A 50270-2025 FSC-klagomål.docx", "A 50270-2025")</f>
        <v/>
      </c>
      <c r="AB415">
        <f>HYPERLINK("https://klasma.github.io/Logging_2313/klagomålsmail/A 50270-2025 FSC-klagomål mail.docx", "A 50270-2025")</f>
        <v/>
      </c>
      <c r="AC415">
        <f>HYPERLINK("https://klasma.github.io/Logging_2313/tillsyn/A 50270-2025 tillsynsbegäran.docx", "A 50270-2025")</f>
        <v/>
      </c>
      <c r="AD415">
        <f>HYPERLINK("https://klasma.github.io/Logging_2313/tillsynsmail/A 50270-2025 tillsynsbegäran mail.docx", "A 50270-2025")</f>
        <v/>
      </c>
      <c r="AE415">
        <f>HYPERLINK("https://klasma.github.io/Logging_2313/fåglar/A 50270-2025 prioriterade fågelarter.docx", "A 50270-2025")</f>
        <v/>
      </c>
    </row>
    <row r="416" ht="15" customHeight="1">
      <c r="A416" t="inlineStr">
        <is>
          <t>A 32530-2023</t>
        </is>
      </c>
      <c r="B416" t="inlineStr">
        <is>
          <t>avverkningsanmälan</t>
        </is>
      </c>
      <c r="C416" t="inlineStr">
        <is>
          <t>Föryngringsavverkning</t>
        </is>
      </c>
      <c r="D416" s="1" t="n">
        <v>45111</v>
      </c>
      <c r="E416" s="1" t="n">
        <v>46318</v>
      </c>
      <c r="F416" t="inlineStr">
        <is>
          <t>JÄMTLANDS LÄN</t>
        </is>
      </c>
      <c r="G416" t="inlineStr">
        <is>
          <t>STRÖMSUND</t>
        </is>
      </c>
      <c r="H416" t="inlineStr">
        <is>
          <t>Kommuner</t>
        </is>
      </c>
      <c r="I416" t="n">
        <v>3</v>
      </c>
      <c r="J416" t="n">
        <v>0</v>
      </c>
      <c r="K416" t="n">
        <v>0</v>
      </c>
      <c r="L416" t="n">
        <v>1</v>
      </c>
      <c r="M416" t="n">
        <v>0</v>
      </c>
      <c r="N416" t="n">
        <v>0</v>
      </c>
      <c r="O416" t="n">
        <v>0</v>
      </c>
      <c r="P416" t="n">
        <v>0</v>
      </c>
      <c r="Q416" t="n">
        <v>1</v>
      </c>
      <c r="R416" t="n">
        <v>0</v>
      </c>
      <c r="S416" t="n">
        <v>1</v>
      </c>
      <c r="T416" t="n">
        <v>1</v>
      </c>
      <c r="U416" t="n">
        <v>1</v>
      </c>
      <c r="V416" s="2" t="inlineStr">
        <is>
          <t>Sandsyra</t>
        </is>
      </c>
      <c r="W416">
        <f>HYPERLINK("https://klasma.github.io/Logging_2313/artfynd/A 32530-2023 artfynd.xlsx", "A 32530-2023")</f>
        <v/>
      </c>
      <c r="X416">
        <f>HYPERLINK("https://klasma.github.io/Logging_2313/kartor/A 32530-2023 karta.png", "A 32530-2023")</f>
        <v/>
      </c>
      <c r="Y416">
        <f>HYPERLINK("https://klasma.github.io/Logging_2313/kartor_geotiff/A 32530-2023 georefererad karta.tif", "A 32530-2023")</f>
        <v/>
      </c>
      <c r="AA416">
        <f>HYPERLINK("https://klasma.github.io/Logging_2313/klagomål/A 32530-2023 FSC-klagomål.docx", "A 32530-2023")</f>
        <v/>
      </c>
      <c r="AB416">
        <f>HYPERLINK("https://klasma.github.io/Logging_2313/klagomålsmail/A 32530-2023 FSC-klagomål mail.docx", "A 32530-2023")</f>
        <v/>
      </c>
      <c r="AC416">
        <f>HYPERLINK("https://klasma.github.io/Logging_2313/tillsyn/A 32530-2023 tillsynsbegäran.docx", "A 32530-2023")</f>
        <v/>
      </c>
      <c r="AD416">
        <f>HYPERLINK("https://klasma.github.io/Logging_2313/tillsynsmail/A 32530-2023 tillsynsbegäran mail.docx", "A 32530-2023")</f>
        <v/>
      </c>
    </row>
    <row r="417" ht="15" customHeight="1">
      <c r="A417" t="inlineStr">
        <is>
          <t>A 35499-2026</t>
        </is>
      </c>
      <c r="B417" t="inlineStr">
        <is>
          <t>avverkningsanmälan</t>
        </is>
      </c>
      <c r="C417" t="inlineStr">
        <is>
          <t>Föryngringsavverkning</t>
        </is>
      </c>
      <c r="D417" s="1" t="n">
        <v>46262</v>
      </c>
      <c r="E417" s="1" t="n">
        <v>46318</v>
      </c>
      <c r="F417" t="inlineStr">
        <is>
          <t>JÄMTLANDS LÄN</t>
        </is>
      </c>
      <c r="G417" t="inlineStr">
        <is>
          <t>STRÖMSUND</t>
        </is>
      </c>
      <c r="H417" t="inlineStr">
        <is>
          <t>SCA</t>
        </is>
      </c>
      <c r="I417" t="n">
        <v>23.1</v>
      </c>
      <c r="J417" t="n">
        <v>0</v>
      </c>
      <c r="K417" t="n">
        <v>0</v>
      </c>
      <c r="L417" t="n">
        <v>0</v>
      </c>
      <c r="M417" t="n">
        <v>1</v>
      </c>
      <c r="N417" t="n">
        <v>0</v>
      </c>
      <c r="O417" t="n">
        <v>0</v>
      </c>
      <c r="P417" t="n">
        <v>0</v>
      </c>
      <c r="Q417" t="n">
        <v>1</v>
      </c>
      <c r="R417" t="n">
        <v>1</v>
      </c>
      <c r="S417" t="n">
        <v>1</v>
      </c>
      <c r="T417" t="n">
        <v>1</v>
      </c>
      <c r="U417" t="n">
        <v>0</v>
      </c>
      <c r="V417" s="2" t="inlineStr">
        <is>
          <t>Sprickporing</t>
        </is>
      </c>
      <c r="W417">
        <f>HYPERLINK("https://klasma.github.io/Logging_2313/artfynd/A 35499-2026 artfynd.xlsx", "A 35499-2026")</f>
        <v/>
      </c>
      <c r="X417">
        <f>HYPERLINK("https://klasma.github.io/Logging_2313/kartor/A 35499-2026 karta.png", "A 35499-2026")</f>
        <v/>
      </c>
      <c r="Y417">
        <f>HYPERLINK("https://klasma.github.io/Logging_2313/kartor_geotiff/A 35499-2026 georefererad karta.tif", "A 35499-2026")</f>
        <v/>
      </c>
      <c r="AA417">
        <f>HYPERLINK("https://klasma.github.io/Logging_2313/klagomål/A 35499-2026 FSC-klagomål.docx", "A 35499-2026")</f>
        <v/>
      </c>
      <c r="AB417">
        <f>HYPERLINK("https://klasma.github.io/Logging_2313/klagomålsmail/A 35499-2026 FSC-klagomål mail.docx", "A 35499-2026")</f>
        <v/>
      </c>
      <c r="AC417">
        <f>HYPERLINK("https://klasma.github.io/Logging_2313/tillsyn/A 35499-2026 tillsynsbegäran.docx", "A 35499-2026")</f>
        <v/>
      </c>
      <c r="AD417">
        <f>HYPERLINK("https://klasma.github.io/Logging_2313/tillsynsmail/A 35499-2026 tillsynsbegäran mail.docx", "A 35499-2026")</f>
        <v/>
      </c>
    </row>
    <row r="418" ht="15" customHeight="1">
      <c r="A418" t="inlineStr">
        <is>
          <t>A 64658-2021</t>
        </is>
      </c>
      <c r="B418" t="inlineStr">
        <is>
          <t>avverkningsanmälan</t>
        </is>
      </c>
      <c r="C418" t="inlineStr">
        <is>
          <t>Föryngringsavverkning</t>
        </is>
      </c>
      <c r="D418" s="1" t="n">
        <v>44511</v>
      </c>
      <c r="E418" s="1" t="n">
        <v>46318</v>
      </c>
      <c r="F418" t="inlineStr">
        <is>
          <t>JÄMTLANDS LÄN</t>
        </is>
      </c>
      <c r="G418" t="inlineStr">
        <is>
          <t>STRÖMSUND</t>
        </is>
      </c>
      <c r="H418" t="inlineStr">
        <is>
          <t>SCA</t>
        </is>
      </c>
      <c r="I418" t="n">
        <v>4.7</v>
      </c>
      <c r="J418" t="n">
        <v>0</v>
      </c>
      <c r="K418" t="n">
        <v>0</v>
      </c>
      <c r="L418" t="n">
        <v>1</v>
      </c>
      <c r="M418" t="n">
        <v>0</v>
      </c>
      <c r="N418" t="n">
        <v>0</v>
      </c>
      <c r="O418" t="n">
        <v>0</v>
      </c>
      <c r="P418" t="n">
        <v>0</v>
      </c>
      <c r="Q418" t="n">
        <v>1</v>
      </c>
      <c r="R418" t="n">
        <v>0</v>
      </c>
      <c r="S418" t="n">
        <v>1</v>
      </c>
      <c r="T418" t="n">
        <v>1</v>
      </c>
      <c r="U418" t="n">
        <v>0</v>
      </c>
      <c r="V418" s="2" t="inlineStr">
        <is>
          <t>Harticka</t>
        </is>
      </c>
      <c r="W418">
        <f>HYPERLINK("https://klasma.github.io/Logging_2313/artfynd/A 64658-2021 artfynd.xlsx", "A 64658-2021")</f>
        <v/>
      </c>
      <c r="X418">
        <f>HYPERLINK("https://klasma.github.io/Logging_2313/kartor/A 64658-2021 karta.png", "A 64658-2021")</f>
        <v/>
      </c>
      <c r="Y418">
        <f>HYPERLINK("https://klasma.github.io/Logging_2313/kartor_geotiff/A 64658-2021 georefererad karta.tif", "A 64658-2021")</f>
        <v/>
      </c>
      <c r="AA418">
        <f>HYPERLINK("https://klasma.github.io/Logging_2313/klagomål/A 64658-2021 FSC-klagomål.docx", "A 64658-2021")</f>
        <v/>
      </c>
      <c r="AB418">
        <f>HYPERLINK("https://klasma.github.io/Logging_2313/klagomålsmail/A 64658-2021 FSC-klagomål mail.docx", "A 64658-2021")</f>
        <v/>
      </c>
      <c r="AC418">
        <f>HYPERLINK("https://klasma.github.io/Logging_2313/tillsyn/A 64658-2021 tillsynsbegäran.docx", "A 64658-2021")</f>
        <v/>
      </c>
      <c r="AD418">
        <f>HYPERLINK("https://klasma.github.io/Logging_2313/tillsynsmail/A 64658-2021 tillsynsbegäran mail.docx", "A 64658-2021")</f>
        <v/>
      </c>
    </row>
    <row r="419" ht="15" customHeight="1">
      <c r="A419" t="inlineStr">
        <is>
          <t>A 14302-2026</t>
        </is>
      </c>
      <c r="B419" t="inlineStr">
        <is>
          <t>avverkningsanmälan</t>
        </is>
      </c>
      <c r="C419" t="inlineStr">
        <is>
          <t>Avverkning för annat ändamål</t>
        </is>
      </c>
      <c r="D419" s="1" t="n">
        <v>46099</v>
      </c>
      <c r="E419" s="1" t="n">
        <v>46318</v>
      </c>
      <c r="F419" t="inlineStr">
        <is>
          <t>JÄMTLANDS LÄN</t>
        </is>
      </c>
      <c r="G419" t="inlineStr">
        <is>
          <t>STRÖMSUND</t>
        </is>
      </c>
      <c r="H419" t="inlineStr">
        <is>
          <t>SCA</t>
        </is>
      </c>
      <c r="I419" t="n">
        <v>3.3</v>
      </c>
      <c r="J419" t="n">
        <v>0</v>
      </c>
      <c r="K419" t="n">
        <v>1</v>
      </c>
      <c r="L419" t="n">
        <v>0</v>
      </c>
      <c r="M419" t="n">
        <v>0</v>
      </c>
      <c r="N419" t="n">
        <v>0</v>
      </c>
      <c r="O419" t="n">
        <v>0</v>
      </c>
      <c r="P419" t="n">
        <v>0</v>
      </c>
      <c r="Q419" t="n">
        <v>0</v>
      </c>
      <c r="R419" t="n">
        <v>0</v>
      </c>
      <c r="S419" t="n">
        <v>1</v>
      </c>
      <c r="T419" t="n">
        <v>1</v>
      </c>
      <c r="U419" t="n">
        <v>1</v>
      </c>
      <c r="V419" s="2" t="inlineStr">
        <is>
          <t>Ögonpyrola</t>
        </is>
      </c>
      <c r="W419">
        <f>HYPERLINK("https://klasma.github.io/Logging_2313/artfynd/A 14302-2026 artfynd.xlsx", "A 14302-2026")</f>
        <v/>
      </c>
      <c r="X419">
        <f>HYPERLINK("https://klasma.github.io/Logging_2313/kartor/A 14302-2026 karta.png", "A 14302-2026")</f>
        <v/>
      </c>
      <c r="Y419">
        <f>HYPERLINK("https://klasma.github.io/Logging_2313/kartor_geotiff/A 14302-2026 georefererad karta.tif", "A 14302-2026")</f>
        <v/>
      </c>
      <c r="AA419">
        <f>HYPERLINK("https://klasma.github.io/Logging_2313/klagomål/A 14302-2026 FSC-klagomål.docx", "A 14302-2026")</f>
        <v/>
      </c>
      <c r="AB419">
        <f>HYPERLINK("https://klasma.github.io/Logging_2313/klagomålsmail/A 14302-2026 FSC-klagomål mail.docx", "A 14302-2026")</f>
        <v/>
      </c>
      <c r="AC419">
        <f>HYPERLINK("https://klasma.github.io/Logging_2313/tillsyn/A 14302-2026 tillsynsbegäran.docx", "A 14302-2026")</f>
        <v/>
      </c>
      <c r="AD419">
        <f>HYPERLINK("https://klasma.github.io/Logging_2313/tillsynsmail/A 14302-2026 tillsynsbegäran mail.docx", "A 14302-2026")</f>
        <v/>
      </c>
    </row>
    <row r="420" ht="15" customHeight="1">
      <c r="A420" t="inlineStr">
        <is>
          <t>A 43105-2023</t>
        </is>
      </c>
      <c r="B420" t="inlineStr">
        <is>
          <t>avverkningsanmälan</t>
        </is>
      </c>
      <c r="C420" t="inlineStr">
        <is>
          <t>Föryngringsavverkning</t>
        </is>
      </c>
      <c r="D420" s="1" t="n">
        <v>45182</v>
      </c>
      <c r="E420" s="1" t="n">
        <v>46318</v>
      </c>
      <c r="F420" t="inlineStr">
        <is>
          <t>JÄMTLANDS LÄN</t>
        </is>
      </c>
      <c r="G420" t="inlineStr">
        <is>
          <t>STRÖMSUND</t>
        </is>
      </c>
      <c r="H420" t="inlineStr">
        <is>
          <t>SCA</t>
        </is>
      </c>
      <c r="I420" t="n">
        <v>6.3</v>
      </c>
      <c r="J420" t="n">
        <v>0</v>
      </c>
      <c r="K420" t="n">
        <v>0</v>
      </c>
      <c r="L420" t="n">
        <v>1</v>
      </c>
      <c r="M420" t="n">
        <v>0</v>
      </c>
      <c r="N420" t="n">
        <v>0</v>
      </c>
      <c r="O420" t="n">
        <v>0</v>
      </c>
      <c r="P420" t="n">
        <v>0</v>
      </c>
      <c r="Q420" t="n">
        <v>1</v>
      </c>
      <c r="R420" t="n">
        <v>0</v>
      </c>
      <c r="S420" t="n">
        <v>1</v>
      </c>
      <c r="T420" t="n">
        <v>1</v>
      </c>
      <c r="U420" t="n">
        <v>0</v>
      </c>
      <c r="V420" s="2" t="inlineStr">
        <is>
          <t>Gammelgransskål</t>
        </is>
      </c>
      <c r="W420">
        <f>HYPERLINK("https://klasma.github.io/Logging_2313/artfynd/A 43105-2023 artfynd.xlsx", "A 43105-2023")</f>
        <v/>
      </c>
      <c r="X420">
        <f>HYPERLINK("https://klasma.github.io/Logging_2313/kartor/A 43105-2023 karta.png", "A 43105-2023")</f>
        <v/>
      </c>
      <c r="Y420">
        <f>HYPERLINK("https://klasma.github.io/Logging_2313/kartor_geotiff/A 43105-2023 georefererad karta.tif", "A 43105-2023")</f>
        <v/>
      </c>
      <c r="AA420">
        <f>HYPERLINK("https://klasma.github.io/Logging_2313/klagomål/A 43105-2023 FSC-klagomål.docx", "A 43105-2023")</f>
        <v/>
      </c>
      <c r="AB420">
        <f>HYPERLINK("https://klasma.github.io/Logging_2313/klagomålsmail/A 43105-2023 FSC-klagomål mail.docx", "A 43105-2023")</f>
        <v/>
      </c>
      <c r="AC420">
        <f>HYPERLINK("https://klasma.github.io/Logging_2313/tillsyn/A 43105-2023 tillsynsbegäran.docx", "A 43105-2023")</f>
        <v/>
      </c>
      <c r="AD420">
        <f>HYPERLINK("https://klasma.github.io/Logging_2313/tillsynsmail/A 43105-2023 tillsynsbegäran mail.docx", "A 43105-2023")</f>
        <v/>
      </c>
    </row>
    <row r="421" ht="15" customHeight="1">
      <c r="A421" t="inlineStr">
        <is>
          <t>A 36754-2023</t>
        </is>
      </c>
      <c r="B421" t="inlineStr">
        <is>
          <t>avverkningsanmälan</t>
        </is>
      </c>
      <c r="C421" t="inlineStr">
        <is>
          <t>Föryngringsavverkning</t>
        </is>
      </c>
      <c r="D421" s="1" t="n">
        <v>45153</v>
      </c>
      <c r="E421" s="1" t="n">
        <v>46318</v>
      </c>
      <c r="F421" t="inlineStr">
        <is>
          <t>JÄMTLANDS LÄN</t>
        </is>
      </c>
      <c r="G421" t="inlineStr">
        <is>
          <t>STRÖMSUND</t>
        </is>
      </c>
      <c r="H421" t="inlineStr">
        <is>
          <t>SCA</t>
        </is>
      </c>
      <c r="I421" t="n">
        <v>2.7</v>
      </c>
      <c r="J421" t="n">
        <v>1</v>
      </c>
      <c r="K421" t="n">
        <v>1</v>
      </c>
      <c r="L421" t="n">
        <v>0</v>
      </c>
      <c r="M421" t="n">
        <v>0</v>
      </c>
      <c r="N421" t="n">
        <v>0</v>
      </c>
      <c r="O421" t="n">
        <v>0</v>
      </c>
      <c r="P421" t="n">
        <v>0</v>
      </c>
      <c r="Q421" t="n">
        <v>0</v>
      </c>
      <c r="R421" t="n">
        <v>0</v>
      </c>
      <c r="S421" t="n">
        <v>1</v>
      </c>
      <c r="T421" t="n">
        <v>1</v>
      </c>
      <c r="U421" t="n">
        <v>0</v>
      </c>
      <c r="V421" s="2" t="inlineStr">
        <is>
          <t>Lappranunkel</t>
        </is>
      </c>
      <c r="W421">
        <f>HYPERLINK("https://klasma.github.io/Logging_2313/artfynd/A 36754-2023 artfynd.xlsx", "A 36754-2023")</f>
        <v/>
      </c>
      <c r="X421">
        <f>HYPERLINK("https://klasma.github.io/Logging_2313/kartor/A 36754-2023 karta.png", "A 36754-2023")</f>
        <v/>
      </c>
      <c r="Y421">
        <f>HYPERLINK("https://klasma.github.io/Logging_2313/kartor_geotiff/A 36754-2023 georefererad karta.tif", "A 36754-2023")</f>
        <v/>
      </c>
      <c r="AA421">
        <f>HYPERLINK("https://klasma.github.io/Logging_2313/klagomål/A 36754-2023 FSC-klagomål.docx", "A 36754-2023")</f>
        <v/>
      </c>
      <c r="AB421">
        <f>HYPERLINK("https://klasma.github.io/Logging_2313/klagomålsmail/A 36754-2023 FSC-klagomål mail.docx", "A 36754-2023")</f>
        <v/>
      </c>
      <c r="AC421">
        <f>HYPERLINK("https://klasma.github.io/Logging_2313/tillsyn/A 36754-2023 tillsynsbegäran.docx", "A 36754-2023")</f>
        <v/>
      </c>
      <c r="AD421">
        <f>HYPERLINK("https://klasma.github.io/Logging_2313/tillsynsmail/A 36754-2023 tillsynsbegäran mail.docx", "A 36754-2023")</f>
        <v/>
      </c>
    </row>
    <row r="422" ht="15" customHeight="1">
      <c r="A422" t="inlineStr">
        <is>
          <t>A 15457-2023</t>
        </is>
      </c>
      <c r="B422" t="inlineStr">
        <is>
          <t>avverkningsanmälan</t>
        </is>
      </c>
      <c r="C422" t="inlineStr">
        <is>
          <t>Föryngringsavverkning</t>
        </is>
      </c>
      <c r="D422" s="1" t="n">
        <v>45019</v>
      </c>
      <c r="E422" s="1" t="n">
        <v>46318</v>
      </c>
      <c r="F422" t="inlineStr">
        <is>
          <t>JÄMTLANDS LÄN</t>
        </is>
      </c>
      <c r="G422" t="inlineStr">
        <is>
          <t>STRÖMSUND</t>
        </is>
      </c>
      <c r="I422" t="n">
        <v>17.2</v>
      </c>
      <c r="J422" t="n">
        <v>0</v>
      </c>
      <c r="K422" t="n">
        <v>1</v>
      </c>
      <c r="L422" t="n">
        <v>0</v>
      </c>
      <c r="M422" t="n">
        <v>0</v>
      </c>
      <c r="N422" t="n">
        <v>0</v>
      </c>
      <c r="O422" t="n">
        <v>0</v>
      </c>
      <c r="P422" t="n">
        <v>0</v>
      </c>
      <c r="Q422" t="n">
        <v>0</v>
      </c>
      <c r="R422" t="n">
        <v>0</v>
      </c>
      <c r="S422" t="n">
        <v>1</v>
      </c>
      <c r="T422" t="n">
        <v>1</v>
      </c>
      <c r="U422" t="n">
        <v>1</v>
      </c>
      <c r="V422" s="2" t="inlineStr">
        <is>
          <t>Taggbräken</t>
        </is>
      </c>
      <c r="W422">
        <f>HYPERLINK("https://klasma.github.io/Logging_2313/artfynd/A 15457-2023 artfynd.xlsx", "A 15457-2023")</f>
        <v/>
      </c>
      <c r="X422">
        <f>HYPERLINK("https://klasma.github.io/Logging_2313/kartor/A 15457-2023 karta.png", "A 15457-2023")</f>
        <v/>
      </c>
      <c r="Y422">
        <f>HYPERLINK("https://klasma.github.io/Logging_2313/kartor_geotiff/A 15457-2023 georefererad karta.tif", "A 15457-2023")</f>
        <v/>
      </c>
      <c r="AA422">
        <f>HYPERLINK("https://klasma.github.io/Logging_2313/klagomål/A 15457-2023 FSC-klagomål.docx", "A 15457-2023")</f>
        <v/>
      </c>
      <c r="AB422">
        <f>HYPERLINK("https://klasma.github.io/Logging_2313/klagomålsmail/A 15457-2023 FSC-klagomål mail.docx", "A 15457-2023")</f>
        <v/>
      </c>
      <c r="AC422">
        <f>HYPERLINK("https://klasma.github.io/Logging_2313/tillsyn/A 15457-2023 tillsynsbegäran.docx", "A 15457-2023")</f>
        <v/>
      </c>
      <c r="AD422">
        <f>HYPERLINK("https://klasma.github.io/Logging_2313/tillsynsmail/A 15457-2023 tillsynsbegäran mail.docx", "A 15457-2023")</f>
        <v/>
      </c>
    </row>
    <row r="423" ht="15" customHeight="1">
      <c r="A423" t="inlineStr">
        <is>
          <t>S 4947-2024</t>
        </is>
      </c>
      <c r="B423" t="inlineStr">
        <is>
          <t>samrådsanmälan</t>
        </is>
      </c>
      <c r="C423" t="inlineStr">
        <is>
          <t>Skogsgödsling</t>
        </is>
      </c>
      <c r="D423" s="1" t="n">
        <v>45628</v>
      </c>
      <c r="E423" s="1" t="n">
        <v>46318</v>
      </c>
      <c r="F423" t="inlineStr">
        <is>
          <t>JÄMTLANDS LÄN</t>
        </is>
      </c>
      <c r="G423" t="inlineStr">
        <is>
          <t>STRÖMSUND</t>
        </is>
      </c>
      <c r="H423" t="inlineStr">
        <is>
          <t>Holmen skog AB</t>
        </is>
      </c>
      <c r="I423" t="n">
        <v>86</v>
      </c>
      <c r="J423" t="n">
        <v>1</v>
      </c>
      <c r="K423" t="n">
        <v>0</v>
      </c>
      <c r="L423" t="n">
        <v>0</v>
      </c>
      <c r="M423" t="n">
        <v>0</v>
      </c>
      <c r="N423" t="n">
        <v>0</v>
      </c>
      <c r="O423" t="n">
        <v>0</v>
      </c>
      <c r="P423" t="n">
        <v>0</v>
      </c>
      <c r="Q423" t="n">
        <v>0</v>
      </c>
      <c r="R423" t="n">
        <v>0</v>
      </c>
      <c r="S423" t="n">
        <v>1</v>
      </c>
      <c r="T423" t="n">
        <v>6</v>
      </c>
      <c r="U423" t="n">
        <v>0</v>
      </c>
      <c r="V423" s="2" t="inlineStr">
        <is>
          <t>Fläcknycklar</t>
        </is>
      </c>
      <c r="W423">
        <f>HYPERLINK("https://klasma.github.io/Logging_2313/artfynd/S 4947-2024 artfynd.xlsx", "S 4947-2024")</f>
        <v/>
      </c>
      <c r="X423">
        <f>HYPERLINK("https://klasma.github.io/Logging_2313/kartor/S 4947-2024 karta.png", "S 4947-2024")</f>
        <v/>
      </c>
      <c r="Y423">
        <f>HYPERLINK("https://klasma.github.io/Logging_2313/kartor_geotiff/S 4947-2024 georefererad karta.tif", "S 4947-2024")</f>
        <v/>
      </c>
      <c r="AA423">
        <f>HYPERLINK("https://klasma.github.io/Logging_2313/klagomål/S 4947-2024 FSC-klagomål.docx", "S 4947-2024")</f>
        <v/>
      </c>
      <c r="AB423">
        <f>HYPERLINK("https://klasma.github.io/Logging_2313/klagomålsmail/S 4947-2024 FSC-klagomål mail.docx", "S 4947-2024")</f>
        <v/>
      </c>
      <c r="AC423">
        <f>HYPERLINK("https://klasma.github.io/Logging_2313/tillsyn/S 4947-2024 tillsynsbegäran.docx", "S 4947-2024")</f>
        <v/>
      </c>
      <c r="AD423">
        <f>HYPERLINK("https://klasma.github.io/Logging_2313/tillsynsmail/S 4947-2024 tillsynsbegäran mail.docx", "S 4947-2024")</f>
        <v/>
      </c>
    </row>
    <row r="424" ht="15" customHeight="1">
      <c r="A424" t="inlineStr">
        <is>
          <t>S 2689-2024</t>
        </is>
      </c>
      <c r="B424" t="inlineStr">
        <is>
          <t>samrådsanmälan</t>
        </is>
      </c>
      <c r="C424" t="inlineStr">
        <is>
          <t>Annan skogsbruksåtgärd</t>
        </is>
      </c>
      <c r="D424" s="1" t="n">
        <v>45481</v>
      </c>
      <c r="E424" s="1" t="n">
        <v>46318</v>
      </c>
      <c r="F424" t="inlineStr">
        <is>
          <t>JÄMTLANDS LÄN</t>
        </is>
      </c>
      <c r="G424" t="inlineStr">
        <is>
          <t>STRÖMSUND</t>
        </is>
      </c>
      <c r="H424" t="inlineStr">
        <is>
          <t>SCA</t>
        </is>
      </c>
      <c r="I424" t="n">
        <v>9.9</v>
      </c>
      <c r="J424" t="n">
        <v>1</v>
      </c>
      <c r="K424" t="n">
        <v>0</v>
      </c>
      <c r="L424" t="n">
        <v>0</v>
      </c>
      <c r="M424" t="n">
        <v>0</v>
      </c>
      <c r="N424" t="n">
        <v>0</v>
      </c>
      <c r="O424" t="n">
        <v>0</v>
      </c>
      <c r="P424" t="n">
        <v>0</v>
      </c>
      <c r="Q424" t="n">
        <v>0</v>
      </c>
      <c r="R424" t="n">
        <v>0</v>
      </c>
      <c r="S424" t="n">
        <v>1</v>
      </c>
      <c r="T424" t="n">
        <v>1</v>
      </c>
      <c r="U424" t="n">
        <v>0</v>
      </c>
      <c r="V424" s="2" t="inlineStr">
        <is>
          <t>Sävsparv</t>
        </is>
      </c>
      <c r="W424">
        <f>HYPERLINK("https://klasma.github.io/Logging_2313/artfynd/S 2689-2024 artfynd.xlsx", "S 2689-2024")</f>
        <v/>
      </c>
      <c r="X424">
        <f>HYPERLINK("https://klasma.github.io/Logging_2313/kartor/S 2689-2024 karta.png", "S 2689-2024")</f>
        <v/>
      </c>
      <c r="Y424">
        <f>HYPERLINK("https://klasma.github.io/Logging_2313/kartor_geotiff/S 2689-2024 georefererad karta.tif", "S 2689-2024")</f>
        <v/>
      </c>
      <c r="AA424">
        <f>HYPERLINK("https://klasma.github.io/Logging_2313/klagomål/S 2689-2024 FSC-klagomål.docx", "S 2689-2024")</f>
        <v/>
      </c>
      <c r="AB424">
        <f>HYPERLINK("https://klasma.github.io/Logging_2313/klagomålsmail/S 2689-2024 FSC-klagomål mail.docx", "S 2689-2024")</f>
        <v/>
      </c>
      <c r="AC424">
        <f>HYPERLINK("https://klasma.github.io/Logging_2313/tillsyn/S 2689-2024 tillsynsbegäran.docx", "S 2689-2024")</f>
        <v/>
      </c>
      <c r="AD424">
        <f>HYPERLINK("https://klasma.github.io/Logging_2313/tillsynsmail/S 2689-2024 tillsynsbegäran mail.docx", "S 2689-2024")</f>
        <v/>
      </c>
      <c r="AE424">
        <f>HYPERLINK("https://klasma.github.io/Logging_2313/fåglar/S 2689-2024 prioriterade fågelarter.docx", "S 2689-2024")</f>
        <v/>
      </c>
    </row>
    <row r="425" ht="15" customHeight="1">
      <c r="A425" t="inlineStr">
        <is>
          <t>S 2869-2022</t>
        </is>
      </c>
      <c r="B425" t="inlineStr">
        <is>
          <t>samrådsanmälan</t>
        </is>
      </c>
      <c r="C425" t="inlineStr">
        <is>
          <t>Åtgärd i nyckelbiotop</t>
        </is>
      </c>
      <c r="D425" s="1" t="n">
        <v>44708</v>
      </c>
      <c r="E425" s="1" t="n">
        <v>46318</v>
      </c>
      <c r="F425" t="inlineStr">
        <is>
          <t>JÄMTLANDS LÄN</t>
        </is>
      </c>
      <c r="G425" t="inlineStr">
        <is>
          <t>STRÖMSUND</t>
        </is>
      </c>
      <c r="H425" t="inlineStr">
        <is>
          <t>SCA</t>
        </is>
      </c>
      <c r="I425" t="n">
        <v>3.1</v>
      </c>
      <c r="J425" t="n">
        <v>0</v>
      </c>
      <c r="K425" t="n">
        <v>0</v>
      </c>
      <c r="L425" t="n">
        <v>1</v>
      </c>
      <c r="M425" t="n">
        <v>0</v>
      </c>
      <c r="N425" t="n">
        <v>0</v>
      </c>
      <c r="O425" t="n">
        <v>0</v>
      </c>
      <c r="P425" t="n">
        <v>0</v>
      </c>
      <c r="Q425" t="n">
        <v>1</v>
      </c>
      <c r="R425" t="n">
        <v>0</v>
      </c>
      <c r="S425" t="n">
        <v>1</v>
      </c>
      <c r="T425" t="n">
        <v>1</v>
      </c>
      <c r="U425" t="n">
        <v>0</v>
      </c>
      <c r="V425" s="2" t="inlineStr">
        <is>
          <t>Koralltaggsvamp</t>
        </is>
      </c>
      <c r="W425">
        <f>HYPERLINK("https://klasma.github.io/Logging_2313/artfynd/S 2869-2022 artfynd.xlsx", "S 2869-2022")</f>
        <v/>
      </c>
      <c r="X425">
        <f>HYPERLINK("https://klasma.github.io/Logging_2313/kartor/S 2869-2022 karta.png", "S 2869-2022")</f>
        <v/>
      </c>
      <c r="Y425">
        <f>HYPERLINK("https://klasma.github.io/Logging_2313/kartor_geotiff/S 2869-2022 georefererad karta.tif", "S 2869-2022")</f>
        <v/>
      </c>
      <c r="AA425">
        <f>HYPERLINK("https://klasma.github.io/Logging_2313/klagomål/S 2869-2022 FSC-klagomål.docx", "S 2869-2022")</f>
        <v/>
      </c>
      <c r="AB425">
        <f>HYPERLINK("https://klasma.github.io/Logging_2313/klagomålsmail/S 2869-2022 FSC-klagomål mail.docx", "S 2869-2022")</f>
        <v/>
      </c>
      <c r="AC425">
        <f>HYPERLINK("https://klasma.github.io/Logging_2313/tillsyn/S 2869-2022 tillsynsbegäran.docx", "S 2869-2022")</f>
        <v/>
      </c>
      <c r="AD425">
        <f>HYPERLINK("https://klasma.github.io/Logging_2313/tillsynsmail/S 2869-2022 tillsynsbegäran mail.docx", "S 2869-2022")</f>
        <v/>
      </c>
    </row>
    <row r="426" ht="15" customHeight="1">
      <c r="A426" t="inlineStr">
        <is>
          <t>S 2895-2025</t>
        </is>
      </c>
      <c r="B426" t="inlineStr">
        <is>
          <t>samrådsanmälan</t>
        </is>
      </c>
      <c r="C426" t="inlineStr">
        <is>
          <t>Skogsgödsling</t>
        </is>
      </c>
      <c r="D426" s="1" t="n">
        <v>45946</v>
      </c>
      <c r="E426" s="1" t="n">
        <v>46318</v>
      </c>
      <c r="F426" t="inlineStr">
        <is>
          <t>JÄMTLANDS LÄN</t>
        </is>
      </c>
      <c r="G426" t="inlineStr">
        <is>
          <t>STRÖMSUND</t>
        </is>
      </c>
      <c r="H426" t="inlineStr">
        <is>
          <t>Holmen skog AB</t>
        </is>
      </c>
      <c r="I426" t="n">
        <v>606.3</v>
      </c>
      <c r="J426" t="n">
        <v>1</v>
      </c>
      <c r="K426" t="n">
        <v>0</v>
      </c>
      <c r="L426" t="n">
        <v>0</v>
      </c>
      <c r="M426" t="n">
        <v>0</v>
      </c>
      <c r="N426" t="n">
        <v>0</v>
      </c>
      <c r="O426" t="n">
        <v>0</v>
      </c>
      <c r="P426" t="n">
        <v>0</v>
      </c>
      <c r="Q426" t="n">
        <v>0</v>
      </c>
      <c r="R426" t="n">
        <v>0</v>
      </c>
      <c r="S426" t="n">
        <v>1</v>
      </c>
      <c r="T426" t="n">
        <v>2</v>
      </c>
      <c r="U426" t="n">
        <v>0</v>
      </c>
      <c r="V426" s="2" t="inlineStr">
        <is>
          <t>Fläcknycklar</t>
        </is>
      </c>
      <c r="W426">
        <f>HYPERLINK("https://klasma.github.io/Logging_2313/artfynd/S 2895-2025 artfynd.xlsx", "S 2895-2025")</f>
        <v/>
      </c>
      <c r="X426">
        <f>HYPERLINK("https://klasma.github.io/Logging_2313/kartor/S 2895-2025 karta.png", "S 2895-2025")</f>
        <v/>
      </c>
      <c r="Y426">
        <f>HYPERLINK("https://klasma.github.io/Logging_2313/kartor_geotiff/S 2895-2025 georefererad karta.tif", "S 2895-2025")</f>
        <v/>
      </c>
      <c r="AA426">
        <f>HYPERLINK("https://klasma.github.io/Logging_2313/klagomål/S 2895-2025 FSC-klagomål.docx", "S 2895-2025")</f>
        <v/>
      </c>
      <c r="AB426">
        <f>HYPERLINK("https://klasma.github.io/Logging_2313/klagomålsmail/S 2895-2025 FSC-klagomål mail.docx", "S 2895-2025")</f>
        <v/>
      </c>
      <c r="AC426">
        <f>HYPERLINK("https://klasma.github.io/Logging_2313/tillsyn/S 2895-2025 tillsynsbegäran.docx", "S 2895-2025")</f>
        <v/>
      </c>
      <c r="AD426">
        <f>HYPERLINK("https://klasma.github.io/Logging_2313/tillsynsmail/S 2895-2025 tillsynsbegäran mail.docx", "S 2895-2025")</f>
        <v/>
      </c>
    </row>
    <row r="427" ht="15" customHeight="1">
      <c r="A427" t="inlineStr">
        <is>
          <t>A 37097-2022</t>
        </is>
      </c>
      <c r="B427" t="inlineStr">
        <is>
          <t>avverkningsanmälan</t>
        </is>
      </c>
      <c r="C427" t="inlineStr">
        <is>
          <t>Föryngringsavverkning</t>
        </is>
      </c>
      <c r="D427" s="1" t="n">
        <v>44806</v>
      </c>
      <c r="E427" s="1" t="n">
        <v>46318</v>
      </c>
      <c r="F427" t="inlineStr">
        <is>
          <t>JÄMTLANDS LÄN</t>
        </is>
      </c>
      <c r="G427" t="inlineStr">
        <is>
          <t>STRÖMSUND</t>
        </is>
      </c>
      <c r="H427" t="inlineStr">
        <is>
          <t>Kommuner</t>
        </is>
      </c>
      <c r="I427" t="n">
        <v>3.1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30044-2022</t>
        </is>
      </c>
      <c r="B428" t="inlineStr">
        <is>
          <t>avverkningsanmälan</t>
        </is>
      </c>
      <c r="C428" t="inlineStr">
        <is>
          <t>Föryngringsavverkning</t>
        </is>
      </c>
      <c r="D428" s="1" t="n">
        <v>44756</v>
      </c>
      <c r="E428" s="1" t="n">
        <v>46318</v>
      </c>
      <c r="F428" t="inlineStr">
        <is>
          <t>JÄMTLANDS LÄN</t>
        </is>
      </c>
      <c r="G428" t="inlineStr">
        <is>
          <t>STRÖMSUND</t>
        </is>
      </c>
      <c r="H428" t="inlineStr">
        <is>
          <t>SCA</t>
        </is>
      </c>
      <c r="I428" t="n">
        <v>2.7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36690-2022</t>
        </is>
      </c>
      <c r="B429" t="inlineStr">
        <is>
          <t>avverkningsanmälan</t>
        </is>
      </c>
      <c r="C429" t="inlineStr">
        <is>
          <t>Föryngringsavverkning</t>
        </is>
      </c>
      <c r="D429" s="1" t="n">
        <v>44804</v>
      </c>
      <c r="E429" s="1" t="n">
        <v>46318</v>
      </c>
      <c r="F429" t="inlineStr">
        <is>
          <t>JÄMTLANDS LÄN</t>
        </is>
      </c>
      <c r="G429" t="inlineStr">
        <is>
          <t>STRÖMSUND</t>
        </is>
      </c>
      <c r="H429" t="inlineStr">
        <is>
          <t>SCA</t>
        </is>
      </c>
      <c r="I429" t="n">
        <v>4.3</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13099-2022</t>
        </is>
      </c>
      <c r="B430" t="inlineStr">
        <is>
          <t>avverkningsanmälan</t>
        </is>
      </c>
      <c r="C430" t="inlineStr">
        <is>
          <t>Föryngringsavverkning</t>
        </is>
      </c>
      <c r="D430" s="1" t="n">
        <v>44643</v>
      </c>
      <c r="E430" s="1" t="n">
        <v>46318</v>
      </c>
      <c r="F430" t="inlineStr">
        <is>
          <t>JÄMTLANDS LÄN</t>
        </is>
      </c>
      <c r="G430" t="inlineStr">
        <is>
          <t>STRÖMSUND</t>
        </is>
      </c>
      <c r="H430" t="inlineStr">
        <is>
          <t>SCA</t>
        </is>
      </c>
      <c r="I430" t="n">
        <v>4.3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45421-2022</t>
        </is>
      </c>
      <c r="B431" t="inlineStr">
        <is>
          <t>avverkningsanmälan</t>
        </is>
      </c>
      <c r="C431" t="inlineStr">
        <is>
          <t>Föryngringsavverkning</t>
        </is>
      </c>
      <c r="D431" s="1" t="n">
        <v>44844</v>
      </c>
      <c r="E431" s="1" t="n">
        <v>46318</v>
      </c>
      <c r="F431" t="inlineStr">
        <is>
          <t>JÄMTLANDS LÄN</t>
        </is>
      </c>
      <c r="G431" t="inlineStr">
        <is>
          <t>STRÖMSUND</t>
        </is>
      </c>
      <c r="H431" t="inlineStr">
        <is>
          <t>SCA</t>
        </is>
      </c>
      <c r="I431" t="n">
        <v>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11158-2022</t>
        </is>
      </c>
      <c r="B432" t="inlineStr">
        <is>
          <t>avverkningsanmälan</t>
        </is>
      </c>
      <c r="C432" t="inlineStr">
        <is>
          <t>Föryngringsavverkning</t>
        </is>
      </c>
      <c r="D432" s="1" t="n">
        <v>44629</v>
      </c>
      <c r="E432" s="1" t="n">
        <v>46318</v>
      </c>
      <c r="F432" t="inlineStr">
        <is>
          <t>JÄMTLANDS LÄN</t>
        </is>
      </c>
      <c r="G432" t="inlineStr">
        <is>
          <t>STRÖMSUND</t>
        </is>
      </c>
      <c r="I432" t="n">
        <v>4.5</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8421-2022</t>
        </is>
      </c>
      <c r="B433" t="inlineStr">
        <is>
          <t>avverkningsanmälan</t>
        </is>
      </c>
      <c r="C433" t="inlineStr">
        <is>
          <t>Föryngringsavverkning</t>
        </is>
      </c>
      <c r="D433" s="1" t="n">
        <v>44610</v>
      </c>
      <c r="E433" s="1" t="n">
        <v>46318</v>
      </c>
      <c r="F433" t="inlineStr">
        <is>
          <t>JÄMTLANDS LÄN</t>
        </is>
      </c>
      <c r="G433" t="inlineStr">
        <is>
          <t>STRÖMSUND</t>
        </is>
      </c>
      <c r="H433" t="inlineStr">
        <is>
          <t>SCA</t>
        </is>
      </c>
      <c r="I433" t="n">
        <v>1.8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64656-2021</t>
        </is>
      </c>
      <c r="B434" t="inlineStr">
        <is>
          <t>avverkningsanmälan</t>
        </is>
      </c>
      <c r="C434" t="inlineStr">
        <is>
          <t>Föryngringsavverkning</t>
        </is>
      </c>
      <c r="D434" s="1" t="n">
        <v>44511</v>
      </c>
      <c r="E434" s="1" t="n">
        <v>46318</v>
      </c>
      <c r="F434" t="inlineStr">
        <is>
          <t>JÄMTLANDS LÄN</t>
        </is>
      </c>
      <c r="G434" t="inlineStr">
        <is>
          <t>STRÖMSUND</t>
        </is>
      </c>
      <c r="H434" t="inlineStr">
        <is>
          <t>SCA</t>
        </is>
      </c>
      <c r="I434" t="n">
        <v>0.4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37791-2022</t>
        </is>
      </c>
      <c r="B435" t="inlineStr">
        <is>
          <t>avverkningsanmälan</t>
        </is>
      </c>
      <c r="C435" t="inlineStr">
        <is>
          <t>Föryngringsavverkning</t>
        </is>
      </c>
      <c r="D435" s="1" t="n">
        <v>44810</v>
      </c>
      <c r="E435" s="1" t="n">
        <v>46318</v>
      </c>
      <c r="F435" t="inlineStr">
        <is>
          <t>JÄMTLANDS LÄN</t>
        </is>
      </c>
      <c r="G435" t="inlineStr">
        <is>
          <t>STRÖMSUND</t>
        </is>
      </c>
      <c r="I435" t="n">
        <v>2.2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40275-2022</t>
        </is>
      </c>
      <c r="B436" t="inlineStr">
        <is>
          <t>avverkningsanmälan</t>
        </is>
      </c>
      <c r="C436" t="inlineStr">
        <is>
          <t>Avverkning för att bevara och utveckla /försöksver</t>
        </is>
      </c>
      <c r="D436" s="1" t="n">
        <v>44820</v>
      </c>
      <c r="E436" s="1" t="n">
        <v>46318</v>
      </c>
      <c r="F436" t="inlineStr">
        <is>
          <t>JÄMTLANDS LÄN</t>
        </is>
      </c>
      <c r="G436" t="inlineStr">
        <is>
          <t>STRÖMSUND</t>
        </is>
      </c>
      <c r="H436" t="inlineStr">
        <is>
          <t>SCA</t>
        </is>
      </c>
      <c r="I436" t="n">
        <v>4.1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41829-2022</t>
        </is>
      </c>
      <c r="B437" t="inlineStr">
        <is>
          <t>avverkningsanmälan</t>
        </is>
      </c>
      <c r="C437" t="inlineStr">
        <is>
          <t>Föryngringsavverkning</t>
        </is>
      </c>
      <c r="D437" s="1" t="n">
        <v>44827</v>
      </c>
      <c r="E437" s="1" t="n">
        <v>46318</v>
      </c>
      <c r="F437" t="inlineStr">
        <is>
          <t>JÄMTLANDS LÄN</t>
        </is>
      </c>
      <c r="G437" t="inlineStr">
        <is>
          <t>STRÖMSUND</t>
        </is>
      </c>
      <c r="H437" t="inlineStr">
        <is>
          <t>SCA</t>
        </is>
      </c>
      <c r="I437" t="n">
        <v>1.3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44451-2022</t>
        </is>
      </c>
      <c r="B438" t="inlineStr">
        <is>
          <t>avverkningsanmälan</t>
        </is>
      </c>
      <c r="C438" t="inlineStr">
        <is>
          <t>Föryngringsavverkning</t>
        </is>
      </c>
      <c r="D438" s="1" t="n">
        <v>44839</v>
      </c>
      <c r="E438" s="1" t="n">
        <v>46318</v>
      </c>
      <c r="F438" t="inlineStr">
        <is>
          <t>JÄMTLANDS LÄN</t>
        </is>
      </c>
      <c r="G438" t="inlineStr">
        <is>
          <t>STRÖMSUND</t>
        </is>
      </c>
      <c r="H438" t="inlineStr">
        <is>
          <t>SCA</t>
        </is>
      </c>
      <c r="I438" t="n">
        <v>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42155-2022</t>
        </is>
      </c>
      <c r="B439" t="inlineStr">
        <is>
          <t>avverkningsanmälan</t>
        </is>
      </c>
      <c r="C439" t="inlineStr">
        <is>
          <t>Föryngringsavverkning</t>
        </is>
      </c>
      <c r="D439" s="1" t="n">
        <v>44830</v>
      </c>
      <c r="E439" s="1" t="n">
        <v>46318</v>
      </c>
      <c r="F439" t="inlineStr">
        <is>
          <t>JÄMTLANDS LÄN</t>
        </is>
      </c>
      <c r="G439" t="inlineStr">
        <is>
          <t>STRÖMSUND</t>
        </is>
      </c>
      <c r="H439" t="inlineStr">
        <is>
          <t>Holmen skog AB</t>
        </is>
      </c>
      <c r="I439" t="n">
        <v>0.8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15238-2022</t>
        </is>
      </c>
      <c r="B440" t="inlineStr">
        <is>
          <t>avverkningsanmälan</t>
        </is>
      </c>
      <c r="C440" t="inlineStr">
        <is>
          <t>Föryngringsavverkning</t>
        </is>
      </c>
      <c r="D440" s="1" t="n">
        <v>44658</v>
      </c>
      <c r="E440" s="1" t="n">
        <v>46318</v>
      </c>
      <c r="F440" t="inlineStr">
        <is>
          <t>JÄMTLANDS LÄN</t>
        </is>
      </c>
      <c r="G440" t="inlineStr">
        <is>
          <t>STRÖMSUND</t>
        </is>
      </c>
      <c r="H440" t="inlineStr">
        <is>
          <t>SCA</t>
        </is>
      </c>
      <c r="I440" t="n">
        <v>1.1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32357-2022</t>
        </is>
      </c>
      <c r="B441" t="inlineStr">
        <is>
          <t>avverkningsanmälan</t>
        </is>
      </c>
      <c r="C441" t="inlineStr">
        <is>
          <t>Avverkning för annat ändamål</t>
        </is>
      </c>
      <c r="D441" s="1" t="n">
        <v>44781</v>
      </c>
      <c r="E441" s="1" t="n">
        <v>46318</v>
      </c>
      <c r="F441" t="inlineStr">
        <is>
          <t>JÄMTLANDS LÄN</t>
        </is>
      </c>
      <c r="G441" t="inlineStr">
        <is>
          <t>STRÖMSUND</t>
        </is>
      </c>
      <c r="H441" t="inlineStr">
        <is>
          <t>SCA</t>
        </is>
      </c>
      <c r="I441" t="n">
        <v>0.5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61731-2021</t>
        </is>
      </c>
      <c r="B442" t="inlineStr">
        <is>
          <t>avverkningsanmälan</t>
        </is>
      </c>
      <c r="C442" t="inlineStr">
        <is>
          <t>Föryngringsavverkning</t>
        </is>
      </c>
      <c r="D442" s="1" t="n">
        <v>44501</v>
      </c>
      <c r="E442" s="1" t="n">
        <v>46318</v>
      </c>
      <c r="F442" t="inlineStr">
        <is>
          <t>JÄMTLANDS LÄN</t>
        </is>
      </c>
      <c r="G442" t="inlineStr">
        <is>
          <t>STRÖMSUND</t>
        </is>
      </c>
      <c r="H442" t="inlineStr">
        <is>
          <t>Holmen skog AB</t>
        </is>
      </c>
      <c r="I442" t="n">
        <v>1.8</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73289-2021</t>
        </is>
      </c>
      <c r="B443" t="inlineStr">
        <is>
          <t>avverkningsanmälan</t>
        </is>
      </c>
      <c r="C443" t="inlineStr">
        <is>
          <t>Föryngringsavverkning</t>
        </is>
      </c>
      <c r="D443" s="1" t="n">
        <v>44550</v>
      </c>
      <c r="E443" s="1" t="n">
        <v>46318</v>
      </c>
      <c r="F443" t="inlineStr">
        <is>
          <t>JÄMTLANDS LÄN</t>
        </is>
      </c>
      <c r="G443" t="inlineStr">
        <is>
          <t>STRÖMSUND</t>
        </is>
      </c>
      <c r="H443" t="inlineStr">
        <is>
          <t>SCA</t>
        </is>
      </c>
      <c r="I443" t="n">
        <v>0.7</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72957-2021</t>
        </is>
      </c>
      <c r="B444" t="inlineStr">
        <is>
          <t>avverkningsanmälan</t>
        </is>
      </c>
      <c r="C444" t="inlineStr">
        <is>
          <t>Föryngringsavverkning</t>
        </is>
      </c>
      <c r="D444" s="1" t="n">
        <v>44547</v>
      </c>
      <c r="E444" s="1" t="n">
        <v>46318</v>
      </c>
      <c r="F444" t="inlineStr">
        <is>
          <t>JÄMTLANDS LÄN</t>
        </is>
      </c>
      <c r="G444" t="inlineStr">
        <is>
          <t>STRÖMSUND</t>
        </is>
      </c>
      <c r="H444" t="inlineStr">
        <is>
          <t>SCA</t>
        </is>
      </c>
      <c r="I444" t="n">
        <v>0.8</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62669-2021</t>
        </is>
      </c>
      <c r="B445" t="inlineStr">
        <is>
          <t>avverkningsanmälan</t>
        </is>
      </c>
      <c r="C445" t="inlineStr">
        <is>
          <t>Föryngringsavverkning</t>
        </is>
      </c>
      <c r="D445" s="1" t="n">
        <v>44503</v>
      </c>
      <c r="E445" s="1" t="n">
        <v>46318</v>
      </c>
      <c r="F445" t="inlineStr">
        <is>
          <t>JÄMTLANDS LÄN</t>
        </is>
      </c>
      <c r="G445" t="inlineStr">
        <is>
          <t>STRÖMSUND</t>
        </is>
      </c>
      <c r="H445" t="inlineStr">
        <is>
          <t>SCA</t>
        </is>
      </c>
      <c r="I445" t="n">
        <v>3.4</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34523-2022</t>
        </is>
      </c>
      <c r="B446" t="inlineStr">
        <is>
          <t>avverkningsanmälan</t>
        </is>
      </c>
      <c r="C446" t="inlineStr">
        <is>
          <t>Föryngringsavverkning</t>
        </is>
      </c>
      <c r="D446" s="1" t="n">
        <v>44792</v>
      </c>
      <c r="E446" s="1" t="n">
        <v>46318</v>
      </c>
      <c r="F446" t="inlineStr">
        <is>
          <t>JÄMTLANDS LÄN</t>
        </is>
      </c>
      <c r="G446" t="inlineStr">
        <is>
          <t>STRÖMSUND</t>
        </is>
      </c>
      <c r="H446" t="inlineStr">
        <is>
          <t>SCA</t>
        </is>
      </c>
      <c r="I446" t="n">
        <v>0.7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16359-2022</t>
        </is>
      </c>
      <c r="B447" t="inlineStr">
        <is>
          <t>avverkningsanmälan</t>
        </is>
      </c>
      <c r="C447" t="inlineStr">
        <is>
          <t>Föryngringsavverkning</t>
        </is>
      </c>
      <c r="D447" s="1" t="n">
        <v>44670</v>
      </c>
      <c r="E447" s="1" t="n">
        <v>46318</v>
      </c>
      <c r="F447" t="inlineStr">
        <is>
          <t>JÄMTLANDS LÄN</t>
        </is>
      </c>
      <c r="G447" t="inlineStr">
        <is>
          <t>STRÖMSUND</t>
        </is>
      </c>
      <c r="I447" t="n">
        <v>0.2</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16311-2022</t>
        </is>
      </c>
      <c r="B448" t="inlineStr">
        <is>
          <t>avverkningsanmälan</t>
        </is>
      </c>
      <c r="C448" t="inlineStr">
        <is>
          <t>Föryngringsavverkning</t>
        </is>
      </c>
      <c r="D448" s="1" t="n">
        <v>44670</v>
      </c>
      <c r="E448" s="1" t="n">
        <v>46318</v>
      </c>
      <c r="F448" t="inlineStr">
        <is>
          <t>JÄMTLANDS LÄN</t>
        </is>
      </c>
      <c r="G448" t="inlineStr">
        <is>
          <t>STRÖMSUND</t>
        </is>
      </c>
      <c r="I448" t="n">
        <v>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41822-2022</t>
        </is>
      </c>
      <c r="B449" t="inlineStr">
        <is>
          <t>avverkningsanmälan</t>
        </is>
      </c>
      <c r="C449" t="inlineStr">
        <is>
          <t>Föryngringsavverkning</t>
        </is>
      </c>
      <c r="D449" s="1" t="n">
        <v>44827</v>
      </c>
      <c r="E449" s="1" t="n">
        <v>46318</v>
      </c>
      <c r="F449" t="inlineStr">
        <is>
          <t>JÄMTLANDS LÄN</t>
        </is>
      </c>
      <c r="G449" t="inlineStr">
        <is>
          <t>STRÖMSUND</t>
        </is>
      </c>
      <c r="H449" t="inlineStr">
        <is>
          <t>SCA</t>
        </is>
      </c>
      <c r="I449" t="n">
        <v>1.4</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50661-2022</t>
        </is>
      </c>
      <c r="B450" t="inlineStr">
        <is>
          <t>avverkningsanmälan</t>
        </is>
      </c>
      <c r="C450" t="inlineStr">
        <is>
          <t>Föryngringsavverkning</t>
        </is>
      </c>
      <c r="D450" s="1" t="n">
        <v>44866</v>
      </c>
      <c r="E450" s="1" t="n">
        <v>46318</v>
      </c>
      <c r="F450" t="inlineStr">
        <is>
          <t>JÄMTLANDS LÄN</t>
        </is>
      </c>
      <c r="G450" t="inlineStr">
        <is>
          <t>STRÖMSUND</t>
        </is>
      </c>
      <c r="H450" t="inlineStr">
        <is>
          <t>SCA</t>
        </is>
      </c>
      <c r="I450" t="n">
        <v>2.5</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3539-2022</t>
        </is>
      </c>
      <c r="B451" t="inlineStr">
        <is>
          <t>avverkningsanmälan</t>
        </is>
      </c>
      <c r="C451" t="inlineStr">
        <is>
          <t>Föryngringsavverkning</t>
        </is>
      </c>
      <c r="D451" s="1" t="n">
        <v>44585</v>
      </c>
      <c r="E451" s="1" t="n">
        <v>46318</v>
      </c>
      <c r="F451" t="inlineStr">
        <is>
          <t>JÄMTLANDS LÄN</t>
        </is>
      </c>
      <c r="G451" t="inlineStr">
        <is>
          <t>STRÖMSUND</t>
        </is>
      </c>
      <c r="H451" t="inlineStr">
        <is>
          <t>SCA</t>
        </is>
      </c>
      <c r="I451" t="n">
        <v>1.2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48547-2022</t>
        </is>
      </c>
      <c r="B452" t="inlineStr">
        <is>
          <t>avverkningsanmälan</t>
        </is>
      </c>
      <c r="C452" t="inlineStr">
        <is>
          <t>Avverkning för att bevara och utveckla /försöksver</t>
        </is>
      </c>
      <c r="D452" s="1" t="n">
        <v>44858</v>
      </c>
      <c r="E452" s="1" t="n">
        <v>46318</v>
      </c>
      <c r="F452" t="inlineStr">
        <is>
          <t>JÄMTLANDS LÄN</t>
        </is>
      </c>
      <c r="G452" t="inlineStr">
        <is>
          <t>STRÖMSUND</t>
        </is>
      </c>
      <c r="H452" t="inlineStr">
        <is>
          <t>SCA</t>
        </is>
      </c>
      <c r="I452" t="n">
        <v>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31485-2022</t>
        </is>
      </c>
      <c r="B453" t="inlineStr">
        <is>
          <t>avverkningsanmälan</t>
        </is>
      </c>
      <c r="C453" t="inlineStr">
        <is>
          <t>Avverkning för att bevara och utveckla /försöksver</t>
        </is>
      </c>
      <c r="D453" s="1" t="n">
        <v>44774</v>
      </c>
      <c r="E453" s="1" t="n">
        <v>46318</v>
      </c>
      <c r="F453" t="inlineStr">
        <is>
          <t>JÄMTLANDS LÄN</t>
        </is>
      </c>
      <c r="G453" t="inlineStr">
        <is>
          <t>STRÖMSUND</t>
        </is>
      </c>
      <c r="H453" t="inlineStr">
        <is>
          <t>SCA</t>
        </is>
      </c>
      <c r="I453" t="n">
        <v>13.1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61612-2021</t>
        </is>
      </c>
      <c r="B454" t="inlineStr">
        <is>
          <t>avverkningsanmälan</t>
        </is>
      </c>
      <c r="C454" t="inlineStr">
        <is>
          <t>Avverkning för annat ändamål</t>
        </is>
      </c>
      <c r="D454" s="1" t="n">
        <v>44498</v>
      </c>
      <c r="E454" s="1" t="n">
        <v>46318</v>
      </c>
      <c r="F454" t="inlineStr">
        <is>
          <t>JÄMTLANDS LÄN</t>
        </is>
      </c>
      <c r="G454" t="inlineStr">
        <is>
          <t>STRÖMSUND</t>
        </is>
      </c>
      <c r="I454" t="n">
        <v>1.9</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35240-2022</t>
        </is>
      </c>
      <c r="B455" t="inlineStr">
        <is>
          <t>avverkningsanmälan</t>
        </is>
      </c>
      <c r="C455" t="inlineStr">
        <is>
          <t>Föryngringsavverkning</t>
        </is>
      </c>
      <c r="D455" s="1" t="n">
        <v>44797</v>
      </c>
      <c r="E455" s="1" t="n">
        <v>46318</v>
      </c>
      <c r="F455" t="inlineStr">
        <is>
          <t>JÄMTLANDS LÄN</t>
        </is>
      </c>
      <c r="G455" t="inlineStr">
        <is>
          <t>STRÖMSUND</t>
        </is>
      </c>
      <c r="H455" t="inlineStr">
        <is>
          <t>SCA</t>
        </is>
      </c>
      <c r="I455" t="n">
        <v>3.9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30046-2022</t>
        </is>
      </c>
      <c r="B456" t="inlineStr">
        <is>
          <t>avverkningsanmälan</t>
        </is>
      </c>
      <c r="C456" t="inlineStr">
        <is>
          <t>Föryngringsavverkning</t>
        </is>
      </c>
      <c r="D456" s="1" t="n">
        <v>44756</v>
      </c>
      <c r="E456" s="1" t="n">
        <v>46318</v>
      </c>
      <c r="F456" t="inlineStr">
        <is>
          <t>JÄMTLANDS LÄN</t>
        </is>
      </c>
      <c r="G456" t="inlineStr">
        <is>
          <t>STRÖMSUND</t>
        </is>
      </c>
      <c r="H456" t="inlineStr">
        <is>
          <t>SCA</t>
        </is>
      </c>
      <c r="I456" t="n">
        <v>1.5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44641-2022</t>
        </is>
      </c>
      <c r="B457" t="inlineStr">
        <is>
          <t>avverkningsanmälan</t>
        </is>
      </c>
      <c r="C457" t="inlineStr">
        <is>
          <t>Avverkning för annat ändamål</t>
        </is>
      </c>
      <c r="D457" s="1" t="n">
        <v>44839</v>
      </c>
      <c r="E457" s="1" t="n">
        <v>46318</v>
      </c>
      <c r="F457" t="inlineStr">
        <is>
          <t>JÄMTLANDS LÄN</t>
        </is>
      </c>
      <c r="G457" t="inlineStr">
        <is>
          <t>STRÖMSUND</t>
        </is>
      </c>
      <c r="H457" t="inlineStr">
        <is>
          <t>Kommuner</t>
        </is>
      </c>
      <c r="I457" t="n">
        <v>2</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14281-2022</t>
        </is>
      </c>
      <c r="B458" t="inlineStr">
        <is>
          <t>avverkningsanmälan</t>
        </is>
      </c>
      <c r="C458" t="inlineStr">
        <is>
          <t>Föryngringsavverkning</t>
        </is>
      </c>
      <c r="D458" s="1" t="n">
        <v>44651</v>
      </c>
      <c r="E458" s="1" t="n">
        <v>46318</v>
      </c>
      <c r="F458" t="inlineStr">
        <is>
          <t>JÄMTLANDS LÄN</t>
        </is>
      </c>
      <c r="G458" t="inlineStr">
        <is>
          <t>STRÖMSUND</t>
        </is>
      </c>
      <c r="I458" t="n">
        <v>2.9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31501-2022</t>
        </is>
      </c>
      <c r="B459" t="inlineStr">
        <is>
          <t>avverkningsanmälan</t>
        </is>
      </c>
      <c r="C459" t="inlineStr">
        <is>
          <t>Föryngringsavverkning</t>
        </is>
      </c>
      <c r="D459" s="1" t="n">
        <v>44774</v>
      </c>
      <c r="E459" s="1" t="n">
        <v>46318</v>
      </c>
      <c r="F459" t="inlineStr">
        <is>
          <t>JÄMTLANDS LÄN</t>
        </is>
      </c>
      <c r="G459" t="inlineStr">
        <is>
          <t>STRÖMSUND</t>
        </is>
      </c>
      <c r="H459" t="inlineStr">
        <is>
          <t>SCA</t>
        </is>
      </c>
      <c r="I459" t="n">
        <v>2.3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31506-2022</t>
        </is>
      </c>
      <c r="B460" t="inlineStr">
        <is>
          <t>avverkningsanmälan</t>
        </is>
      </c>
      <c r="C460" t="inlineStr">
        <is>
          <t>Föryngringsavverkning</t>
        </is>
      </c>
      <c r="D460" s="1" t="n">
        <v>44774</v>
      </c>
      <c r="E460" s="1" t="n">
        <v>46318</v>
      </c>
      <c r="F460" t="inlineStr">
        <is>
          <t>JÄMTLANDS LÄN</t>
        </is>
      </c>
      <c r="G460" t="inlineStr">
        <is>
          <t>STRÖMSUND</t>
        </is>
      </c>
      <c r="H460" t="inlineStr">
        <is>
          <t>SCA</t>
        </is>
      </c>
      <c r="I460" t="n">
        <v>0.4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43790-2022</t>
        </is>
      </c>
      <c r="B461" t="inlineStr">
        <is>
          <t>avverkningsanmälan</t>
        </is>
      </c>
      <c r="C461" t="inlineStr">
        <is>
          <t>Avverkning för att bevara och utveckla /försöksver</t>
        </is>
      </c>
      <c r="D461" s="1" t="n">
        <v>44837</v>
      </c>
      <c r="E461" s="1" t="n">
        <v>46318</v>
      </c>
      <c r="F461" t="inlineStr">
        <is>
          <t>JÄMTLANDS LÄN</t>
        </is>
      </c>
      <c r="G461" t="inlineStr">
        <is>
          <t>STRÖMSUND</t>
        </is>
      </c>
      <c r="H461" t="inlineStr">
        <is>
          <t>SCA</t>
        </is>
      </c>
      <c r="I461" t="n">
        <v>1.5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36382-2022</t>
        </is>
      </c>
      <c r="B462" t="inlineStr">
        <is>
          <t>avverkningsanmälan</t>
        </is>
      </c>
      <c r="C462" t="inlineStr">
        <is>
          <t>Föryngringsavverkning</t>
        </is>
      </c>
      <c r="D462" s="1" t="n">
        <v>44803</v>
      </c>
      <c r="E462" s="1" t="n">
        <v>46318</v>
      </c>
      <c r="F462" t="inlineStr">
        <is>
          <t>JÄMTLANDS LÄN</t>
        </is>
      </c>
      <c r="G462" t="inlineStr">
        <is>
          <t>STRÖMSUND</t>
        </is>
      </c>
      <c r="H462" t="inlineStr">
        <is>
          <t>SCA</t>
        </is>
      </c>
      <c r="I462" t="n">
        <v>12.6</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36383-2022</t>
        </is>
      </c>
      <c r="B463" t="inlineStr">
        <is>
          <t>avverkningsanmälan</t>
        </is>
      </c>
      <c r="C463" t="inlineStr">
        <is>
          <t>Föryngringsavverkning</t>
        </is>
      </c>
      <c r="D463" s="1" t="n">
        <v>44803</v>
      </c>
      <c r="E463" s="1" t="n">
        <v>46318</v>
      </c>
      <c r="F463" t="inlineStr">
        <is>
          <t>JÄMTLANDS LÄN</t>
        </is>
      </c>
      <c r="G463" t="inlineStr">
        <is>
          <t>STRÖMSUND</t>
        </is>
      </c>
      <c r="H463" t="inlineStr">
        <is>
          <t>SCA</t>
        </is>
      </c>
      <c r="I463" t="n">
        <v>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68424-2021</t>
        </is>
      </c>
      <c r="B464" t="inlineStr">
        <is>
          <t>avverkningsanmälan</t>
        </is>
      </c>
      <c r="C464" t="inlineStr">
        <is>
          <t>Föryngringsavverkning</t>
        </is>
      </c>
      <c r="D464" s="1" t="n">
        <v>44529</v>
      </c>
      <c r="E464" s="1" t="n">
        <v>46318</v>
      </c>
      <c r="F464" t="inlineStr">
        <is>
          <t>JÄMTLANDS LÄN</t>
        </is>
      </c>
      <c r="G464" t="inlineStr">
        <is>
          <t>STRÖMSUND</t>
        </is>
      </c>
      <c r="I464" t="n">
        <v>0.6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35853-2022</t>
        </is>
      </c>
      <c r="B465" t="inlineStr">
        <is>
          <t>avverkningsanmälan</t>
        </is>
      </c>
      <c r="C465" t="inlineStr">
        <is>
          <t>Föryngringsavverkning</t>
        </is>
      </c>
      <c r="D465" s="1" t="n">
        <v>44802</v>
      </c>
      <c r="E465" s="1" t="n">
        <v>46318</v>
      </c>
      <c r="F465" t="inlineStr">
        <is>
          <t>JÄMTLANDS LÄN</t>
        </is>
      </c>
      <c r="G465" t="inlineStr">
        <is>
          <t>STRÖMSUND</t>
        </is>
      </c>
      <c r="I465" t="n">
        <v>1.3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29541-2022</t>
        </is>
      </c>
      <c r="B466" t="inlineStr">
        <is>
          <t>avverkningsanmälan</t>
        </is>
      </c>
      <c r="C466" t="inlineStr">
        <is>
          <t>Föryngringsavverkning</t>
        </is>
      </c>
      <c r="D466" s="1" t="n">
        <v>44753</v>
      </c>
      <c r="E466" s="1" t="n">
        <v>46318</v>
      </c>
      <c r="F466" t="inlineStr">
        <is>
          <t>JÄMTLANDS LÄN</t>
        </is>
      </c>
      <c r="G466" t="inlineStr">
        <is>
          <t>STRÖMSUND</t>
        </is>
      </c>
      <c r="H466" t="inlineStr">
        <is>
          <t>SCA</t>
        </is>
      </c>
      <c r="I466" t="n">
        <v>1.8</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60939-2021</t>
        </is>
      </c>
      <c r="B467" t="inlineStr">
        <is>
          <t>avverkningsanmälan</t>
        </is>
      </c>
      <c r="C467" t="inlineStr">
        <is>
          <t>Föryngringsavverkning</t>
        </is>
      </c>
      <c r="D467" s="1" t="n">
        <v>44496</v>
      </c>
      <c r="E467" s="1" t="n">
        <v>46318</v>
      </c>
      <c r="F467" t="inlineStr">
        <is>
          <t>JÄMTLANDS LÄN</t>
        </is>
      </c>
      <c r="G467" t="inlineStr">
        <is>
          <t>STRÖMSUND</t>
        </is>
      </c>
      <c r="I467" t="n">
        <v>2.8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24020-2022</t>
        </is>
      </c>
      <c r="B468" t="inlineStr">
        <is>
          <t>avverkningsanmälan</t>
        </is>
      </c>
      <c r="C468" t="inlineStr">
        <is>
          <t>Föryngringsavverkning</t>
        </is>
      </c>
      <c r="D468" s="1" t="n">
        <v>44722</v>
      </c>
      <c r="E468" s="1" t="n">
        <v>46318</v>
      </c>
      <c r="F468" t="inlineStr">
        <is>
          <t>JÄMTLANDS LÄN</t>
        </is>
      </c>
      <c r="G468" t="inlineStr">
        <is>
          <t>STRÖMSUND</t>
        </is>
      </c>
      <c r="H468" t="inlineStr">
        <is>
          <t>SCA</t>
        </is>
      </c>
      <c r="I468" t="n">
        <v>20.2</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20706-2022</t>
        </is>
      </c>
      <c r="B469" t="inlineStr">
        <is>
          <t>avverkningsanmälan</t>
        </is>
      </c>
      <c r="C469" t="inlineStr">
        <is>
          <t>Föryngringsavverkning</t>
        </is>
      </c>
      <c r="D469" s="1" t="n">
        <v>44700</v>
      </c>
      <c r="E469" s="1" t="n">
        <v>46318</v>
      </c>
      <c r="F469" t="inlineStr">
        <is>
          <t>JÄMTLANDS LÄN</t>
        </is>
      </c>
      <c r="G469" t="inlineStr">
        <is>
          <t>STRÖMSUND</t>
        </is>
      </c>
      <c r="H469" t="inlineStr">
        <is>
          <t>SCA</t>
        </is>
      </c>
      <c r="I469" t="n">
        <v>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45435-2022</t>
        </is>
      </c>
      <c r="B470" t="inlineStr">
        <is>
          <t>avverkningsanmälan</t>
        </is>
      </c>
      <c r="C470" t="inlineStr">
        <is>
          <t>Avverkning för att bevara och utveckla /försöksver</t>
        </is>
      </c>
      <c r="D470" s="1" t="n">
        <v>44844</v>
      </c>
      <c r="E470" s="1" t="n">
        <v>46318</v>
      </c>
      <c r="F470" t="inlineStr">
        <is>
          <t>JÄMTLANDS LÄN</t>
        </is>
      </c>
      <c r="G470" t="inlineStr">
        <is>
          <t>STRÖMSUND</t>
        </is>
      </c>
      <c r="H470" t="inlineStr">
        <is>
          <t>SCA</t>
        </is>
      </c>
      <c r="I470" t="n">
        <v>6.2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33728-2022</t>
        </is>
      </c>
      <c r="B471" t="inlineStr">
        <is>
          <t>avverkningsanmälan</t>
        </is>
      </c>
      <c r="C471" t="inlineStr">
        <is>
          <t>Avverkning för att bevara och utveckla /försöksver</t>
        </is>
      </c>
      <c r="D471" s="1" t="n">
        <v>44789</v>
      </c>
      <c r="E471" s="1" t="n">
        <v>46318</v>
      </c>
      <c r="F471" t="inlineStr">
        <is>
          <t>JÄMTLANDS LÄN</t>
        </is>
      </c>
      <c r="G471" t="inlineStr">
        <is>
          <t>STRÖMSUND</t>
        </is>
      </c>
      <c r="H471" t="inlineStr">
        <is>
          <t>SCA</t>
        </is>
      </c>
      <c r="I471" t="n">
        <v>1.6</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12762-2022</t>
        </is>
      </c>
      <c r="B472" t="inlineStr">
        <is>
          <t>avverkningsanmälan</t>
        </is>
      </c>
      <c r="C472" t="inlineStr">
        <is>
          <t>Föryngringsavverkning</t>
        </is>
      </c>
      <c r="D472" s="1" t="n">
        <v>44641</v>
      </c>
      <c r="E472" s="1" t="n">
        <v>46318</v>
      </c>
      <c r="F472" t="inlineStr">
        <is>
          <t>JÄMTLANDS LÄN</t>
        </is>
      </c>
      <c r="G472" t="inlineStr">
        <is>
          <t>STRÖMSUND</t>
        </is>
      </c>
      <c r="H472" t="inlineStr">
        <is>
          <t>SCA</t>
        </is>
      </c>
      <c r="I472" t="n">
        <v>4.1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44448-2022</t>
        </is>
      </c>
      <c r="B473" t="inlineStr">
        <is>
          <t>avverkningsanmälan</t>
        </is>
      </c>
      <c r="C473" t="inlineStr">
        <is>
          <t>Föryngringsavverkning</t>
        </is>
      </c>
      <c r="D473" s="1" t="n">
        <v>44839</v>
      </c>
      <c r="E473" s="1" t="n">
        <v>46318</v>
      </c>
      <c r="F473" t="inlineStr">
        <is>
          <t>JÄMTLANDS LÄN</t>
        </is>
      </c>
      <c r="G473" t="inlineStr">
        <is>
          <t>STRÖMSUND</t>
        </is>
      </c>
      <c r="H473" t="inlineStr">
        <is>
          <t>SCA</t>
        </is>
      </c>
      <c r="I473" t="n">
        <v>1.7</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52344-2022</t>
        </is>
      </c>
      <c r="B474" t="inlineStr">
        <is>
          <t>avverkningsanmälan</t>
        </is>
      </c>
      <c r="C474" t="inlineStr">
        <is>
          <t>Avverkning för att bevara och utveckla /försöksver</t>
        </is>
      </c>
      <c r="D474" s="1" t="n">
        <v>44873</v>
      </c>
      <c r="E474" s="1" t="n">
        <v>46318</v>
      </c>
      <c r="F474" t="inlineStr">
        <is>
          <t>JÄMTLANDS LÄN</t>
        </is>
      </c>
      <c r="G474" t="inlineStr">
        <is>
          <t>STRÖMSUND</t>
        </is>
      </c>
      <c r="H474" t="inlineStr">
        <is>
          <t>SCA</t>
        </is>
      </c>
      <c r="I474" t="n">
        <v>5.4</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23217-2022</t>
        </is>
      </c>
      <c r="B475" t="inlineStr">
        <is>
          <t>avverkningsanmälan</t>
        </is>
      </c>
      <c r="C475" t="inlineStr">
        <is>
          <t>Föryngringsavverkning</t>
        </is>
      </c>
      <c r="D475" s="1" t="n">
        <v>44719</v>
      </c>
      <c r="E475" s="1" t="n">
        <v>46318</v>
      </c>
      <c r="F475" t="inlineStr">
        <is>
          <t>JÄMTLANDS LÄN</t>
        </is>
      </c>
      <c r="G475" t="inlineStr">
        <is>
          <t>STRÖMSUND</t>
        </is>
      </c>
      <c r="H475" t="inlineStr">
        <is>
          <t>SCA</t>
        </is>
      </c>
      <c r="I475" t="n">
        <v>2.4</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28869-2022</t>
        </is>
      </c>
      <c r="B476" t="inlineStr">
        <is>
          <t>avverkningsanmälan</t>
        </is>
      </c>
      <c r="C476" t="inlineStr">
        <is>
          <t>Avverkning för annat ändamål</t>
        </is>
      </c>
      <c r="D476" s="1" t="n">
        <v>44749</v>
      </c>
      <c r="E476" s="1" t="n">
        <v>46318</v>
      </c>
      <c r="F476" t="inlineStr">
        <is>
          <t>JÄMTLANDS LÄN</t>
        </is>
      </c>
      <c r="G476" t="inlineStr">
        <is>
          <t>STRÖMSUND</t>
        </is>
      </c>
      <c r="I476" t="n">
        <v>0.9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14289-2022</t>
        </is>
      </c>
      <c r="B477" t="inlineStr">
        <is>
          <t>avverkningsanmälan</t>
        </is>
      </c>
      <c r="C477" t="inlineStr">
        <is>
          <t>Föryngringsavverkning</t>
        </is>
      </c>
      <c r="D477" s="1" t="n">
        <v>44651</v>
      </c>
      <c r="E477" s="1" t="n">
        <v>46318</v>
      </c>
      <c r="F477" t="inlineStr">
        <is>
          <t>JÄMTLANDS LÄN</t>
        </is>
      </c>
      <c r="G477" t="inlineStr">
        <is>
          <t>STRÖMSUND</t>
        </is>
      </c>
      <c r="H477" t="inlineStr">
        <is>
          <t>SCA</t>
        </is>
      </c>
      <c r="I477" t="n">
        <v>6.1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3875-2022</t>
        </is>
      </c>
      <c r="B478" t="inlineStr">
        <is>
          <t>avverkningsanmälan</t>
        </is>
      </c>
      <c r="C478" t="inlineStr">
        <is>
          <t>Föryngringsavverkning</t>
        </is>
      </c>
      <c r="D478" s="1" t="n">
        <v>44587</v>
      </c>
      <c r="E478" s="1" t="n">
        <v>46318</v>
      </c>
      <c r="F478" t="inlineStr">
        <is>
          <t>JÄMTLANDS LÄN</t>
        </is>
      </c>
      <c r="G478" t="inlineStr">
        <is>
          <t>STRÖMSUND</t>
        </is>
      </c>
      <c r="I478" t="n">
        <v>1.8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24023-2022</t>
        </is>
      </c>
      <c r="B479" t="inlineStr">
        <is>
          <t>avverkningsanmälan</t>
        </is>
      </c>
      <c r="C479" t="inlineStr">
        <is>
          <t>Föryngringsavverkning</t>
        </is>
      </c>
      <c r="D479" s="1" t="n">
        <v>44722</v>
      </c>
      <c r="E479" s="1" t="n">
        <v>46318</v>
      </c>
      <c r="F479" t="inlineStr">
        <is>
          <t>JÄMTLANDS LÄN</t>
        </is>
      </c>
      <c r="G479" t="inlineStr">
        <is>
          <t>STRÖMSUND</t>
        </is>
      </c>
      <c r="H479" t="inlineStr">
        <is>
          <t>SCA</t>
        </is>
      </c>
      <c r="I479" t="n">
        <v>1.8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3719-2022</t>
        </is>
      </c>
      <c r="B480" t="inlineStr">
        <is>
          <t>avverkningsanmälan</t>
        </is>
      </c>
      <c r="C480" t="inlineStr">
        <is>
          <t>Föryngringsavverkning</t>
        </is>
      </c>
      <c r="D480" s="1" t="n">
        <v>44586</v>
      </c>
      <c r="E480" s="1" t="n">
        <v>46318</v>
      </c>
      <c r="F480" t="inlineStr">
        <is>
          <t>JÄMTLANDS LÄN</t>
        </is>
      </c>
      <c r="G480" t="inlineStr">
        <is>
          <t>STRÖMSUND</t>
        </is>
      </c>
      <c r="I480" t="n">
        <v>1.1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36372-2022</t>
        </is>
      </c>
      <c r="B481" t="inlineStr">
        <is>
          <t>avverkningsanmälan</t>
        </is>
      </c>
      <c r="C481" t="inlineStr">
        <is>
          <t>Föryngringsavverkning</t>
        </is>
      </c>
      <c r="D481" s="1" t="n">
        <v>44803</v>
      </c>
      <c r="E481" s="1" t="n">
        <v>46318</v>
      </c>
      <c r="F481" t="inlineStr">
        <is>
          <t>JÄMTLANDS LÄN</t>
        </is>
      </c>
      <c r="G481" t="inlineStr">
        <is>
          <t>STRÖMSUND</t>
        </is>
      </c>
      <c r="H481" t="inlineStr">
        <is>
          <t>SCA</t>
        </is>
      </c>
      <c r="I481" t="n">
        <v>8.4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48894-2022</t>
        </is>
      </c>
      <c r="B482" t="inlineStr">
        <is>
          <t>avverkningsanmälan</t>
        </is>
      </c>
      <c r="C482" t="inlineStr">
        <is>
          <t>Föryngringsavverkning</t>
        </is>
      </c>
      <c r="D482" s="1" t="n">
        <v>44859</v>
      </c>
      <c r="E482" s="1" t="n">
        <v>46318</v>
      </c>
      <c r="F482" t="inlineStr">
        <is>
          <t>JÄMTLANDS LÄN</t>
        </is>
      </c>
      <c r="G482" t="inlineStr">
        <is>
          <t>STRÖMSUND</t>
        </is>
      </c>
      <c r="H482" t="inlineStr">
        <is>
          <t>SCA</t>
        </is>
      </c>
      <c r="I482" t="n">
        <v>0.7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24303-2022</t>
        </is>
      </c>
      <c r="B483" t="inlineStr">
        <is>
          <t>avverkningsanmälan</t>
        </is>
      </c>
      <c r="C483" t="inlineStr">
        <is>
          <t>Föryngringsavverkning</t>
        </is>
      </c>
      <c r="D483" s="1" t="n">
        <v>44725</v>
      </c>
      <c r="E483" s="1" t="n">
        <v>46318</v>
      </c>
      <c r="F483" t="inlineStr">
        <is>
          <t>JÄMTLANDS LÄN</t>
        </is>
      </c>
      <c r="G483" t="inlineStr">
        <is>
          <t>STRÖMSUND</t>
        </is>
      </c>
      <c r="H483" t="inlineStr">
        <is>
          <t>SCA</t>
        </is>
      </c>
      <c r="I483" t="n">
        <v>20.2</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46058-2022</t>
        </is>
      </c>
      <c r="B484" t="inlineStr">
        <is>
          <t>avverkningsanmälan</t>
        </is>
      </c>
      <c r="C484" t="inlineStr">
        <is>
          <t>Avverkning för att bevara och utveckla /försöksver</t>
        </is>
      </c>
      <c r="D484" s="1" t="n">
        <v>44846</v>
      </c>
      <c r="E484" s="1" t="n">
        <v>46318</v>
      </c>
      <c r="F484" t="inlineStr">
        <is>
          <t>JÄMTLANDS LÄN</t>
        </is>
      </c>
      <c r="G484" t="inlineStr">
        <is>
          <t>STRÖMSUND</t>
        </is>
      </c>
      <c r="H484" t="inlineStr">
        <is>
          <t>SCA</t>
        </is>
      </c>
      <c r="I484" t="n">
        <v>4.8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37107-2022</t>
        </is>
      </c>
      <c r="B485" t="inlineStr">
        <is>
          <t>avverkningsanmälan</t>
        </is>
      </c>
      <c r="C485" t="inlineStr">
        <is>
          <t>Föryngringsavverkning</t>
        </is>
      </c>
      <c r="D485" s="1" t="n">
        <v>44806</v>
      </c>
      <c r="E485" s="1" t="n">
        <v>46318</v>
      </c>
      <c r="F485" t="inlineStr">
        <is>
          <t>JÄMTLANDS LÄN</t>
        </is>
      </c>
      <c r="G485" t="inlineStr">
        <is>
          <t>STRÖMSUND</t>
        </is>
      </c>
      <c r="H485" t="inlineStr">
        <is>
          <t>Kommuner</t>
        </is>
      </c>
      <c r="I485" t="n">
        <v>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72827-2021</t>
        </is>
      </c>
      <c r="B486" t="inlineStr">
        <is>
          <t>avverkningsanmälan</t>
        </is>
      </c>
      <c r="C486" t="inlineStr">
        <is>
          <t>Avverkning för annat ändamål</t>
        </is>
      </c>
      <c r="D486" s="1" t="n">
        <v>44547</v>
      </c>
      <c r="E486" s="1" t="n">
        <v>46318</v>
      </c>
      <c r="F486" t="inlineStr">
        <is>
          <t>JÄMTLANDS LÄN</t>
        </is>
      </c>
      <c r="G486" t="inlineStr">
        <is>
          <t>STRÖMSUND</t>
        </is>
      </c>
      <c r="I486" t="n">
        <v>1.2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30031-2022</t>
        </is>
      </c>
      <c r="B487" t="inlineStr">
        <is>
          <t>avverkningsanmälan</t>
        </is>
      </c>
      <c r="C487" t="inlineStr">
        <is>
          <t>Föryngringsavverkning</t>
        </is>
      </c>
      <c r="D487" s="1" t="n">
        <v>44756</v>
      </c>
      <c r="E487" s="1" t="n">
        <v>46318</v>
      </c>
      <c r="F487" t="inlineStr">
        <is>
          <t>JÄMTLANDS LÄN</t>
        </is>
      </c>
      <c r="G487" t="inlineStr">
        <is>
          <t>STRÖMSUND</t>
        </is>
      </c>
      <c r="H487" t="inlineStr">
        <is>
          <t>SCA</t>
        </is>
      </c>
      <c r="I487" t="n">
        <v>2.5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40271-2022</t>
        </is>
      </c>
      <c r="B488" t="inlineStr">
        <is>
          <t>avverkningsanmälan</t>
        </is>
      </c>
      <c r="C488" t="inlineStr">
        <is>
          <t>Avverkning för att bevara och utveckla /försöksver</t>
        </is>
      </c>
      <c r="D488" s="1" t="n">
        <v>44820</v>
      </c>
      <c r="E488" s="1" t="n">
        <v>46318</v>
      </c>
      <c r="F488" t="inlineStr">
        <is>
          <t>JÄMTLANDS LÄN</t>
        </is>
      </c>
      <c r="G488" t="inlineStr">
        <is>
          <t>STRÖMSUND</t>
        </is>
      </c>
      <c r="H488" t="inlineStr">
        <is>
          <t>SCA</t>
        </is>
      </c>
      <c r="I488" t="n">
        <v>2.9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28294-2022</t>
        </is>
      </c>
      <c r="B489" t="inlineStr">
        <is>
          <t>avverkningsanmälan</t>
        </is>
      </c>
      <c r="C489" t="inlineStr">
        <is>
          <t>Föryngringsavverkning</t>
        </is>
      </c>
      <c r="D489" s="1" t="n">
        <v>44746</v>
      </c>
      <c r="E489" s="1" t="n">
        <v>46318</v>
      </c>
      <c r="F489" t="inlineStr">
        <is>
          <t>JÄMTLANDS LÄN</t>
        </is>
      </c>
      <c r="G489" t="inlineStr">
        <is>
          <t>STRÖMSUND</t>
        </is>
      </c>
      <c r="H489" t="inlineStr">
        <is>
          <t>SCA</t>
        </is>
      </c>
      <c r="I489" t="n">
        <v>0.9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48963-2022</t>
        </is>
      </c>
      <c r="B490" t="inlineStr">
        <is>
          <t>avverkningsanmälan</t>
        </is>
      </c>
      <c r="C490" t="inlineStr">
        <is>
          <t>Föryngringsavverkning</t>
        </is>
      </c>
      <c r="D490" s="1" t="n">
        <v>44860</v>
      </c>
      <c r="E490" s="1" t="n">
        <v>46318</v>
      </c>
      <c r="F490" t="inlineStr">
        <is>
          <t>JÄMTLANDS LÄN</t>
        </is>
      </c>
      <c r="G490" t="inlineStr">
        <is>
          <t>STRÖMSUND</t>
        </is>
      </c>
      <c r="H490" t="inlineStr">
        <is>
          <t>Sveaskog</t>
        </is>
      </c>
      <c r="I490" t="n">
        <v>9.1</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9379-2022</t>
        </is>
      </c>
      <c r="B491" t="inlineStr">
        <is>
          <t>avverkningsanmälan</t>
        </is>
      </c>
      <c r="C491" t="inlineStr">
        <is>
          <t>Föryngringsavverkning</t>
        </is>
      </c>
      <c r="D491" s="1" t="n">
        <v>44616</v>
      </c>
      <c r="E491" s="1" t="n">
        <v>46318</v>
      </c>
      <c r="F491" t="inlineStr">
        <is>
          <t>JÄMTLANDS LÄN</t>
        </is>
      </c>
      <c r="G491" t="inlineStr">
        <is>
          <t>STRÖMSUND</t>
        </is>
      </c>
      <c r="I491" t="n">
        <v>3.8</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34011-2022</t>
        </is>
      </c>
      <c r="B492" t="inlineStr">
        <is>
          <t>avverkningsanmälan</t>
        </is>
      </c>
      <c r="C492" t="inlineStr">
        <is>
          <t>Föryngringsavverkning</t>
        </is>
      </c>
      <c r="D492" s="1" t="n">
        <v>44790</v>
      </c>
      <c r="E492" s="1" t="n">
        <v>46318</v>
      </c>
      <c r="F492" t="inlineStr">
        <is>
          <t>JÄMTLANDS LÄN</t>
        </is>
      </c>
      <c r="G492" t="inlineStr">
        <is>
          <t>STRÖMSUND</t>
        </is>
      </c>
      <c r="H492" t="inlineStr">
        <is>
          <t>SCA</t>
        </is>
      </c>
      <c r="I492" t="n">
        <v>1.5</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46327-2022</t>
        </is>
      </c>
      <c r="B493" t="inlineStr">
        <is>
          <t>avverkningsanmälan</t>
        </is>
      </c>
      <c r="C493" t="inlineStr">
        <is>
          <t>Föryngringsavverkning</t>
        </is>
      </c>
      <c r="D493" s="1" t="n">
        <v>44847</v>
      </c>
      <c r="E493" s="1" t="n">
        <v>46318</v>
      </c>
      <c r="F493" t="inlineStr">
        <is>
          <t>JÄMTLANDS LÄN</t>
        </is>
      </c>
      <c r="G493" t="inlineStr">
        <is>
          <t>STRÖMSUND</t>
        </is>
      </c>
      <c r="H493" t="inlineStr">
        <is>
          <t>SCA</t>
        </is>
      </c>
      <c r="I493" t="n">
        <v>1.6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43455-2022</t>
        </is>
      </c>
      <c r="B494" t="inlineStr">
        <is>
          <t>avverkningsanmälan</t>
        </is>
      </c>
      <c r="C494" t="inlineStr">
        <is>
          <t>Avverkning för att bevara och utveckla /försöksver</t>
        </is>
      </c>
      <c r="D494" s="1" t="n">
        <v>44835</v>
      </c>
      <c r="E494" s="1" t="n">
        <v>46318</v>
      </c>
      <c r="F494" t="inlineStr">
        <is>
          <t>JÄMTLANDS LÄN</t>
        </is>
      </c>
      <c r="G494" t="inlineStr">
        <is>
          <t>STRÖMSUND</t>
        </is>
      </c>
      <c r="H494" t="inlineStr">
        <is>
          <t>SCA</t>
        </is>
      </c>
      <c r="I494" t="n">
        <v>7.9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42902-2022</t>
        </is>
      </c>
      <c r="B495" t="inlineStr">
        <is>
          <t>avverkningsanmälan</t>
        </is>
      </c>
      <c r="C495" t="inlineStr">
        <is>
          <t>Föryngringsavverkning</t>
        </is>
      </c>
      <c r="D495" s="1" t="n">
        <v>44832</v>
      </c>
      <c r="E495" s="1" t="n">
        <v>46318</v>
      </c>
      <c r="F495" t="inlineStr">
        <is>
          <t>JÄMTLANDS LÄN</t>
        </is>
      </c>
      <c r="G495" t="inlineStr">
        <is>
          <t>STRÖMSUND</t>
        </is>
      </c>
      <c r="H495" t="inlineStr">
        <is>
          <t>SCA</t>
        </is>
      </c>
      <c r="I495" t="n">
        <v>0.7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3721-2022</t>
        </is>
      </c>
      <c r="B496" t="inlineStr">
        <is>
          <t>avverkningsanmälan</t>
        </is>
      </c>
      <c r="C496" t="inlineStr">
        <is>
          <t>Föryngringsavverkning</t>
        </is>
      </c>
      <c r="D496" s="1" t="n">
        <v>44586</v>
      </c>
      <c r="E496" s="1" t="n">
        <v>46318</v>
      </c>
      <c r="F496" t="inlineStr">
        <is>
          <t>JÄMTLANDS LÄN</t>
        </is>
      </c>
      <c r="G496" t="inlineStr">
        <is>
          <t>STRÖMSUND</t>
        </is>
      </c>
      <c r="I496" t="n">
        <v>0.6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30219-2022</t>
        </is>
      </c>
      <c r="B497" t="inlineStr">
        <is>
          <t>avverkningsanmälan</t>
        </is>
      </c>
      <c r="C497" t="inlineStr">
        <is>
          <t>Föryngringsavverkning</t>
        </is>
      </c>
      <c r="D497" s="1" t="n">
        <v>44757</v>
      </c>
      <c r="E497" s="1" t="n">
        <v>46318</v>
      </c>
      <c r="F497" t="inlineStr">
        <is>
          <t>JÄMTLANDS LÄN</t>
        </is>
      </c>
      <c r="G497" t="inlineStr">
        <is>
          <t>STRÖMSUND</t>
        </is>
      </c>
      <c r="H497" t="inlineStr">
        <is>
          <t>SCA</t>
        </is>
      </c>
      <c r="I497" t="n">
        <v>2.9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30227-2022</t>
        </is>
      </c>
      <c r="B498" t="inlineStr">
        <is>
          <t>avverkningsanmälan</t>
        </is>
      </c>
      <c r="C498" t="inlineStr">
        <is>
          <t>Föryngringsavverkning</t>
        </is>
      </c>
      <c r="D498" s="1" t="n">
        <v>44757</v>
      </c>
      <c r="E498" s="1" t="n">
        <v>46318</v>
      </c>
      <c r="F498" t="inlineStr">
        <is>
          <t>JÄMTLANDS LÄN</t>
        </is>
      </c>
      <c r="G498" t="inlineStr">
        <is>
          <t>STRÖMSUND</t>
        </is>
      </c>
      <c r="H498" t="inlineStr">
        <is>
          <t>SCA</t>
        </is>
      </c>
      <c r="I498" t="n">
        <v>1.9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30232-2022</t>
        </is>
      </c>
      <c r="B499" t="inlineStr">
        <is>
          <t>avverkningsanmälan</t>
        </is>
      </c>
      <c r="C499" t="inlineStr">
        <is>
          <t>Föryngringsavverkning</t>
        </is>
      </c>
      <c r="D499" s="1" t="n">
        <v>44757</v>
      </c>
      <c r="E499" s="1" t="n">
        <v>46318</v>
      </c>
      <c r="F499" t="inlineStr">
        <is>
          <t>JÄMTLANDS LÄN</t>
        </is>
      </c>
      <c r="G499" t="inlineStr">
        <is>
          <t>STRÖMSUND</t>
        </is>
      </c>
      <c r="H499" t="inlineStr">
        <is>
          <t>SCA</t>
        </is>
      </c>
      <c r="I499" t="n">
        <v>3.3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27942-2022</t>
        </is>
      </c>
      <c r="B500" t="inlineStr">
        <is>
          <t>avverkningsanmälan</t>
        </is>
      </c>
      <c r="C500" t="inlineStr">
        <is>
          <t>Föryngringsavverkning</t>
        </is>
      </c>
      <c r="D500" s="1" t="n">
        <v>44743</v>
      </c>
      <c r="E500" s="1" t="n">
        <v>46318</v>
      </c>
      <c r="F500" t="inlineStr">
        <is>
          <t>JÄMTLANDS LÄN</t>
        </is>
      </c>
      <c r="G500" t="inlineStr">
        <is>
          <t>STRÖMSUND</t>
        </is>
      </c>
      <c r="H500" t="inlineStr">
        <is>
          <t>SCA</t>
        </is>
      </c>
      <c r="I500" t="n">
        <v>1.9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61434-2021</t>
        </is>
      </c>
      <c r="B501" t="inlineStr">
        <is>
          <t>avverkningsanmälan</t>
        </is>
      </c>
      <c r="C501" t="inlineStr">
        <is>
          <t>Föryngringsavverkning</t>
        </is>
      </c>
      <c r="D501" s="1" t="n">
        <v>44500</v>
      </c>
      <c r="E501" s="1" t="n">
        <v>46318</v>
      </c>
      <c r="F501" t="inlineStr">
        <is>
          <t>JÄMTLANDS LÄN</t>
        </is>
      </c>
      <c r="G501" t="inlineStr">
        <is>
          <t>STRÖMSUND</t>
        </is>
      </c>
      <c r="H501" t="inlineStr">
        <is>
          <t>SCA</t>
        </is>
      </c>
      <c r="I501" t="n">
        <v>1.2</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62203-2021</t>
        </is>
      </c>
      <c r="B502" t="inlineStr">
        <is>
          <t>avverkningsanmälan</t>
        </is>
      </c>
      <c r="C502" t="inlineStr">
        <is>
          <t>Föryngringsavverkning</t>
        </is>
      </c>
      <c r="D502" s="1" t="n">
        <v>44502</v>
      </c>
      <c r="E502" s="1" t="n">
        <v>46318</v>
      </c>
      <c r="F502" t="inlineStr">
        <is>
          <t>JÄMTLANDS LÄN</t>
        </is>
      </c>
      <c r="G502" t="inlineStr">
        <is>
          <t>STRÖMSUND</t>
        </is>
      </c>
      <c r="H502" t="inlineStr">
        <is>
          <t>SCA</t>
        </is>
      </c>
      <c r="I502" t="n">
        <v>2.3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43140-2022</t>
        </is>
      </c>
      <c r="B503" t="inlineStr">
        <is>
          <t>avverkningsanmälan</t>
        </is>
      </c>
      <c r="C503" t="inlineStr">
        <is>
          <t>Föryngringsavverkning</t>
        </is>
      </c>
      <c r="D503" s="1" t="n">
        <v>44833</v>
      </c>
      <c r="E503" s="1" t="n">
        <v>46318</v>
      </c>
      <c r="F503" t="inlineStr">
        <is>
          <t>JÄMTLANDS LÄN</t>
        </is>
      </c>
      <c r="G503" t="inlineStr">
        <is>
          <t>STRÖMSUND</t>
        </is>
      </c>
      <c r="H503" t="inlineStr">
        <is>
          <t>SCA</t>
        </is>
      </c>
      <c r="I503" t="n">
        <v>2.9</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38415-2022</t>
        </is>
      </c>
      <c r="B504" t="inlineStr">
        <is>
          <t>avverkningsanmälan</t>
        </is>
      </c>
      <c r="C504" t="inlineStr">
        <is>
          <t>Avverkning för annat ändamål</t>
        </is>
      </c>
      <c r="D504" s="1" t="n">
        <v>44812</v>
      </c>
      <c r="E504" s="1" t="n">
        <v>46318</v>
      </c>
      <c r="F504" t="inlineStr">
        <is>
          <t>JÄMTLANDS LÄN</t>
        </is>
      </c>
      <c r="G504" t="inlineStr">
        <is>
          <t>STRÖMSUND</t>
        </is>
      </c>
      <c r="H504" t="inlineStr">
        <is>
          <t>SCA</t>
        </is>
      </c>
      <c r="I504" t="n">
        <v>0.6</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37102-2022</t>
        </is>
      </c>
      <c r="B505" t="inlineStr">
        <is>
          <t>avverkningsanmälan</t>
        </is>
      </c>
      <c r="C505" t="inlineStr">
        <is>
          <t>Föryngringsavverkning</t>
        </is>
      </c>
      <c r="D505" s="1" t="n">
        <v>44806</v>
      </c>
      <c r="E505" s="1" t="n">
        <v>46318</v>
      </c>
      <c r="F505" t="inlineStr">
        <is>
          <t>JÄMTLANDS LÄN</t>
        </is>
      </c>
      <c r="G505" t="inlineStr">
        <is>
          <t>STRÖMSUND</t>
        </is>
      </c>
      <c r="H505" t="inlineStr">
        <is>
          <t>Kommuner</t>
        </is>
      </c>
      <c r="I505" t="n">
        <v>0.3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43160-2022</t>
        </is>
      </c>
      <c r="B506" t="inlineStr">
        <is>
          <t>avverkningsanmälan</t>
        </is>
      </c>
      <c r="C506" t="inlineStr">
        <is>
          <t>Avverkning för att bevara och utveckla /försöksver</t>
        </is>
      </c>
      <c r="D506" s="1" t="n">
        <v>44833</v>
      </c>
      <c r="E506" s="1" t="n">
        <v>46318</v>
      </c>
      <c r="F506" t="inlineStr">
        <is>
          <t>JÄMTLANDS LÄN</t>
        </is>
      </c>
      <c r="G506" t="inlineStr">
        <is>
          <t>STRÖMSUND</t>
        </is>
      </c>
      <c r="H506" t="inlineStr">
        <is>
          <t>SCA</t>
        </is>
      </c>
      <c r="I506" t="n">
        <v>5.1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43165-2022</t>
        </is>
      </c>
      <c r="B507" t="inlineStr">
        <is>
          <t>avverkningsanmälan</t>
        </is>
      </c>
      <c r="C507" t="inlineStr">
        <is>
          <t>Föryngringsavverkning</t>
        </is>
      </c>
      <c r="D507" s="1" t="n">
        <v>44833</v>
      </c>
      <c r="E507" s="1" t="n">
        <v>46318</v>
      </c>
      <c r="F507" t="inlineStr">
        <is>
          <t>JÄMTLANDS LÄN</t>
        </is>
      </c>
      <c r="G507" t="inlineStr">
        <is>
          <t>STRÖMSUND</t>
        </is>
      </c>
      <c r="H507" t="inlineStr">
        <is>
          <t>SCA</t>
        </is>
      </c>
      <c r="I507" t="n">
        <v>1.8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31446-2022</t>
        </is>
      </c>
      <c r="B508" t="inlineStr">
        <is>
          <t>avverkningsanmälan</t>
        </is>
      </c>
      <c r="C508" t="inlineStr">
        <is>
          <t>Föryngringsavverkning</t>
        </is>
      </c>
      <c r="D508" s="1" t="n">
        <v>44774</v>
      </c>
      <c r="E508" s="1" t="n">
        <v>46318</v>
      </c>
      <c r="F508" t="inlineStr">
        <is>
          <t>JÄMTLANDS LÄN</t>
        </is>
      </c>
      <c r="G508" t="inlineStr">
        <is>
          <t>STRÖMSUND</t>
        </is>
      </c>
      <c r="H508" t="inlineStr">
        <is>
          <t>SCA</t>
        </is>
      </c>
      <c r="I508" t="n">
        <v>1.8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46056-2022</t>
        </is>
      </c>
      <c r="B509" t="inlineStr">
        <is>
          <t>avverkningsanmälan</t>
        </is>
      </c>
      <c r="C509" t="inlineStr">
        <is>
          <t>Föryngringsavverkning</t>
        </is>
      </c>
      <c r="D509" s="1" t="n">
        <v>44846</v>
      </c>
      <c r="E509" s="1" t="n">
        <v>46318</v>
      </c>
      <c r="F509" t="inlineStr">
        <is>
          <t>JÄMTLANDS LÄN</t>
        </is>
      </c>
      <c r="G509" t="inlineStr">
        <is>
          <t>STRÖMSUND</t>
        </is>
      </c>
      <c r="H509" t="inlineStr">
        <is>
          <t>SCA</t>
        </is>
      </c>
      <c r="I509" t="n">
        <v>0.7</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71352-2021</t>
        </is>
      </c>
      <c r="B510" t="inlineStr">
        <is>
          <t>avverkningsanmälan</t>
        </is>
      </c>
      <c r="C510" t="inlineStr">
        <is>
          <t>Avverkning för annat ändamål</t>
        </is>
      </c>
      <c r="D510" s="1" t="n">
        <v>44539</v>
      </c>
      <c r="E510" s="1" t="n">
        <v>46318</v>
      </c>
      <c r="F510" t="inlineStr">
        <is>
          <t>JÄMTLANDS LÄN</t>
        </is>
      </c>
      <c r="G510" t="inlineStr">
        <is>
          <t>STRÖMSUND</t>
        </is>
      </c>
      <c r="I510" t="n">
        <v>0.2</v>
      </c>
      <c r="J510" t="n">
        <v>0</v>
      </c>
      <c r="K510" t="n">
        <v>0</v>
      </c>
      <c r="L510" t="n">
        <v>0</v>
      </c>
      <c r="M510" t="n">
        <v>0</v>
      </c>
      <c r="N510" t="n">
        <v>0</v>
      </c>
      <c r="O510" t="n">
        <v>0</v>
      </c>
      <c r="P510" t="n">
        <v>0</v>
      </c>
      <c r="Q510" t="n">
        <v>0</v>
      </c>
      <c r="R510" t="n">
        <v>0</v>
      </c>
      <c r="S510" t="n">
        <v>0</v>
      </c>
      <c r="T510" t="n">
        <v>0</v>
      </c>
      <c r="U510" t="n">
        <v>0</v>
      </c>
      <c r="V510" s="2" t="inlineStr"/>
      <c r="Z510">
        <f>HYPERLINK("https://klasma.github.io/Logging_2313/knärot/A 71352-2021 karta knärot.png", "A 71352-2021")</f>
        <v/>
      </c>
      <c r="AA510">
        <f>HYPERLINK("https://klasma.github.io/Logging_2313/klagomål/A 71352-2021 FSC-klagomål.docx", "A 71352-2021")</f>
        <v/>
      </c>
      <c r="AB510">
        <f>HYPERLINK("https://klasma.github.io/Logging_2313/klagomålsmail/A 71352-2021 FSC-klagomål mail.docx", "A 71352-2021")</f>
        <v/>
      </c>
      <c r="AC510">
        <f>HYPERLINK("https://klasma.github.io/Logging_2313/tillsyn/A 71352-2021 tillsynsbegäran.docx", "A 71352-2021")</f>
        <v/>
      </c>
      <c r="AD510">
        <f>HYPERLINK("https://klasma.github.io/Logging_2313/tillsynsmail/A 71352-2021 tillsynsbegäran mail.docx", "A 71352-2021")</f>
        <v/>
      </c>
    </row>
    <row r="511" ht="15" customHeight="1">
      <c r="A511" t="inlineStr">
        <is>
          <t>A 71353-2021</t>
        </is>
      </c>
      <c r="B511" t="inlineStr">
        <is>
          <t>avverkningsanmälan</t>
        </is>
      </c>
      <c r="C511" t="inlineStr">
        <is>
          <t>Avverkning för annat ändamål</t>
        </is>
      </c>
      <c r="D511" s="1" t="n">
        <v>44539</v>
      </c>
      <c r="E511" s="1" t="n">
        <v>46318</v>
      </c>
      <c r="F511" t="inlineStr">
        <is>
          <t>JÄMTLANDS LÄN</t>
        </is>
      </c>
      <c r="G511" t="inlineStr">
        <is>
          <t>STRÖMSUND</t>
        </is>
      </c>
      <c r="I511" t="n">
        <v>0.2</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72753-2021</t>
        </is>
      </c>
      <c r="B512" t="inlineStr">
        <is>
          <t>avverkningsanmälan</t>
        </is>
      </c>
      <c r="C512" t="inlineStr">
        <is>
          <t>Föryngringsavverkning</t>
        </is>
      </c>
      <c r="D512" s="1" t="n">
        <v>44546</v>
      </c>
      <c r="E512" s="1" t="n">
        <v>46318</v>
      </c>
      <c r="F512" t="inlineStr">
        <is>
          <t>JÄMTLANDS LÄN</t>
        </is>
      </c>
      <c r="G512" t="inlineStr">
        <is>
          <t>STRÖMSUND</t>
        </is>
      </c>
      <c r="I512" t="n">
        <v>0.4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13098-2022</t>
        </is>
      </c>
      <c r="B513" t="inlineStr">
        <is>
          <t>avverkningsanmälan</t>
        </is>
      </c>
      <c r="C513" t="inlineStr">
        <is>
          <t>Föryngringsavverkning</t>
        </is>
      </c>
      <c r="D513" s="1" t="n">
        <v>44643</v>
      </c>
      <c r="E513" s="1" t="n">
        <v>46318</v>
      </c>
      <c r="F513" t="inlineStr">
        <is>
          <t>JÄMTLANDS LÄN</t>
        </is>
      </c>
      <c r="G513" t="inlineStr">
        <is>
          <t>STRÖMSUND</t>
        </is>
      </c>
      <c r="H513" t="inlineStr">
        <is>
          <t>SCA</t>
        </is>
      </c>
      <c r="I513" t="n">
        <v>1.2</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12404-2022</t>
        </is>
      </c>
      <c r="B514" t="inlineStr">
        <is>
          <t>avverkningsanmälan</t>
        </is>
      </c>
      <c r="C514" t="inlineStr">
        <is>
          <t>Föryngringsavverkning</t>
        </is>
      </c>
      <c r="D514" s="1" t="n">
        <v>44637</v>
      </c>
      <c r="E514" s="1" t="n">
        <v>46318</v>
      </c>
      <c r="F514" t="inlineStr">
        <is>
          <t>JÄMTLANDS LÄN</t>
        </is>
      </c>
      <c r="G514" t="inlineStr">
        <is>
          <t>STRÖMSUND</t>
        </is>
      </c>
      <c r="H514" t="inlineStr">
        <is>
          <t>SCA</t>
        </is>
      </c>
      <c r="I514" t="n">
        <v>2.4</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65442-2021</t>
        </is>
      </c>
      <c r="B515" t="inlineStr">
        <is>
          <t>avverkningsanmälan</t>
        </is>
      </c>
      <c r="C515" t="inlineStr">
        <is>
          <t>Föryngringsavverkning</t>
        </is>
      </c>
      <c r="D515" s="1" t="n">
        <v>44515</v>
      </c>
      <c r="E515" s="1" t="n">
        <v>46318</v>
      </c>
      <c r="F515" t="inlineStr">
        <is>
          <t>JÄMTLANDS LÄN</t>
        </is>
      </c>
      <c r="G515" t="inlineStr">
        <is>
          <t>STRÖMSUND</t>
        </is>
      </c>
      <c r="H515" t="inlineStr">
        <is>
          <t>SCA</t>
        </is>
      </c>
      <c r="I515" t="n">
        <v>3.4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66166-2021</t>
        </is>
      </c>
      <c r="B516" t="inlineStr">
        <is>
          <t>avverkningsanmälan</t>
        </is>
      </c>
      <c r="C516" t="inlineStr">
        <is>
          <t>Föryngringsavverkning</t>
        </is>
      </c>
      <c r="D516" s="1" t="n">
        <v>44517</v>
      </c>
      <c r="E516" s="1" t="n">
        <v>46318</v>
      </c>
      <c r="F516" t="inlineStr">
        <is>
          <t>JÄMTLANDS LÄN</t>
        </is>
      </c>
      <c r="G516" t="inlineStr">
        <is>
          <t>STRÖMSUND</t>
        </is>
      </c>
      <c r="H516" t="inlineStr">
        <is>
          <t>SCA</t>
        </is>
      </c>
      <c r="I516" t="n">
        <v>2.1</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61420-2021</t>
        </is>
      </c>
      <c r="B517" t="inlineStr">
        <is>
          <t>avverkningsanmälan</t>
        </is>
      </c>
      <c r="C517" t="inlineStr">
        <is>
          <t>Avverkning för att bevara och utveckla /försöksver</t>
        </is>
      </c>
      <c r="D517" s="1" t="n">
        <v>44500</v>
      </c>
      <c r="E517" s="1" t="n">
        <v>46318</v>
      </c>
      <c r="F517" t="inlineStr">
        <is>
          <t>JÄMTLANDS LÄN</t>
        </is>
      </c>
      <c r="G517" t="inlineStr">
        <is>
          <t>STRÖMSUND</t>
        </is>
      </c>
      <c r="H517" t="inlineStr">
        <is>
          <t>SCA</t>
        </is>
      </c>
      <c r="I517" t="n">
        <v>10.2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61433-2021</t>
        </is>
      </c>
      <c r="B518" t="inlineStr">
        <is>
          <t>avverkningsanmälan</t>
        </is>
      </c>
      <c r="C518" t="inlineStr">
        <is>
          <t>Föryngringsavverkning</t>
        </is>
      </c>
      <c r="D518" s="1" t="n">
        <v>44500</v>
      </c>
      <c r="E518" s="1" t="n">
        <v>46318</v>
      </c>
      <c r="F518" t="inlineStr">
        <is>
          <t>JÄMTLANDS LÄN</t>
        </is>
      </c>
      <c r="G518" t="inlineStr">
        <is>
          <t>STRÖMSUND</t>
        </is>
      </c>
      <c r="H518" t="inlineStr">
        <is>
          <t>SCA</t>
        </is>
      </c>
      <c r="I518" t="n">
        <v>1.2</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64655-2021</t>
        </is>
      </c>
      <c r="B519" t="inlineStr">
        <is>
          <t>avverkningsanmälan</t>
        </is>
      </c>
      <c r="C519" t="inlineStr">
        <is>
          <t>Avverkning för att bevara och utveckla /försöksver</t>
        </is>
      </c>
      <c r="D519" s="1" t="n">
        <v>44511</v>
      </c>
      <c r="E519" s="1" t="n">
        <v>46318</v>
      </c>
      <c r="F519" t="inlineStr">
        <is>
          <t>JÄMTLANDS LÄN</t>
        </is>
      </c>
      <c r="G519" t="inlineStr">
        <is>
          <t>STRÖMSUND</t>
        </is>
      </c>
      <c r="H519" t="inlineStr">
        <is>
          <t>SCA</t>
        </is>
      </c>
      <c r="I519" t="n">
        <v>10.2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64660-2021</t>
        </is>
      </c>
      <c r="B520" t="inlineStr">
        <is>
          <t>avverkningsanmälan</t>
        </is>
      </c>
      <c r="C520" t="inlineStr">
        <is>
          <t>Avverkning för att bevara och utveckla /försöksver</t>
        </is>
      </c>
      <c r="D520" s="1" t="n">
        <v>44511</v>
      </c>
      <c r="E520" s="1" t="n">
        <v>46318</v>
      </c>
      <c r="F520" t="inlineStr">
        <is>
          <t>JÄMTLANDS LÄN</t>
        </is>
      </c>
      <c r="G520" t="inlineStr">
        <is>
          <t>STRÖMSUND</t>
        </is>
      </c>
      <c r="H520" t="inlineStr">
        <is>
          <t>SCA</t>
        </is>
      </c>
      <c r="I520" t="n">
        <v>2.8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3538-2022</t>
        </is>
      </c>
      <c r="B521" t="inlineStr">
        <is>
          <t>avverkningsanmälan</t>
        </is>
      </c>
      <c r="C521" t="inlineStr">
        <is>
          <t>Föryngringsavverkning</t>
        </is>
      </c>
      <c r="D521" s="1" t="n">
        <v>44585</v>
      </c>
      <c r="E521" s="1" t="n">
        <v>46318</v>
      </c>
      <c r="F521" t="inlineStr">
        <is>
          <t>JÄMTLANDS LÄN</t>
        </is>
      </c>
      <c r="G521" t="inlineStr">
        <is>
          <t>STRÖMSUND</t>
        </is>
      </c>
      <c r="H521" t="inlineStr">
        <is>
          <t>SCA</t>
        </is>
      </c>
      <c r="I521" t="n">
        <v>6.6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71377-2021</t>
        </is>
      </c>
      <c r="B522" t="inlineStr">
        <is>
          <t>avverkningsanmälan</t>
        </is>
      </c>
      <c r="C522" t="inlineStr">
        <is>
          <t>Föryngringsavverkning</t>
        </is>
      </c>
      <c r="D522" s="1" t="n">
        <v>44539</v>
      </c>
      <c r="E522" s="1" t="n">
        <v>46318</v>
      </c>
      <c r="F522" t="inlineStr">
        <is>
          <t>JÄMTLANDS LÄN</t>
        </is>
      </c>
      <c r="G522" t="inlineStr">
        <is>
          <t>STRÖMSUND</t>
        </is>
      </c>
      <c r="H522" t="inlineStr">
        <is>
          <t>SCA</t>
        </is>
      </c>
      <c r="I522" t="n">
        <v>0.6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30037-2022</t>
        </is>
      </c>
      <c r="B523" t="inlineStr">
        <is>
          <t>avverkningsanmälan</t>
        </is>
      </c>
      <c r="C523" t="inlineStr">
        <is>
          <t>Föryngringsavverkning</t>
        </is>
      </c>
      <c r="D523" s="1" t="n">
        <v>44756</v>
      </c>
      <c r="E523" s="1" t="n">
        <v>46318</v>
      </c>
      <c r="F523" t="inlineStr">
        <is>
          <t>JÄMTLANDS LÄN</t>
        </is>
      </c>
      <c r="G523" t="inlineStr">
        <is>
          <t>STRÖMSUND</t>
        </is>
      </c>
      <c r="H523" t="inlineStr">
        <is>
          <t>SCA</t>
        </is>
      </c>
      <c r="I523" t="n">
        <v>4.5</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68646-2021</t>
        </is>
      </c>
      <c r="B524" t="inlineStr">
        <is>
          <t>avverkningsanmälan</t>
        </is>
      </c>
      <c r="C524" t="inlineStr">
        <is>
          <t>Föryngringsavverkning</t>
        </is>
      </c>
      <c r="D524" s="1" t="n">
        <v>44529</v>
      </c>
      <c r="E524" s="1" t="n">
        <v>46318</v>
      </c>
      <c r="F524" t="inlineStr">
        <is>
          <t>JÄMTLANDS LÄN</t>
        </is>
      </c>
      <c r="G524" t="inlineStr">
        <is>
          <t>STRÖMSUND</t>
        </is>
      </c>
      <c r="I524" t="n">
        <v>2.4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35241-2022</t>
        </is>
      </c>
      <c r="B525" t="inlineStr">
        <is>
          <t>avverkningsanmälan</t>
        </is>
      </c>
      <c r="C525" t="inlineStr">
        <is>
          <t>Föryngringsavverkning</t>
        </is>
      </c>
      <c r="D525" s="1" t="n">
        <v>44797</v>
      </c>
      <c r="E525" s="1" t="n">
        <v>46318</v>
      </c>
      <c r="F525" t="inlineStr">
        <is>
          <t>JÄMTLANDS LÄN</t>
        </is>
      </c>
      <c r="G525" t="inlineStr">
        <is>
          <t>STRÖMSUND</t>
        </is>
      </c>
      <c r="H525" t="inlineStr">
        <is>
          <t>SCA</t>
        </is>
      </c>
      <c r="I525" t="n">
        <v>1.5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29540-2022</t>
        </is>
      </c>
      <c r="B526" t="inlineStr">
        <is>
          <t>avverkningsanmälan</t>
        </is>
      </c>
      <c r="C526" t="inlineStr">
        <is>
          <t>Föryngringsavverkning</t>
        </is>
      </c>
      <c r="D526" s="1" t="n">
        <v>44753</v>
      </c>
      <c r="E526" s="1" t="n">
        <v>46318</v>
      </c>
      <c r="F526" t="inlineStr">
        <is>
          <t>JÄMTLANDS LÄN</t>
        </is>
      </c>
      <c r="G526" t="inlineStr">
        <is>
          <t>STRÖMSUND</t>
        </is>
      </c>
      <c r="H526" t="inlineStr">
        <is>
          <t>SCA</t>
        </is>
      </c>
      <c r="I526" t="n">
        <v>4.7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39000-2022</t>
        </is>
      </c>
      <c r="B527" t="inlineStr">
        <is>
          <t>avverkningsanmälan</t>
        </is>
      </c>
      <c r="C527" t="inlineStr">
        <is>
          <t>Föryngringsavverkning</t>
        </is>
      </c>
      <c r="D527" s="1" t="n">
        <v>44816</v>
      </c>
      <c r="E527" s="1" t="n">
        <v>46318</v>
      </c>
      <c r="F527" t="inlineStr">
        <is>
          <t>JÄMTLANDS LÄN</t>
        </is>
      </c>
      <c r="G527" t="inlineStr">
        <is>
          <t>STRÖMSUND</t>
        </is>
      </c>
      <c r="H527" t="inlineStr">
        <is>
          <t>SCA</t>
        </is>
      </c>
      <c r="I527" t="n">
        <v>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4931-2022</t>
        </is>
      </c>
      <c r="B528" t="inlineStr">
        <is>
          <t>avverkningsanmälan</t>
        </is>
      </c>
      <c r="C528" t="inlineStr">
        <is>
          <t>Föryngringsavverkning</t>
        </is>
      </c>
      <c r="D528" s="1" t="n">
        <v>44593</v>
      </c>
      <c r="E528" s="1" t="n">
        <v>46318</v>
      </c>
      <c r="F528" t="inlineStr">
        <is>
          <t>JÄMTLANDS LÄN</t>
        </is>
      </c>
      <c r="G528" t="inlineStr">
        <is>
          <t>STRÖMSUND</t>
        </is>
      </c>
      <c r="I528" t="n">
        <v>41.9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35321-2022</t>
        </is>
      </c>
      <c r="B529" t="inlineStr">
        <is>
          <t>avverkningsanmälan</t>
        </is>
      </c>
      <c r="C529" t="inlineStr">
        <is>
          <t>Föryngringsavverkning</t>
        </is>
      </c>
      <c r="D529" s="1" t="n">
        <v>44798</v>
      </c>
      <c r="E529" s="1" t="n">
        <v>46318</v>
      </c>
      <c r="F529" t="inlineStr">
        <is>
          <t>JÄMTLANDS LÄN</t>
        </is>
      </c>
      <c r="G529" t="inlineStr">
        <is>
          <t>STRÖMSUND</t>
        </is>
      </c>
      <c r="H529" t="inlineStr">
        <is>
          <t>Kommuner</t>
        </is>
      </c>
      <c r="I529" t="n">
        <v>1.2</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71911-2021</t>
        </is>
      </c>
      <c r="B530" t="inlineStr">
        <is>
          <t>avverkningsanmälan</t>
        </is>
      </c>
      <c r="C530" t="inlineStr">
        <is>
          <t>Föryngringsavverkning</t>
        </is>
      </c>
      <c r="D530" s="1" t="n">
        <v>44543</v>
      </c>
      <c r="E530" s="1" t="n">
        <v>46318</v>
      </c>
      <c r="F530" t="inlineStr">
        <is>
          <t>JÄMTLANDS LÄN</t>
        </is>
      </c>
      <c r="G530" t="inlineStr">
        <is>
          <t>STRÖMSUND</t>
        </is>
      </c>
      <c r="I530" t="n">
        <v>1.1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71912-2021</t>
        </is>
      </c>
      <c r="B531" t="inlineStr">
        <is>
          <t>avverkningsanmälan</t>
        </is>
      </c>
      <c r="C531" t="inlineStr">
        <is>
          <t>Föryngringsavverkning</t>
        </is>
      </c>
      <c r="D531" s="1" t="n">
        <v>44543</v>
      </c>
      <c r="E531" s="1" t="n">
        <v>46318</v>
      </c>
      <c r="F531" t="inlineStr">
        <is>
          <t>JÄMTLANDS LÄN</t>
        </is>
      </c>
      <c r="G531" t="inlineStr">
        <is>
          <t>STRÖMSUND</t>
        </is>
      </c>
      <c r="I531" t="n">
        <v>3.2</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14288-2022</t>
        </is>
      </c>
      <c r="B532" t="inlineStr">
        <is>
          <t>avverkningsanmälan</t>
        </is>
      </c>
      <c r="C532" t="inlineStr">
        <is>
          <t>Föryngringsavverkning</t>
        </is>
      </c>
      <c r="D532" s="1" t="n">
        <v>44651</v>
      </c>
      <c r="E532" s="1" t="n">
        <v>46318</v>
      </c>
      <c r="F532" t="inlineStr">
        <is>
          <t>JÄMTLANDS LÄN</t>
        </is>
      </c>
      <c r="G532" t="inlineStr">
        <is>
          <t>STRÖMSUND</t>
        </is>
      </c>
      <c r="H532" t="inlineStr">
        <is>
          <t>SCA</t>
        </is>
      </c>
      <c r="I532" t="n">
        <v>3.7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23209-2022</t>
        </is>
      </c>
      <c r="B533" t="inlineStr">
        <is>
          <t>avverkningsanmälan</t>
        </is>
      </c>
      <c r="C533" t="inlineStr">
        <is>
          <t>Avverkning för att bevara och utveckla /försöksver</t>
        </is>
      </c>
      <c r="D533" s="1" t="n">
        <v>44719</v>
      </c>
      <c r="E533" s="1" t="n">
        <v>46318</v>
      </c>
      <c r="F533" t="inlineStr">
        <is>
          <t>JÄMTLANDS LÄN</t>
        </is>
      </c>
      <c r="G533" t="inlineStr">
        <is>
          <t>STRÖMSUND</t>
        </is>
      </c>
      <c r="H533" t="inlineStr">
        <is>
          <t>SCA</t>
        </is>
      </c>
      <c r="I533" t="n">
        <v>5.2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64200-2021</t>
        </is>
      </c>
      <c r="B534" t="inlineStr">
        <is>
          <t>avverkningsanmälan</t>
        </is>
      </c>
      <c r="C534" t="inlineStr">
        <is>
          <t>Avverkning för annat ändamål</t>
        </is>
      </c>
      <c r="D534" s="1" t="n">
        <v>44510</v>
      </c>
      <c r="E534" s="1" t="n">
        <v>46318</v>
      </c>
      <c r="F534" t="inlineStr">
        <is>
          <t>JÄMTLANDS LÄN</t>
        </is>
      </c>
      <c r="G534" t="inlineStr">
        <is>
          <t>STRÖMSUND</t>
        </is>
      </c>
      <c r="I534" t="n">
        <v>2.1</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31445-2022</t>
        </is>
      </c>
      <c r="B535" t="inlineStr">
        <is>
          <t>avverkningsanmälan</t>
        </is>
      </c>
      <c r="C535" t="inlineStr">
        <is>
          <t>Föryngringsavverkning</t>
        </is>
      </c>
      <c r="D535" s="1" t="n">
        <v>44774</v>
      </c>
      <c r="E535" s="1" t="n">
        <v>46318</v>
      </c>
      <c r="F535" t="inlineStr">
        <is>
          <t>JÄMTLANDS LÄN</t>
        </is>
      </c>
      <c r="G535" t="inlineStr">
        <is>
          <t>STRÖMSUND</t>
        </is>
      </c>
      <c r="H535" t="inlineStr">
        <is>
          <t>SCA</t>
        </is>
      </c>
      <c r="I535" t="n">
        <v>0.2</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31449-2022</t>
        </is>
      </c>
      <c r="B536" t="inlineStr">
        <is>
          <t>avverkningsanmälan</t>
        </is>
      </c>
      <c r="C536" t="inlineStr">
        <is>
          <t>Föryngringsavverkning</t>
        </is>
      </c>
      <c r="D536" s="1" t="n">
        <v>44774</v>
      </c>
      <c r="E536" s="1" t="n">
        <v>46318</v>
      </c>
      <c r="F536" t="inlineStr">
        <is>
          <t>JÄMTLANDS LÄN</t>
        </is>
      </c>
      <c r="G536" t="inlineStr">
        <is>
          <t>STRÖMSUND</t>
        </is>
      </c>
      <c r="H536" t="inlineStr">
        <is>
          <t>SCA</t>
        </is>
      </c>
      <c r="I536" t="n">
        <v>1.6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61449-2021</t>
        </is>
      </c>
      <c r="B537" t="inlineStr">
        <is>
          <t>avverkningsanmälan</t>
        </is>
      </c>
      <c r="C537" t="inlineStr">
        <is>
          <t>Föryngringsavverkning</t>
        </is>
      </c>
      <c r="D537" s="1" t="n">
        <v>44500</v>
      </c>
      <c r="E537" s="1" t="n">
        <v>46318</v>
      </c>
      <c r="F537" t="inlineStr">
        <is>
          <t>JÄMTLANDS LÄN</t>
        </is>
      </c>
      <c r="G537" t="inlineStr">
        <is>
          <t>STRÖMSUND</t>
        </is>
      </c>
      <c r="H537" t="inlineStr">
        <is>
          <t>SCA</t>
        </is>
      </c>
      <c r="I537" t="n">
        <v>1.3</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51563-2022</t>
        </is>
      </c>
      <c r="B538" t="inlineStr">
        <is>
          <t>avverkningsanmälan</t>
        </is>
      </c>
      <c r="C538" t="inlineStr">
        <is>
          <t>Föryngringsavverkning</t>
        </is>
      </c>
      <c r="D538" s="1" t="n">
        <v>44869</v>
      </c>
      <c r="E538" s="1" t="n">
        <v>46318</v>
      </c>
      <c r="F538" t="inlineStr">
        <is>
          <t>JÄMTLANDS LÄN</t>
        </is>
      </c>
      <c r="G538" t="inlineStr">
        <is>
          <t>STRÖMSUND</t>
        </is>
      </c>
      <c r="H538" t="inlineStr">
        <is>
          <t>SCA</t>
        </is>
      </c>
      <c r="I538" t="n">
        <v>2.4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10656-2022</t>
        </is>
      </c>
      <c r="B539" t="inlineStr">
        <is>
          <t>avverkningsanmälan</t>
        </is>
      </c>
      <c r="C539" t="inlineStr">
        <is>
          <t>Föryngringsavverkning</t>
        </is>
      </c>
      <c r="D539" s="1" t="n">
        <v>44624</v>
      </c>
      <c r="E539" s="1" t="n">
        <v>46318</v>
      </c>
      <c r="F539" t="inlineStr">
        <is>
          <t>JÄMTLANDS LÄN</t>
        </is>
      </c>
      <c r="G539" t="inlineStr">
        <is>
          <t>STRÖMSUND</t>
        </is>
      </c>
      <c r="I539" t="n">
        <v>2.5</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36079-2022</t>
        </is>
      </c>
      <c r="B540" t="inlineStr">
        <is>
          <t>avverkningsanmälan</t>
        </is>
      </c>
      <c r="C540" t="inlineStr">
        <is>
          <t>Avverkning för att bevara och utveckla /försöksver</t>
        </is>
      </c>
      <c r="D540" s="1" t="n">
        <v>44802</v>
      </c>
      <c r="E540" s="1" t="n">
        <v>46318</v>
      </c>
      <c r="F540" t="inlineStr">
        <is>
          <t>JÄMTLANDS LÄN</t>
        </is>
      </c>
      <c r="G540" t="inlineStr">
        <is>
          <t>STRÖMSUND</t>
        </is>
      </c>
      <c r="H540" t="inlineStr">
        <is>
          <t>SCA</t>
        </is>
      </c>
      <c r="I540" t="n">
        <v>2.7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54581-2022</t>
        </is>
      </c>
      <c r="B541" t="inlineStr">
        <is>
          <t>avverkningsanmälan</t>
        </is>
      </c>
      <c r="C541" t="inlineStr">
        <is>
          <t>Avverkning för att bevara och utveckla /försöksver</t>
        </is>
      </c>
      <c r="D541" s="1" t="n">
        <v>44882</v>
      </c>
      <c r="E541" s="1" t="n">
        <v>46318</v>
      </c>
      <c r="F541" t="inlineStr">
        <is>
          <t>JÄMTLANDS LÄN</t>
        </is>
      </c>
      <c r="G541" t="inlineStr">
        <is>
          <t>STRÖMSUND</t>
        </is>
      </c>
      <c r="H541" t="inlineStr">
        <is>
          <t>SCA</t>
        </is>
      </c>
      <c r="I541" t="n">
        <v>3.4</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30036-2022</t>
        </is>
      </c>
      <c r="B542" t="inlineStr">
        <is>
          <t>avverkningsanmälan</t>
        </is>
      </c>
      <c r="C542" t="inlineStr">
        <is>
          <t>Föryngringsavverkning</t>
        </is>
      </c>
      <c r="D542" s="1" t="n">
        <v>44756</v>
      </c>
      <c r="E542" s="1" t="n">
        <v>46318</v>
      </c>
      <c r="F542" t="inlineStr">
        <is>
          <t>JÄMTLANDS LÄN</t>
        </is>
      </c>
      <c r="G542" t="inlineStr">
        <is>
          <t>STRÖMSUND</t>
        </is>
      </c>
      <c r="H542" t="inlineStr">
        <is>
          <t>SCA</t>
        </is>
      </c>
      <c r="I542" t="n">
        <v>6.5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41821-2022</t>
        </is>
      </c>
      <c r="B543" t="inlineStr">
        <is>
          <t>avverkningsanmälan</t>
        </is>
      </c>
      <c r="C543" t="inlineStr">
        <is>
          <t>Föryngringsavverkning</t>
        </is>
      </c>
      <c r="D543" s="1" t="n">
        <v>44827</v>
      </c>
      <c r="E543" s="1" t="n">
        <v>46318</v>
      </c>
      <c r="F543" t="inlineStr">
        <is>
          <t>JÄMTLANDS LÄN</t>
        </is>
      </c>
      <c r="G543" t="inlineStr">
        <is>
          <t>STRÖMSUND</t>
        </is>
      </c>
      <c r="H543" t="inlineStr">
        <is>
          <t>SCA</t>
        </is>
      </c>
      <c r="I543" t="n">
        <v>1.2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42294-2022</t>
        </is>
      </c>
      <c r="B544" t="inlineStr">
        <is>
          <t>avverkningsanmälan</t>
        </is>
      </c>
      <c r="C544" t="inlineStr">
        <is>
          <t>Föryngringsavverkning</t>
        </is>
      </c>
      <c r="D544" s="1" t="n">
        <v>44830</v>
      </c>
      <c r="E544" s="1" t="n">
        <v>46318</v>
      </c>
      <c r="F544" t="inlineStr">
        <is>
          <t>JÄMTLANDS LÄN</t>
        </is>
      </c>
      <c r="G544" t="inlineStr">
        <is>
          <t>STRÖMSUND</t>
        </is>
      </c>
      <c r="H544" t="inlineStr">
        <is>
          <t>SCA</t>
        </is>
      </c>
      <c r="I544" t="n">
        <v>2</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42280-2022</t>
        </is>
      </c>
      <c r="B545" t="inlineStr">
        <is>
          <t>avverkningsanmälan</t>
        </is>
      </c>
      <c r="C545" t="inlineStr">
        <is>
          <t>Föryngringsavverkning</t>
        </is>
      </c>
      <c r="D545" s="1" t="n">
        <v>44830</v>
      </c>
      <c r="E545" s="1" t="n">
        <v>46318</v>
      </c>
      <c r="F545" t="inlineStr">
        <is>
          <t>JÄMTLANDS LÄN</t>
        </is>
      </c>
      <c r="G545" t="inlineStr">
        <is>
          <t>STRÖMSUND</t>
        </is>
      </c>
      <c r="H545" t="inlineStr">
        <is>
          <t>SCA</t>
        </is>
      </c>
      <c r="I545" t="n">
        <v>4.8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41828-2022</t>
        </is>
      </c>
      <c r="B546" t="inlineStr">
        <is>
          <t>avverkningsanmälan</t>
        </is>
      </c>
      <c r="C546" t="inlineStr">
        <is>
          <t>Föryngringsavverkning</t>
        </is>
      </c>
      <c r="D546" s="1" t="n">
        <v>44827</v>
      </c>
      <c r="E546" s="1" t="n">
        <v>46318</v>
      </c>
      <c r="F546" t="inlineStr">
        <is>
          <t>JÄMTLANDS LÄN</t>
        </is>
      </c>
      <c r="G546" t="inlineStr">
        <is>
          <t>STRÖMSUND</t>
        </is>
      </c>
      <c r="H546" t="inlineStr">
        <is>
          <t>SCA</t>
        </is>
      </c>
      <c r="I546" t="n">
        <v>1.5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50647-2022</t>
        </is>
      </c>
      <c r="B547" t="inlineStr">
        <is>
          <t>avverkningsanmälan</t>
        </is>
      </c>
      <c r="C547" t="inlineStr">
        <is>
          <t>Föryngringsavverkning</t>
        </is>
      </c>
      <c r="D547" s="1" t="n">
        <v>44866</v>
      </c>
      <c r="E547" s="1" t="n">
        <v>46318</v>
      </c>
      <c r="F547" t="inlineStr">
        <is>
          <t>JÄMTLANDS LÄN</t>
        </is>
      </c>
      <c r="G547" t="inlineStr">
        <is>
          <t>STRÖMSUND</t>
        </is>
      </c>
      <c r="H547" t="inlineStr">
        <is>
          <t>SCA</t>
        </is>
      </c>
      <c r="I547" t="n">
        <v>1.2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50663-2022</t>
        </is>
      </c>
      <c r="B548" t="inlineStr">
        <is>
          <t>avverkningsanmälan</t>
        </is>
      </c>
      <c r="C548" t="inlineStr">
        <is>
          <t>Avverkning för att bevara och utveckla /försöksver</t>
        </is>
      </c>
      <c r="D548" s="1" t="n">
        <v>44866</v>
      </c>
      <c r="E548" s="1" t="n">
        <v>46318</v>
      </c>
      <c r="F548" t="inlineStr">
        <is>
          <t>JÄMTLANDS LÄN</t>
        </is>
      </c>
      <c r="G548" t="inlineStr">
        <is>
          <t>STRÖMSUND</t>
        </is>
      </c>
      <c r="H548" t="inlineStr">
        <is>
          <t>SCA</t>
        </is>
      </c>
      <c r="I548" t="n">
        <v>2.8</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31849-2022</t>
        </is>
      </c>
      <c r="B549" t="inlineStr">
        <is>
          <t>avverkningsanmälan</t>
        </is>
      </c>
      <c r="C549" t="inlineStr">
        <is>
          <t>Föryngringsavverkning</t>
        </is>
      </c>
      <c r="D549" s="1" t="n">
        <v>44776</v>
      </c>
      <c r="E549" s="1" t="n">
        <v>46318</v>
      </c>
      <c r="F549" t="inlineStr">
        <is>
          <t>JÄMTLANDS LÄN</t>
        </is>
      </c>
      <c r="G549" t="inlineStr">
        <is>
          <t>STRÖMSUND</t>
        </is>
      </c>
      <c r="H549" t="inlineStr">
        <is>
          <t>SCA</t>
        </is>
      </c>
      <c r="I549" t="n">
        <v>2.2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5416-2022</t>
        </is>
      </c>
      <c r="B550" t="inlineStr">
        <is>
          <t>avverkningsanmälan</t>
        </is>
      </c>
      <c r="C550" t="inlineStr">
        <is>
          <t>Avverkning för annat ändamål</t>
        </is>
      </c>
      <c r="D550" s="1" t="n">
        <v>44595</v>
      </c>
      <c r="E550" s="1" t="n">
        <v>46318</v>
      </c>
      <c r="F550" t="inlineStr">
        <is>
          <t>JÄMTLANDS LÄN</t>
        </is>
      </c>
      <c r="G550" t="inlineStr">
        <is>
          <t>STRÖMSUND</t>
        </is>
      </c>
      <c r="I550" t="n">
        <v>1.9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47156-2022</t>
        </is>
      </c>
      <c r="B551" t="inlineStr">
        <is>
          <t>avverkningsanmälan</t>
        </is>
      </c>
      <c r="C551" t="inlineStr">
        <is>
          <t>Föryngringsavverkning</t>
        </is>
      </c>
      <c r="D551" s="1" t="n">
        <v>44852</v>
      </c>
      <c r="E551" s="1" t="n">
        <v>46318</v>
      </c>
      <c r="F551" t="inlineStr">
        <is>
          <t>JÄMTLANDS LÄN</t>
        </is>
      </c>
      <c r="G551" t="inlineStr">
        <is>
          <t>STRÖMSUND</t>
        </is>
      </c>
      <c r="H551" t="inlineStr">
        <is>
          <t>Holmen skog AB</t>
        </is>
      </c>
      <c r="I551" t="n">
        <v>15.1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48546-2022</t>
        </is>
      </c>
      <c r="B552" t="inlineStr">
        <is>
          <t>avverkningsanmälan</t>
        </is>
      </c>
      <c r="C552" t="inlineStr">
        <is>
          <t>Avverkning för att bevara och utveckla /försöksver</t>
        </is>
      </c>
      <c r="D552" s="1" t="n">
        <v>44858</v>
      </c>
      <c r="E552" s="1" t="n">
        <v>46318</v>
      </c>
      <c r="F552" t="inlineStr">
        <is>
          <t>JÄMTLANDS LÄN</t>
        </is>
      </c>
      <c r="G552" t="inlineStr">
        <is>
          <t>STRÖMSUND</t>
        </is>
      </c>
      <c r="H552" t="inlineStr">
        <is>
          <t>SCA</t>
        </is>
      </c>
      <c r="I552" t="n">
        <v>2.9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40287-2022</t>
        </is>
      </c>
      <c r="B553" t="inlineStr">
        <is>
          <t>avverkningsanmälan</t>
        </is>
      </c>
      <c r="C553" t="inlineStr">
        <is>
          <t>Avverkning för att bevara och utveckla /försöksver</t>
        </is>
      </c>
      <c r="D553" s="1" t="n">
        <v>44820</v>
      </c>
      <c r="E553" s="1" t="n">
        <v>46318</v>
      </c>
      <c r="F553" t="inlineStr">
        <is>
          <t>JÄMTLANDS LÄN</t>
        </is>
      </c>
      <c r="G553" t="inlineStr">
        <is>
          <t>STRÖMSUND</t>
        </is>
      </c>
      <c r="H553" t="inlineStr">
        <is>
          <t>SCA</t>
        </is>
      </c>
      <c r="I553" t="n">
        <v>7.5</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54844-2022</t>
        </is>
      </c>
      <c r="B554" t="inlineStr">
        <is>
          <t>avverkningsanmälan</t>
        </is>
      </c>
      <c r="C554" t="inlineStr">
        <is>
          <t>Föryngringsavverkning</t>
        </is>
      </c>
      <c r="D554" s="1" t="n">
        <v>44883</v>
      </c>
      <c r="E554" s="1" t="n">
        <v>46318</v>
      </c>
      <c r="F554" t="inlineStr">
        <is>
          <t>JÄMTLANDS LÄN</t>
        </is>
      </c>
      <c r="G554" t="inlineStr">
        <is>
          <t>STRÖMSUND</t>
        </is>
      </c>
      <c r="H554" t="inlineStr">
        <is>
          <t>SCA</t>
        </is>
      </c>
      <c r="I554" t="n">
        <v>0.4</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9957-2022</t>
        </is>
      </c>
      <c r="B555" t="inlineStr">
        <is>
          <t>avverkningsanmälan</t>
        </is>
      </c>
      <c r="C555" t="inlineStr">
        <is>
          <t>Avverkning för annat ändamål</t>
        </is>
      </c>
      <c r="D555" s="1" t="n">
        <v>44620</v>
      </c>
      <c r="E555" s="1" t="n">
        <v>46318</v>
      </c>
      <c r="F555" t="inlineStr">
        <is>
          <t>JÄMTLANDS LÄN</t>
        </is>
      </c>
      <c r="G555" t="inlineStr">
        <is>
          <t>STRÖMSUND</t>
        </is>
      </c>
      <c r="I555" t="n">
        <v>1.2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10249-2022</t>
        </is>
      </c>
      <c r="B556" t="inlineStr">
        <is>
          <t>avverkningsanmälan</t>
        </is>
      </c>
      <c r="C556" t="inlineStr">
        <is>
          <t>Föryngringsavverkning</t>
        </is>
      </c>
      <c r="D556" s="1" t="n">
        <v>44622</v>
      </c>
      <c r="E556" s="1" t="n">
        <v>46318</v>
      </c>
      <c r="F556" t="inlineStr">
        <is>
          <t>JÄMTLANDS LÄN</t>
        </is>
      </c>
      <c r="G556" t="inlineStr">
        <is>
          <t>STRÖMSUND</t>
        </is>
      </c>
      <c r="I556" t="n">
        <v>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4455-2022</t>
        </is>
      </c>
      <c r="B557" t="inlineStr">
        <is>
          <t>avverkningsanmälan</t>
        </is>
      </c>
      <c r="C557" t="inlineStr">
        <is>
          <t>Föryngringsavverkning</t>
        </is>
      </c>
      <c r="D557" s="1" t="n">
        <v>44589</v>
      </c>
      <c r="E557" s="1" t="n">
        <v>46318</v>
      </c>
      <c r="F557" t="inlineStr">
        <is>
          <t>JÄMTLANDS LÄN</t>
        </is>
      </c>
      <c r="G557" t="inlineStr">
        <is>
          <t>STRÖMSUND</t>
        </is>
      </c>
      <c r="I557" t="n">
        <v>2.8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3165-2022</t>
        </is>
      </c>
      <c r="B558" t="inlineStr">
        <is>
          <t>avverkningsanmälan</t>
        </is>
      </c>
      <c r="C558" t="inlineStr">
        <is>
          <t>Föryngringsavverkning</t>
        </is>
      </c>
      <c r="D558" s="1" t="n">
        <v>44582</v>
      </c>
      <c r="E558" s="1" t="n">
        <v>46318</v>
      </c>
      <c r="F558" t="inlineStr">
        <is>
          <t>JÄMTLANDS LÄN</t>
        </is>
      </c>
      <c r="G558" t="inlineStr">
        <is>
          <t>STRÖMSUND</t>
        </is>
      </c>
      <c r="I558" t="n">
        <v>2.5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33054-2022</t>
        </is>
      </c>
      <c r="B559" t="inlineStr">
        <is>
          <t>avverkningsanmälan</t>
        </is>
      </c>
      <c r="C559" t="inlineStr">
        <is>
          <t>Föryngringsavverkning</t>
        </is>
      </c>
      <c r="D559" s="1" t="n">
        <v>44785</v>
      </c>
      <c r="E559" s="1" t="n">
        <v>46318</v>
      </c>
      <c r="F559" t="inlineStr">
        <is>
          <t>JÄMTLANDS LÄN</t>
        </is>
      </c>
      <c r="G559" t="inlineStr">
        <is>
          <t>STRÖMSUND</t>
        </is>
      </c>
      <c r="I559" t="n">
        <v>5</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10136-2022</t>
        </is>
      </c>
      <c r="B560" t="inlineStr">
        <is>
          <t>avverkningsanmälan</t>
        </is>
      </c>
      <c r="C560" t="inlineStr">
        <is>
          <t>Föryngringsavverkning</t>
        </is>
      </c>
      <c r="D560" s="1" t="n">
        <v>44621</v>
      </c>
      <c r="E560" s="1" t="n">
        <v>46318</v>
      </c>
      <c r="F560" t="inlineStr">
        <is>
          <t>JÄMTLANDS LÄN</t>
        </is>
      </c>
      <c r="G560" t="inlineStr">
        <is>
          <t>STRÖMSUND</t>
        </is>
      </c>
      <c r="H560" t="inlineStr">
        <is>
          <t>SCA</t>
        </is>
      </c>
      <c r="I560" t="n">
        <v>0.4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20334-2022</t>
        </is>
      </c>
      <c r="B561" t="inlineStr">
        <is>
          <t>avverkningsanmälan</t>
        </is>
      </c>
      <c r="C561" t="inlineStr">
        <is>
          <t>Avverkning för annat ändamål</t>
        </is>
      </c>
      <c r="D561" s="1" t="n">
        <v>44699</v>
      </c>
      <c r="E561" s="1" t="n">
        <v>46318</v>
      </c>
      <c r="F561" t="inlineStr">
        <is>
          <t>JÄMTLANDS LÄN</t>
        </is>
      </c>
      <c r="G561" t="inlineStr">
        <is>
          <t>STRÖMSUND</t>
        </is>
      </c>
      <c r="H561" t="inlineStr">
        <is>
          <t>Holmen skog AB</t>
        </is>
      </c>
      <c r="I561" t="n">
        <v>0.6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22338-2022</t>
        </is>
      </c>
      <c r="B562" t="inlineStr">
        <is>
          <t>avverkningsanmälan</t>
        </is>
      </c>
      <c r="C562" t="inlineStr">
        <is>
          <t>Föryngringsavverkning</t>
        </is>
      </c>
      <c r="D562" s="1" t="n">
        <v>44712</v>
      </c>
      <c r="E562" s="1" t="n">
        <v>46318</v>
      </c>
      <c r="F562" t="inlineStr">
        <is>
          <t>JÄMTLANDS LÄN</t>
        </is>
      </c>
      <c r="G562" t="inlineStr">
        <is>
          <t>STRÖMSUND</t>
        </is>
      </c>
      <c r="H562" t="inlineStr">
        <is>
          <t>SCA</t>
        </is>
      </c>
      <c r="I562" t="n">
        <v>4.6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56091-2022</t>
        </is>
      </c>
      <c r="B563" t="inlineStr">
        <is>
          <t>avverkningsanmälan</t>
        </is>
      </c>
      <c r="C563" t="inlineStr">
        <is>
          <t>Föryngringsavverkning</t>
        </is>
      </c>
      <c r="D563" s="1" t="n">
        <v>44889</v>
      </c>
      <c r="E563" s="1" t="n">
        <v>46318</v>
      </c>
      <c r="F563" t="inlineStr">
        <is>
          <t>JÄMTLANDS LÄN</t>
        </is>
      </c>
      <c r="G563" t="inlineStr">
        <is>
          <t>STRÖMSUND</t>
        </is>
      </c>
      <c r="I563" t="n">
        <v>2.5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52806-2022</t>
        </is>
      </c>
      <c r="B564" t="inlineStr">
        <is>
          <t>avverkningsanmälan</t>
        </is>
      </c>
      <c r="C564" t="inlineStr">
        <is>
          <t>Föryngringsavverkning</t>
        </is>
      </c>
      <c r="D564" s="1" t="n">
        <v>44872</v>
      </c>
      <c r="E564" s="1" t="n">
        <v>46318</v>
      </c>
      <c r="F564" t="inlineStr">
        <is>
          <t>JÄMTLANDS LÄN</t>
        </is>
      </c>
      <c r="G564" t="inlineStr">
        <is>
          <t>STRÖMSUND</t>
        </is>
      </c>
      <c r="I564" t="n">
        <v>0.8</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30030-2022</t>
        </is>
      </c>
      <c r="B565" t="inlineStr">
        <is>
          <t>avverkningsanmälan</t>
        </is>
      </c>
      <c r="C565" t="inlineStr">
        <is>
          <t>Föryngringsavverkning</t>
        </is>
      </c>
      <c r="D565" s="1" t="n">
        <v>44756</v>
      </c>
      <c r="E565" s="1" t="n">
        <v>46318</v>
      </c>
      <c r="F565" t="inlineStr">
        <is>
          <t>JÄMTLANDS LÄN</t>
        </is>
      </c>
      <c r="G565" t="inlineStr">
        <is>
          <t>STRÖMSUND</t>
        </is>
      </c>
      <c r="H565" t="inlineStr">
        <is>
          <t>SCA</t>
        </is>
      </c>
      <c r="I565" t="n">
        <v>2.6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15865-2022</t>
        </is>
      </c>
      <c r="B566" t="inlineStr">
        <is>
          <t>avverkningsanmälan</t>
        </is>
      </c>
      <c r="C566" t="inlineStr">
        <is>
          <t>Föryngringsavverkning</t>
        </is>
      </c>
      <c r="D566" s="1" t="n">
        <v>44664</v>
      </c>
      <c r="E566" s="1" t="n">
        <v>46318</v>
      </c>
      <c r="F566" t="inlineStr">
        <is>
          <t>JÄMTLANDS LÄN</t>
        </is>
      </c>
      <c r="G566" t="inlineStr">
        <is>
          <t>STRÖMSUND</t>
        </is>
      </c>
      <c r="I566" t="n">
        <v>1.7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73288-2021</t>
        </is>
      </c>
      <c r="B567" t="inlineStr">
        <is>
          <t>avverkningsanmälan</t>
        </is>
      </c>
      <c r="C567" t="inlineStr">
        <is>
          <t>Avverkning för att bevara och utveckla /försöksver</t>
        </is>
      </c>
      <c r="D567" s="1" t="n">
        <v>44550</v>
      </c>
      <c r="E567" s="1" t="n">
        <v>46318</v>
      </c>
      <c r="F567" t="inlineStr">
        <is>
          <t>JÄMTLANDS LÄN</t>
        </is>
      </c>
      <c r="G567" t="inlineStr">
        <is>
          <t>STRÖMSUND</t>
        </is>
      </c>
      <c r="H567" t="inlineStr">
        <is>
          <t>SCA</t>
        </is>
      </c>
      <c r="I567" t="n">
        <v>0.7</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48531-2022</t>
        </is>
      </c>
      <c r="B568" t="inlineStr">
        <is>
          <t>avverkningsanmälan</t>
        </is>
      </c>
      <c r="C568" t="inlineStr">
        <is>
          <t>Avverkning för att bevara och utveckla /försöksver</t>
        </is>
      </c>
      <c r="D568" s="1" t="n">
        <v>44858</v>
      </c>
      <c r="E568" s="1" t="n">
        <v>46318</v>
      </c>
      <c r="F568" t="inlineStr">
        <is>
          <t>JÄMTLANDS LÄN</t>
        </is>
      </c>
      <c r="G568" t="inlineStr">
        <is>
          <t>STRÖMSUND</t>
        </is>
      </c>
      <c r="H568" t="inlineStr">
        <is>
          <t>SCA</t>
        </is>
      </c>
      <c r="I568" t="n">
        <v>3.6</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45398-2022</t>
        </is>
      </c>
      <c r="B569" t="inlineStr">
        <is>
          <t>avverkningsanmälan</t>
        </is>
      </c>
      <c r="C569" t="inlineStr">
        <is>
          <t>Föryngringsavverkning</t>
        </is>
      </c>
      <c r="D569" s="1" t="n">
        <v>44841</v>
      </c>
      <c r="E569" s="1" t="n">
        <v>46318</v>
      </c>
      <c r="F569" t="inlineStr">
        <is>
          <t>JÄMTLANDS LÄN</t>
        </is>
      </c>
      <c r="G569" t="inlineStr">
        <is>
          <t>STRÖMSUND</t>
        </is>
      </c>
      <c r="I569" t="n">
        <v>11.6</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62356-2023</t>
        </is>
      </c>
      <c r="B570" t="inlineStr">
        <is>
          <t>avverkningsanmälan</t>
        </is>
      </c>
      <c r="C570" t="inlineStr">
        <is>
          <t>Avverkning för att bevara och utveckla /försöksver</t>
        </is>
      </c>
      <c r="D570" s="1" t="n">
        <v>45267</v>
      </c>
      <c r="E570" s="1" t="n">
        <v>46318</v>
      </c>
      <c r="F570" t="inlineStr">
        <is>
          <t>JÄMTLANDS LÄN</t>
        </is>
      </c>
      <c r="G570" t="inlineStr">
        <is>
          <t>STRÖMSUND</t>
        </is>
      </c>
      <c r="H570" t="inlineStr">
        <is>
          <t>SCA</t>
        </is>
      </c>
      <c r="I570" t="n">
        <v>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64760-2021</t>
        </is>
      </c>
      <c r="B571" t="inlineStr">
        <is>
          <t>avverkningsanmälan</t>
        </is>
      </c>
      <c r="C571" t="inlineStr">
        <is>
          <t>Föryngringsavverkning</t>
        </is>
      </c>
      <c r="D571" s="1" t="n">
        <v>44503</v>
      </c>
      <c r="E571" s="1" t="n">
        <v>46318</v>
      </c>
      <c r="F571" t="inlineStr">
        <is>
          <t>JÄMTLANDS LÄN</t>
        </is>
      </c>
      <c r="G571" t="inlineStr">
        <is>
          <t>STRÖMSUND</t>
        </is>
      </c>
      <c r="I571" t="n">
        <v>1.8</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24302-2022</t>
        </is>
      </c>
      <c r="B572" t="inlineStr">
        <is>
          <t>avverkningsanmälan</t>
        </is>
      </c>
      <c r="C572" t="inlineStr">
        <is>
          <t>Föryngringsavverkning</t>
        </is>
      </c>
      <c r="D572" s="1" t="n">
        <v>44725</v>
      </c>
      <c r="E572" s="1" t="n">
        <v>46318</v>
      </c>
      <c r="F572" t="inlineStr">
        <is>
          <t>JÄMTLANDS LÄN</t>
        </is>
      </c>
      <c r="G572" t="inlineStr">
        <is>
          <t>STRÖMSUND</t>
        </is>
      </c>
      <c r="H572" t="inlineStr">
        <is>
          <t>SCA</t>
        </is>
      </c>
      <c r="I572" t="n">
        <v>0.7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25018-2022</t>
        </is>
      </c>
      <c r="B573" t="inlineStr">
        <is>
          <t>avverkningsanmälan</t>
        </is>
      </c>
      <c r="C573" t="inlineStr">
        <is>
          <t>Föryngringsavverkning</t>
        </is>
      </c>
      <c r="D573" s="1" t="n">
        <v>44728</v>
      </c>
      <c r="E573" s="1" t="n">
        <v>46318</v>
      </c>
      <c r="F573" t="inlineStr">
        <is>
          <t>JÄMTLANDS LÄN</t>
        </is>
      </c>
      <c r="G573" t="inlineStr">
        <is>
          <t>STRÖMSUND</t>
        </is>
      </c>
      <c r="H573" t="inlineStr">
        <is>
          <t>SCA</t>
        </is>
      </c>
      <c r="I573" t="n">
        <v>8.4</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34890-2022</t>
        </is>
      </c>
      <c r="B574" t="inlineStr">
        <is>
          <t>avverkningsanmälan</t>
        </is>
      </c>
      <c r="C574" t="inlineStr">
        <is>
          <t>Föryngringsavverkning</t>
        </is>
      </c>
      <c r="D574" s="1" t="n">
        <v>44796</v>
      </c>
      <c r="E574" s="1" t="n">
        <v>46318</v>
      </c>
      <c r="F574" t="inlineStr">
        <is>
          <t>JÄMTLANDS LÄN</t>
        </is>
      </c>
      <c r="G574" t="inlineStr">
        <is>
          <t>STRÖMSUND</t>
        </is>
      </c>
      <c r="I574" t="n">
        <v>2.2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43459-2022</t>
        </is>
      </c>
      <c r="B575" t="inlineStr">
        <is>
          <t>avverkningsanmälan</t>
        </is>
      </c>
      <c r="C575" t="inlineStr">
        <is>
          <t>Föryngringsavverkning</t>
        </is>
      </c>
      <c r="D575" s="1" t="n">
        <v>44835</v>
      </c>
      <c r="E575" s="1" t="n">
        <v>46318</v>
      </c>
      <c r="F575" t="inlineStr">
        <is>
          <t>JÄMTLANDS LÄN</t>
        </is>
      </c>
      <c r="G575" t="inlineStr">
        <is>
          <t>STRÖMSUND</t>
        </is>
      </c>
      <c r="H575" t="inlineStr">
        <is>
          <t>SCA</t>
        </is>
      </c>
      <c r="I575" t="n">
        <v>1.5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20339-2022</t>
        </is>
      </c>
      <c r="B576" t="inlineStr">
        <is>
          <t>avverkningsanmälan</t>
        </is>
      </c>
      <c r="C576" t="inlineStr">
        <is>
          <t>Avverkning för annat ändamål</t>
        </is>
      </c>
      <c r="D576" s="1" t="n">
        <v>44699</v>
      </c>
      <c r="E576" s="1" t="n">
        <v>46318</v>
      </c>
      <c r="F576" t="inlineStr">
        <is>
          <t>JÄMTLANDS LÄN</t>
        </is>
      </c>
      <c r="G576" t="inlineStr">
        <is>
          <t>STRÖMSUND</t>
        </is>
      </c>
      <c r="H576" t="inlineStr">
        <is>
          <t>Holmen skog AB</t>
        </is>
      </c>
      <c r="I576" t="n">
        <v>0.5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24918-2022</t>
        </is>
      </c>
      <c r="B577" t="inlineStr">
        <is>
          <t>avverkningsanmälan</t>
        </is>
      </c>
      <c r="C577" t="inlineStr">
        <is>
          <t>Föryngringsavverkning</t>
        </is>
      </c>
      <c r="D577" s="1" t="n">
        <v>44728</v>
      </c>
      <c r="E577" s="1" t="n">
        <v>46318</v>
      </c>
      <c r="F577" t="inlineStr">
        <is>
          <t>JÄMTLANDS LÄN</t>
        </is>
      </c>
      <c r="G577" t="inlineStr">
        <is>
          <t>STRÖMSUND</t>
        </is>
      </c>
      <c r="H577" t="inlineStr">
        <is>
          <t>Kyrkan</t>
        </is>
      </c>
      <c r="I577" t="n">
        <v>2.2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28290-2022</t>
        </is>
      </c>
      <c r="B578" t="inlineStr">
        <is>
          <t>avverkningsanmälan</t>
        </is>
      </c>
      <c r="C578" t="inlineStr">
        <is>
          <t>Avverkning för att bevara och utveckla /försöksver</t>
        </is>
      </c>
      <c r="D578" s="1" t="n">
        <v>44746</v>
      </c>
      <c r="E578" s="1" t="n">
        <v>46318</v>
      </c>
      <c r="F578" t="inlineStr">
        <is>
          <t>JÄMTLANDS LÄN</t>
        </is>
      </c>
      <c r="G578" t="inlineStr">
        <is>
          <t>STRÖMSUND</t>
        </is>
      </c>
      <c r="H578" t="inlineStr">
        <is>
          <t>SCA</t>
        </is>
      </c>
      <c r="I578" t="n">
        <v>1.4</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22616-2022</t>
        </is>
      </c>
      <c r="B579" t="inlineStr">
        <is>
          <t>avverkningsanmälan</t>
        </is>
      </c>
      <c r="C579" t="inlineStr">
        <is>
          <t>Föryngringsavverkning</t>
        </is>
      </c>
      <c r="D579" s="1" t="n">
        <v>44714</v>
      </c>
      <c r="E579" s="1" t="n">
        <v>46318</v>
      </c>
      <c r="F579" t="inlineStr">
        <is>
          <t>JÄMTLANDS LÄN</t>
        </is>
      </c>
      <c r="G579" t="inlineStr">
        <is>
          <t>STRÖMSUND</t>
        </is>
      </c>
      <c r="I579" t="n">
        <v>0.7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25843-2022</t>
        </is>
      </c>
      <c r="B580" t="inlineStr">
        <is>
          <t>avverkningsanmälan</t>
        </is>
      </c>
      <c r="C580" t="inlineStr">
        <is>
          <t>Föryngringsavverkning</t>
        </is>
      </c>
      <c r="D580" s="1" t="n">
        <v>44733</v>
      </c>
      <c r="E580" s="1" t="n">
        <v>46318</v>
      </c>
      <c r="F580" t="inlineStr">
        <is>
          <t>JÄMTLANDS LÄN</t>
        </is>
      </c>
      <c r="G580" t="inlineStr">
        <is>
          <t>STRÖMSUND</t>
        </is>
      </c>
      <c r="H580" t="inlineStr">
        <is>
          <t>Kyrkan</t>
        </is>
      </c>
      <c r="I580" t="n">
        <v>12.2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47290-2022</t>
        </is>
      </c>
      <c r="B581" t="inlineStr">
        <is>
          <t>avverkningsanmälan</t>
        </is>
      </c>
      <c r="C581" t="inlineStr">
        <is>
          <t>Föryngringsavverkning</t>
        </is>
      </c>
      <c r="D581" s="1" t="n">
        <v>44852</v>
      </c>
      <c r="E581" s="1" t="n">
        <v>46318</v>
      </c>
      <c r="F581" t="inlineStr">
        <is>
          <t>JÄMTLANDS LÄN</t>
        </is>
      </c>
      <c r="G581" t="inlineStr">
        <is>
          <t>STRÖMSUND</t>
        </is>
      </c>
      <c r="H581" t="inlineStr">
        <is>
          <t>SCA</t>
        </is>
      </c>
      <c r="I581" t="n">
        <v>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33230-2022</t>
        </is>
      </c>
      <c r="B582" t="inlineStr">
        <is>
          <t>avverkningsanmälan</t>
        </is>
      </c>
      <c r="C582" t="inlineStr">
        <is>
          <t>Avverkning för att bevara och utveckla /försöksver</t>
        </is>
      </c>
      <c r="D582" s="1" t="n">
        <v>44785</v>
      </c>
      <c r="E582" s="1" t="n">
        <v>46318</v>
      </c>
      <c r="F582" t="inlineStr">
        <is>
          <t>JÄMTLANDS LÄN</t>
        </is>
      </c>
      <c r="G582" t="inlineStr">
        <is>
          <t>STRÖMSUND</t>
        </is>
      </c>
      <c r="H582" t="inlineStr">
        <is>
          <t>SCA</t>
        </is>
      </c>
      <c r="I582" t="n">
        <v>0.8</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58031-2022</t>
        </is>
      </c>
      <c r="B583" t="inlineStr">
        <is>
          <t>avverkningsanmälan</t>
        </is>
      </c>
      <c r="C583" t="inlineStr">
        <is>
          <t>Föryngringsavverkning</t>
        </is>
      </c>
      <c r="D583" s="1" t="n">
        <v>44893</v>
      </c>
      <c r="E583" s="1" t="n">
        <v>46318</v>
      </c>
      <c r="F583" t="inlineStr">
        <is>
          <t>JÄMTLANDS LÄN</t>
        </is>
      </c>
      <c r="G583" t="inlineStr">
        <is>
          <t>STRÖMSUND</t>
        </is>
      </c>
      <c r="I583" t="n">
        <v>2.2</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40290-2022</t>
        </is>
      </c>
      <c r="B584" t="inlineStr">
        <is>
          <t>avverkningsanmälan</t>
        </is>
      </c>
      <c r="C584" t="inlineStr">
        <is>
          <t>Föryngringsavverkning</t>
        </is>
      </c>
      <c r="D584" s="1" t="n">
        <v>44820</v>
      </c>
      <c r="E584" s="1" t="n">
        <v>46318</v>
      </c>
      <c r="F584" t="inlineStr">
        <is>
          <t>JÄMTLANDS LÄN</t>
        </is>
      </c>
      <c r="G584" t="inlineStr">
        <is>
          <t>STRÖMSUND</t>
        </is>
      </c>
      <c r="I584" t="n">
        <v>1.3</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47291-2022</t>
        </is>
      </c>
      <c r="B585" t="inlineStr">
        <is>
          <t>avverkningsanmälan</t>
        </is>
      </c>
      <c r="C585" t="inlineStr">
        <is>
          <t>Föryngringsavverkning</t>
        </is>
      </c>
      <c r="D585" s="1" t="n">
        <v>44852</v>
      </c>
      <c r="E585" s="1" t="n">
        <v>46318</v>
      </c>
      <c r="F585" t="inlineStr">
        <is>
          <t>JÄMTLANDS LÄN</t>
        </is>
      </c>
      <c r="G585" t="inlineStr">
        <is>
          <t>STRÖMSUND</t>
        </is>
      </c>
      <c r="H585" t="inlineStr">
        <is>
          <t>SCA</t>
        </is>
      </c>
      <c r="I585" t="n">
        <v>4.2</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44049-2022</t>
        </is>
      </c>
      <c r="B586" t="inlineStr">
        <is>
          <t>avverkningsanmälan</t>
        </is>
      </c>
      <c r="C586" t="inlineStr">
        <is>
          <t>Föryngringsavverkning</t>
        </is>
      </c>
      <c r="D586" s="1" t="n">
        <v>44838</v>
      </c>
      <c r="E586" s="1" t="n">
        <v>46318</v>
      </c>
      <c r="F586" t="inlineStr">
        <is>
          <t>JÄMTLANDS LÄN</t>
        </is>
      </c>
      <c r="G586" t="inlineStr">
        <is>
          <t>STRÖMSUND</t>
        </is>
      </c>
      <c r="H586" t="inlineStr">
        <is>
          <t>SCA</t>
        </is>
      </c>
      <c r="I586" t="n">
        <v>9.800000000000001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22814-2022</t>
        </is>
      </c>
      <c r="B587" t="inlineStr">
        <is>
          <t>avverkningsanmälan</t>
        </is>
      </c>
      <c r="C587" t="inlineStr">
        <is>
          <t>Föryngringsavverkning</t>
        </is>
      </c>
      <c r="D587" s="1" t="n">
        <v>44715</v>
      </c>
      <c r="E587" s="1" t="n">
        <v>46318</v>
      </c>
      <c r="F587" t="inlineStr">
        <is>
          <t>JÄMTLANDS LÄN</t>
        </is>
      </c>
      <c r="G587" t="inlineStr">
        <is>
          <t>STRÖMSUND</t>
        </is>
      </c>
      <c r="I587" t="n">
        <v>6.5</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48545-2022</t>
        </is>
      </c>
      <c r="B588" t="inlineStr">
        <is>
          <t>avverkningsanmälan</t>
        </is>
      </c>
      <c r="C588" t="inlineStr">
        <is>
          <t>Föryngringsavverkning</t>
        </is>
      </c>
      <c r="D588" s="1" t="n">
        <v>44858</v>
      </c>
      <c r="E588" s="1" t="n">
        <v>46318</v>
      </c>
      <c r="F588" t="inlineStr">
        <is>
          <t>JÄMTLANDS LÄN</t>
        </is>
      </c>
      <c r="G588" t="inlineStr">
        <is>
          <t>STRÖMSUND</t>
        </is>
      </c>
      <c r="H588" t="inlineStr">
        <is>
          <t>SCA</t>
        </is>
      </c>
      <c r="I588" t="n">
        <v>3.1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52147-2024</t>
        </is>
      </c>
      <c r="B589" t="inlineStr">
        <is>
          <t>avverkningsanmälan</t>
        </is>
      </c>
      <c r="C589" t="inlineStr">
        <is>
          <t>Föryngringsavverkning</t>
        </is>
      </c>
      <c r="D589" s="1" t="n">
        <v>45608</v>
      </c>
      <c r="E589" s="1" t="n">
        <v>46318</v>
      </c>
      <c r="F589" t="inlineStr">
        <is>
          <t>JÄMTLANDS LÄN</t>
        </is>
      </c>
      <c r="G589" t="inlineStr">
        <is>
          <t>STRÖMSUND</t>
        </is>
      </c>
      <c r="H589" t="inlineStr">
        <is>
          <t>SCA</t>
        </is>
      </c>
      <c r="I589" t="n">
        <v>9</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52038-2022</t>
        </is>
      </c>
      <c r="B590" t="inlineStr">
        <is>
          <t>avverkningsanmälan</t>
        </is>
      </c>
      <c r="C590" t="inlineStr">
        <is>
          <t>Föryngringsavverkning</t>
        </is>
      </c>
      <c r="D590" s="1" t="n">
        <v>44872</v>
      </c>
      <c r="E590" s="1" t="n">
        <v>46318</v>
      </c>
      <c r="F590" t="inlineStr">
        <is>
          <t>JÄMTLANDS LÄN</t>
        </is>
      </c>
      <c r="G590" t="inlineStr">
        <is>
          <t>STRÖMSUND</t>
        </is>
      </c>
      <c r="H590" t="inlineStr">
        <is>
          <t>SCA</t>
        </is>
      </c>
      <c r="I590" t="n">
        <v>3.4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50450-2022</t>
        </is>
      </c>
      <c r="B591" t="inlineStr">
        <is>
          <t>avverkningsanmälan</t>
        </is>
      </c>
      <c r="C591" t="inlineStr">
        <is>
          <t>Föryngringsavverkning</t>
        </is>
      </c>
      <c r="D591" s="1" t="n">
        <v>44866</v>
      </c>
      <c r="E591" s="1" t="n">
        <v>46318</v>
      </c>
      <c r="F591" t="inlineStr">
        <is>
          <t>JÄMTLANDS LÄN</t>
        </is>
      </c>
      <c r="G591" t="inlineStr">
        <is>
          <t>STRÖMSUND</t>
        </is>
      </c>
      <c r="I591" t="n">
        <v>2.8</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50645-2022</t>
        </is>
      </c>
      <c r="B592" t="inlineStr">
        <is>
          <t>avverkningsanmälan</t>
        </is>
      </c>
      <c r="C592" t="inlineStr">
        <is>
          <t>Avverkning för att bevara och utveckla /försöksver</t>
        </is>
      </c>
      <c r="D592" s="1" t="n">
        <v>44866</v>
      </c>
      <c r="E592" s="1" t="n">
        <v>46318</v>
      </c>
      <c r="F592" t="inlineStr">
        <is>
          <t>JÄMTLANDS LÄN</t>
        </is>
      </c>
      <c r="G592" t="inlineStr">
        <is>
          <t>STRÖMSUND</t>
        </is>
      </c>
      <c r="H592" t="inlineStr">
        <is>
          <t>SCA</t>
        </is>
      </c>
      <c r="I592" t="n">
        <v>5.3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50657-2022</t>
        </is>
      </c>
      <c r="B593" t="inlineStr">
        <is>
          <t>avverkningsanmälan</t>
        </is>
      </c>
      <c r="C593" t="inlineStr">
        <is>
          <t>Föryngringsavverkning</t>
        </is>
      </c>
      <c r="D593" s="1" t="n">
        <v>44866</v>
      </c>
      <c r="E593" s="1" t="n">
        <v>46318</v>
      </c>
      <c r="F593" t="inlineStr">
        <is>
          <t>JÄMTLANDS LÄN</t>
        </is>
      </c>
      <c r="G593" t="inlineStr">
        <is>
          <t>STRÖMSUND</t>
        </is>
      </c>
      <c r="H593" t="inlineStr">
        <is>
          <t>SCA</t>
        </is>
      </c>
      <c r="I593" t="n">
        <v>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50659-2022</t>
        </is>
      </c>
      <c r="B594" t="inlineStr">
        <is>
          <t>avverkningsanmälan</t>
        </is>
      </c>
      <c r="C594" t="inlineStr">
        <is>
          <t>Föryngringsavverkning</t>
        </is>
      </c>
      <c r="D594" s="1" t="n">
        <v>44866</v>
      </c>
      <c r="E594" s="1" t="n">
        <v>46318</v>
      </c>
      <c r="F594" t="inlineStr">
        <is>
          <t>JÄMTLANDS LÄN</t>
        </is>
      </c>
      <c r="G594" t="inlineStr">
        <is>
          <t>STRÖMSUND</t>
        </is>
      </c>
      <c r="H594" t="inlineStr">
        <is>
          <t>SCA</t>
        </is>
      </c>
      <c r="I594" t="n">
        <v>2.9</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50316-2022</t>
        </is>
      </c>
      <c r="B595" t="inlineStr">
        <is>
          <t>avverkningsanmälan</t>
        </is>
      </c>
      <c r="C595" t="inlineStr">
        <is>
          <t>Föryngringsavverkning</t>
        </is>
      </c>
      <c r="D595" s="1" t="n">
        <v>44865</v>
      </c>
      <c r="E595" s="1" t="n">
        <v>46318</v>
      </c>
      <c r="F595" t="inlineStr">
        <is>
          <t>JÄMTLANDS LÄN</t>
        </is>
      </c>
      <c r="G595" t="inlineStr">
        <is>
          <t>STRÖMSUND</t>
        </is>
      </c>
      <c r="H595" t="inlineStr">
        <is>
          <t>SCA</t>
        </is>
      </c>
      <c r="I595" t="n">
        <v>1.8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29830-2022</t>
        </is>
      </c>
      <c r="B596" t="inlineStr">
        <is>
          <t>avverkningsanmälan</t>
        </is>
      </c>
      <c r="C596" t="inlineStr">
        <is>
          <t>Föryngringsavverkning</t>
        </is>
      </c>
      <c r="D596" s="1" t="n">
        <v>44755</v>
      </c>
      <c r="E596" s="1" t="n">
        <v>46318</v>
      </c>
      <c r="F596" t="inlineStr">
        <is>
          <t>JÄMTLANDS LÄN</t>
        </is>
      </c>
      <c r="G596" t="inlineStr">
        <is>
          <t>STRÖMSUND</t>
        </is>
      </c>
      <c r="H596" t="inlineStr">
        <is>
          <t>SCA</t>
        </is>
      </c>
      <c r="I596" t="n">
        <v>1.9</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4988-2023</t>
        </is>
      </c>
      <c r="B597" t="inlineStr">
        <is>
          <t>avverkningsanmälan</t>
        </is>
      </c>
      <c r="C597" t="inlineStr">
        <is>
          <t>Föryngringsavverkning</t>
        </is>
      </c>
      <c r="D597" s="1" t="n">
        <v>44956</v>
      </c>
      <c r="E597" s="1" t="n">
        <v>46318</v>
      </c>
      <c r="F597" t="inlineStr">
        <is>
          <t>JÄMTLANDS LÄN</t>
        </is>
      </c>
      <c r="G597" t="inlineStr">
        <is>
          <t>STRÖMSUND</t>
        </is>
      </c>
      <c r="I597" t="n">
        <v>4.7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72543-2021</t>
        </is>
      </c>
      <c r="B598" t="inlineStr">
        <is>
          <t>avverkningsanmälan</t>
        </is>
      </c>
      <c r="C598" t="inlineStr">
        <is>
          <t>Föryngringsavverkning</t>
        </is>
      </c>
      <c r="D598" s="1" t="n">
        <v>44546</v>
      </c>
      <c r="E598" s="1" t="n">
        <v>46318</v>
      </c>
      <c r="F598" t="inlineStr">
        <is>
          <t>JÄMTLANDS LÄN</t>
        </is>
      </c>
      <c r="G598" t="inlineStr">
        <is>
          <t>STRÖMSUND</t>
        </is>
      </c>
      <c r="I598" t="n">
        <v>3.7</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52728-2022</t>
        </is>
      </c>
      <c r="B599" t="inlineStr">
        <is>
          <t>avverkningsanmälan</t>
        </is>
      </c>
      <c r="C599" t="inlineStr">
        <is>
          <t>Föryngringsavverkning</t>
        </is>
      </c>
      <c r="D599" s="1" t="n">
        <v>44874</v>
      </c>
      <c r="E599" s="1" t="n">
        <v>46318</v>
      </c>
      <c r="F599" t="inlineStr">
        <is>
          <t>JÄMTLANDS LÄN</t>
        </is>
      </c>
      <c r="G599" t="inlineStr">
        <is>
          <t>STRÖMSUND</t>
        </is>
      </c>
      <c r="H599" t="inlineStr">
        <is>
          <t>SCA</t>
        </is>
      </c>
      <c r="I599" t="n">
        <v>4.4</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64309-2021</t>
        </is>
      </c>
      <c r="B600" t="inlineStr">
        <is>
          <t>avverkningsanmälan</t>
        </is>
      </c>
      <c r="C600" t="inlineStr">
        <is>
          <t>Föryngringsavverkning</t>
        </is>
      </c>
      <c r="D600" s="1" t="n">
        <v>44510</v>
      </c>
      <c r="E600" s="1" t="n">
        <v>46318</v>
      </c>
      <c r="F600" t="inlineStr">
        <is>
          <t>JÄMTLANDS LÄN</t>
        </is>
      </c>
      <c r="G600" t="inlineStr">
        <is>
          <t>STRÖMSUND</t>
        </is>
      </c>
      <c r="H600" t="inlineStr">
        <is>
          <t>SCA</t>
        </is>
      </c>
      <c r="I600" t="n">
        <v>1.5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36275-2022</t>
        </is>
      </c>
      <c r="B601" t="inlineStr">
        <is>
          <t>avverkningsanmälan</t>
        </is>
      </c>
      <c r="C601" t="inlineStr">
        <is>
          <t>Föryngringsavverkning</t>
        </is>
      </c>
      <c r="D601" s="1" t="n">
        <v>44803</v>
      </c>
      <c r="E601" s="1" t="n">
        <v>46318</v>
      </c>
      <c r="F601" t="inlineStr">
        <is>
          <t>JÄMTLANDS LÄN</t>
        </is>
      </c>
      <c r="G601" t="inlineStr">
        <is>
          <t>STRÖMSUND</t>
        </is>
      </c>
      <c r="H601" t="inlineStr">
        <is>
          <t>Holmen skog AB</t>
        </is>
      </c>
      <c r="I601" t="n">
        <v>0.4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40841-2022</t>
        </is>
      </c>
      <c r="B602" t="inlineStr">
        <is>
          <t>avverkningsanmälan</t>
        </is>
      </c>
      <c r="C602" t="inlineStr">
        <is>
          <t>Föryngringsavverkning</t>
        </is>
      </c>
      <c r="D602" s="1" t="n">
        <v>44824</v>
      </c>
      <c r="E602" s="1" t="n">
        <v>46318</v>
      </c>
      <c r="F602" t="inlineStr">
        <is>
          <t>JÄMTLANDS LÄN</t>
        </is>
      </c>
      <c r="G602" t="inlineStr">
        <is>
          <t>STRÖMSUND</t>
        </is>
      </c>
      <c r="H602" t="inlineStr">
        <is>
          <t>SCA</t>
        </is>
      </c>
      <c r="I602" t="n">
        <v>2.1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24214-2024</t>
        </is>
      </c>
      <c r="B603" t="inlineStr">
        <is>
          <t>avverkningsanmälan</t>
        </is>
      </c>
      <c r="C603" t="inlineStr">
        <is>
          <t>Avverkning för att bevara och utveckla /försöksver</t>
        </is>
      </c>
      <c r="D603" s="1" t="n">
        <v>45457</v>
      </c>
      <c r="E603" s="1" t="n">
        <v>46318</v>
      </c>
      <c r="F603" t="inlineStr">
        <is>
          <t>JÄMTLANDS LÄN</t>
        </is>
      </c>
      <c r="G603" t="inlineStr">
        <is>
          <t>STRÖMSUND</t>
        </is>
      </c>
      <c r="H603" t="inlineStr">
        <is>
          <t>Holmen skog AB</t>
        </is>
      </c>
      <c r="I603" t="n">
        <v>6.2</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37093-2022</t>
        </is>
      </c>
      <c r="B604" t="inlineStr">
        <is>
          <t>avverkningsanmälan</t>
        </is>
      </c>
      <c r="C604" t="inlineStr">
        <is>
          <t>Föryngringsavverkning</t>
        </is>
      </c>
      <c r="D604" s="1" t="n">
        <v>44806</v>
      </c>
      <c r="E604" s="1" t="n">
        <v>46318</v>
      </c>
      <c r="F604" t="inlineStr">
        <is>
          <t>JÄMTLANDS LÄN</t>
        </is>
      </c>
      <c r="G604" t="inlineStr">
        <is>
          <t>STRÖMSUND</t>
        </is>
      </c>
      <c r="H604" t="inlineStr">
        <is>
          <t>Kommuner</t>
        </is>
      </c>
      <c r="I604" t="n">
        <v>0.3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27031-2022</t>
        </is>
      </c>
      <c r="B605" t="inlineStr">
        <is>
          <t>avverkningsanmälan</t>
        </is>
      </c>
      <c r="C605" t="inlineStr">
        <is>
          <t>Avverkning för att bevara och utveckla /försöksver</t>
        </is>
      </c>
      <c r="D605" s="1" t="n">
        <v>44740</v>
      </c>
      <c r="E605" s="1" t="n">
        <v>46318</v>
      </c>
      <c r="F605" t="inlineStr">
        <is>
          <t>JÄMTLANDS LÄN</t>
        </is>
      </c>
      <c r="G605" t="inlineStr">
        <is>
          <t>STRÖMSUND</t>
        </is>
      </c>
      <c r="H605" t="inlineStr">
        <is>
          <t>SCA</t>
        </is>
      </c>
      <c r="I605" t="n">
        <v>0.4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12198-2022</t>
        </is>
      </c>
      <c r="B606" t="inlineStr">
        <is>
          <t>avverkningsanmälan</t>
        </is>
      </c>
      <c r="C606" t="inlineStr">
        <is>
          <t>Avverkning för att bevara och utveckla /försöksver</t>
        </is>
      </c>
      <c r="D606" s="1" t="n">
        <v>44636</v>
      </c>
      <c r="E606" s="1" t="n">
        <v>46318</v>
      </c>
      <c r="F606" t="inlineStr">
        <is>
          <t>JÄMTLANDS LÄN</t>
        </is>
      </c>
      <c r="G606" t="inlineStr">
        <is>
          <t>STRÖMSUND</t>
        </is>
      </c>
      <c r="H606" t="inlineStr">
        <is>
          <t>SCA</t>
        </is>
      </c>
      <c r="I606" t="n">
        <v>4.6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21358-2023</t>
        </is>
      </c>
      <c r="B607" t="inlineStr">
        <is>
          <t>avverkningsanmälan</t>
        </is>
      </c>
      <c r="C607" t="inlineStr">
        <is>
          <t>Föryngringsavverkning</t>
        </is>
      </c>
      <c r="D607" s="1" t="n">
        <v>45062</v>
      </c>
      <c r="E607" s="1" t="n">
        <v>46318</v>
      </c>
      <c r="F607" t="inlineStr">
        <is>
          <t>JÄMTLANDS LÄN</t>
        </is>
      </c>
      <c r="G607" t="inlineStr">
        <is>
          <t>STRÖMSUND</t>
        </is>
      </c>
      <c r="H607" t="inlineStr">
        <is>
          <t>SCA</t>
        </is>
      </c>
      <c r="I607" t="n">
        <v>1.5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30220-2022</t>
        </is>
      </c>
      <c r="B608" t="inlineStr">
        <is>
          <t>avverkningsanmälan</t>
        </is>
      </c>
      <c r="C608" t="inlineStr">
        <is>
          <t>Föryngringsavverkning</t>
        </is>
      </c>
      <c r="D608" s="1" t="n">
        <v>44757</v>
      </c>
      <c r="E608" s="1" t="n">
        <v>46318</v>
      </c>
      <c r="F608" t="inlineStr">
        <is>
          <t>JÄMTLANDS LÄN</t>
        </is>
      </c>
      <c r="G608" t="inlineStr">
        <is>
          <t>STRÖMSUND</t>
        </is>
      </c>
      <c r="H608" t="inlineStr">
        <is>
          <t>SCA</t>
        </is>
      </c>
      <c r="I608" t="n">
        <v>1.1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21616-2024</t>
        </is>
      </c>
      <c r="B609" t="inlineStr">
        <is>
          <t>avverkningsanmälan</t>
        </is>
      </c>
      <c r="C609" t="inlineStr">
        <is>
          <t>Avverkning för att bevara och utveckla /försöksver</t>
        </is>
      </c>
      <c r="D609" s="1" t="n">
        <v>45441</v>
      </c>
      <c r="E609" s="1" t="n">
        <v>46318</v>
      </c>
      <c r="F609" t="inlineStr">
        <is>
          <t>JÄMTLANDS LÄN</t>
        </is>
      </c>
      <c r="G609" t="inlineStr">
        <is>
          <t>STRÖMSUND</t>
        </is>
      </c>
      <c r="H609" t="inlineStr">
        <is>
          <t>SCA</t>
        </is>
      </c>
      <c r="I609" t="n">
        <v>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69143-2021</t>
        </is>
      </c>
      <c r="B610" t="inlineStr">
        <is>
          <t>avverkningsanmälan</t>
        </is>
      </c>
      <c r="C610" t="inlineStr">
        <is>
          <t>Föryngringsavverkning</t>
        </is>
      </c>
      <c r="D610" s="1" t="n">
        <v>44530</v>
      </c>
      <c r="E610" s="1" t="n">
        <v>46318</v>
      </c>
      <c r="F610" t="inlineStr">
        <is>
          <t>JÄMTLANDS LÄN</t>
        </is>
      </c>
      <c r="G610" t="inlineStr">
        <is>
          <t>STRÖMSUND</t>
        </is>
      </c>
      <c r="H610" t="inlineStr">
        <is>
          <t>SCA</t>
        </is>
      </c>
      <c r="I610" t="n">
        <v>1.7</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9370-2022</t>
        </is>
      </c>
      <c r="B611" t="inlineStr">
        <is>
          <t>avverkningsanmälan</t>
        </is>
      </c>
      <c r="C611" t="inlineStr">
        <is>
          <t>Föryngringsavverkning</t>
        </is>
      </c>
      <c r="D611" s="1" t="n">
        <v>44616</v>
      </c>
      <c r="E611" s="1" t="n">
        <v>46318</v>
      </c>
      <c r="F611" t="inlineStr">
        <is>
          <t>JÄMTLANDS LÄN</t>
        </is>
      </c>
      <c r="G611" t="inlineStr">
        <is>
          <t>STRÖMSUND</t>
        </is>
      </c>
      <c r="I611" t="n">
        <v>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1107-2022</t>
        </is>
      </c>
      <c r="B612" t="inlineStr">
        <is>
          <t>avverkningsanmälan</t>
        </is>
      </c>
      <c r="C612" t="inlineStr">
        <is>
          <t>Föryngringsavverkning</t>
        </is>
      </c>
      <c r="D612" s="1" t="n">
        <v>44571</v>
      </c>
      <c r="E612" s="1" t="n">
        <v>46318</v>
      </c>
      <c r="F612" t="inlineStr">
        <is>
          <t>JÄMTLANDS LÄN</t>
        </is>
      </c>
      <c r="G612" t="inlineStr">
        <is>
          <t>STRÖMSUND</t>
        </is>
      </c>
      <c r="I612" t="n">
        <v>5.2</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12950-2022</t>
        </is>
      </c>
      <c r="B613" t="inlineStr">
        <is>
          <t>avverkningsanmälan</t>
        </is>
      </c>
      <c r="C613" t="inlineStr">
        <is>
          <t>Föryngringsavverkning</t>
        </is>
      </c>
      <c r="D613" s="1" t="n">
        <v>44642</v>
      </c>
      <c r="E613" s="1" t="n">
        <v>46318</v>
      </c>
      <c r="F613" t="inlineStr">
        <is>
          <t>JÄMTLANDS LÄN</t>
        </is>
      </c>
      <c r="G613" t="inlineStr">
        <is>
          <t>STRÖMSUND</t>
        </is>
      </c>
      <c r="H613" t="inlineStr">
        <is>
          <t>SCA</t>
        </is>
      </c>
      <c r="I613" t="n">
        <v>6.3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34521-2022</t>
        </is>
      </c>
      <c r="B614" t="inlineStr">
        <is>
          <t>avverkningsanmälan</t>
        </is>
      </c>
      <c r="C614" t="inlineStr">
        <is>
          <t>Avverkning för att bevara och utveckla /försöksver</t>
        </is>
      </c>
      <c r="D614" s="1" t="n">
        <v>44792</v>
      </c>
      <c r="E614" s="1" t="n">
        <v>46318</v>
      </c>
      <c r="F614" t="inlineStr">
        <is>
          <t>JÄMTLANDS LÄN</t>
        </is>
      </c>
      <c r="G614" t="inlineStr">
        <is>
          <t>STRÖMSUND</t>
        </is>
      </c>
      <c r="H614" t="inlineStr">
        <is>
          <t>SCA</t>
        </is>
      </c>
      <c r="I614" t="n">
        <v>1.7</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21338-2023</t>
        </is>
      </c>
      <c r="B615" t="inlineStr">
        <is>
          <t>avverkningsanmälan</t>
        </is>
      </c>
      <c r="C615" t="inlineStr">
        <is>
          <t>Föryngringsavverkning</t>
        </is>
      </c>
      <c r="D615" s="1" t="n">
        <v>45062</v>
      </c>
      <c r="E615" s="1" t="n">
        <v>46318</v>
      </c>
      <c r="F615" t="inlineStr">
        <is>
          <t>JÄMTLANDS LÄN</t>
        </is>
      </c>
      <c r="G615" t="inlineStr">
        <is>
          <t>STRÖMSUND</t>
        </is>
      </c>
      <c r="H615" t="inlineStr">
        <is>
          <t>SCA</t>
        </is>
      </c>
      <c r="I615" t="n">
        <v>0.7</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69139-2021</t>
        </is>
      </c>
      <c r="B616" t="inlineStr">
        <is>
          <t>avverkningsanmälan</t>
        </is>
      </c>
      <c r="C616" t="inlineStr">
        <is>
          <t>Föryngringsavverkning</t>
        </is>
      </c>
      <c r="D616" s="1" t="n">
        <v>44530</v>
      </c>
      <c r="E616" s="1" t="n">
        <v>46318</v>
      </c>
      <c r="F616" t="inlineStr">
        <is>
          <t>JÄMTLANDS LÄN</t>
        </is>
      </c>
      <c r="G616" t="inlineStr">
        <is>
          <t>STRÖMSUND</t>
        </is>
      </c>
      <c r="H616" t="inlineStr">
        <is>
          <t>SCA</t>
        </is>
      </c>
      <c r="I616" t="n">
        <v>1.3</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14442-2022</t>
        </is>
      </c>
      <c r="B617" t="inlineStr">
        <is>
          <t>avverkningsanmälan</t>
        </is>
      </c>
      <c r="C617" t="inlineStr">
        <is>
          <t>Avverkning för att bevara och utveckla /försöksver</t>
        </is>
      </c>
      <c r="D617" s="1" t="n">
        <v>44652</v>
      </c>
      <c r="E617" s="1" t="n">
        <v>46318</v>
      </c>
      <c r="F617" t="inlineStr">
        <is>
          <t>JÄMTLANDS LÄN</t>
        </is>
      </c>
      <c r="G617" t="inlineStr">
        <is>
          <t>STRÖMSUND</t>
        </is>
      </c>
      <c r="H617" t="inlineStr">
        <is>
          <t>SCA</t>
        </is>
      </c>
      <c r="I617" t="n">
        <v>0.7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53396-2022</t>
        </is>
      </c>
      <c r="B618" t="inlineStr">
        <is>
          <t>avverkningsanmälan</t>
        </is>
      </c>
      <c r="C618" t="inlineStr">
        <is>
          <t>Föryngringsavverkning</t>
        </is>
      </c>
      <c r="D618" s="1" t="n">
        <v>44879</v>
      </c>
      <c r="E618" s="1" t="n">
        <v>46318</v>
      </c>
      <c r="F618" t="inlineStr">
        <is>
          <t>JÄMTLANDS LÄN</t>
        </is>
      </c>
      <c r="G618" t="inlineStr">
        <is>
          <t>STRÖMSUND</t>
        </is>
      </c>
      <c r="I618" t="n">
        <v>3.3</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364-2022</t>
        </is>
      </c>
      <c r="B619" t="inlineStr">
        <is>
          <t>avverkningsanmälan</t>
        </is>
      </c>
      <c r="C619" t="inlineStr">
        <is>
          <t>Föryngringsavverkning</t>
        </is>
      </c>
      <c r="D619" s="1" t="n">
        <v>44565</v>
      </c>
      <c r="E619" s="1" t="n">
        <v>46318</v>
      </c>
      <c r="F619" t="inlineStr">
        <is>
          <t>JÄMTLANDS LÄN</t>
        </is>
      </c>
      <c r="G619" t="inlineStr">
        <is>
          <t>STRÖMSUND</t>
        </is>
      </c>
      <c r="I619" t="n">
        <v>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14703-2022</t>
        </is>
      </c>
      <c r="B620" t="inlineStr">
        <is>
          <t>avverkningsanmälan</t>
        </is>
      </c>
      <c r="C620" t="inlineStr">
        <is>
          <t>Avverkning för att bevara och utveckla /försöksver</t>
        </is>
      </c>
      <c r="D620" s="1" t="n">
        <v>44655</v>
      </c>
      <c r="E620" s="1" t="n">
        <v>46318</v>
      </c>
      <c r="F620" t="inlineStr">
        <is>
          <t>JÄMTLANDS LÄN</t>
        </is>
      </c>
      <c r="G620" t="inlineStr">
        <is>
          <t>STRÖMSUND</t>
        </is>
      </c>
      <c r="H620" t="inlineStr">
        <is>
          <t>SCA</t>
        </is>
      </c>
      <c r="I620" t="n">
        <v>2.7</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50313-2022</t>
        </is>
      </c>
      <c r="B621" t="inlineStr">
        <is>
          <t>avverkningsanmälan</t>
        </is>
      </c>
      <c r="C621" t="inlineStr">
        <is>
          <t>Föryngringsavverkning</t>
        </is>
      </c>
      <c r="D621" s="1" t="n">
        <v>44865</v>
      </c>
      <c r="E621" s="1" t="n">
        <v>46318</v>
      </c>
      <c r="F621" t="inlineStr">
        <is>
          <t>JÄMTLANDS LÄN</t>
        </is>
      </c>
      <c r="G621" t="inlineStr">
        <is>
          <t>STRÖMSUND</t>
        </is>
      </c>
      <c r="H621" t="inlineStr">
        <is>
          <t>SCA</t>
        </is>
      </c>
      <c r="I621" t="n">
        <v>1.5</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50315-2022</t>
        </is>
      </c>
      <c r="B622" t="inlineStr">
        <is>
          <t>avverkningsanmälan</t>
        </is>
      </c>
      <c r="C622" t="inlineStr">
        <is>
          <t>Föryngringsavverkning</t>
        </is>
      </c>
      <c r="D622" s="1" t="n">
        <v>44865</v>
      </c>
      <c r="E622" s="1" t="n">
        <v>46318</v>
      </c>
      <c r="F622" t="inlineStr">
        <is>
          <t>JÄMTLANDS LÄN</t>
        </is>
      </c>
      <c r="G622" t="inlineStr">
        <is>
          <t>STRÖMSUND</t>
        </is>
      </c>
      <c r="H622" t="inlineStr">
        <is>
          <t>SCA</t>
        </is>
      </c>
      <c r="I622" t="n">
        <v>1.4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64657-2021</t>
        </is>
      </c>
      <c r="B623" t="inlineStr">
        <is>
          <t>avverkningsanmälan</t>
        </is>
      </c>
      <c r="C623" t="inlineStr">
        <is>
          <t>Föryngringsavverkning</t>
        </is>
      </c>
      <c r="D623" s="1" t="n">
        <v>44511</v>
      </c>
      <c r="E623" s="1" t="n">
        <v>46318</v>
      </c>
      <c r="F623" t="inlineStr">
        <is>
          <t>JÄMTLANDS LÄN</t>
        </is>
      </c>
      <c r="G623" t="inlineStr">
        <is>
          <t>STRÖMSUND</t>
        </is>
      </c>
      <c r="H623" t="inlineStr">
        <is>
          <t>SCA</t>
        </is>
      </c>
      <c r="I623" t="n">
        <v>1</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10904-2022</t>
        </is>
      </c>
      <c r="B624" t="inlineStr">
        <is>
          <t>avverkningsanmälan</t>
        </is>
      </c>
      <c r="C624" t="inlineStr">
        <is>
          <t>Föryngringsavverkning</t>
        </is>
      </c>
      <c r="D624" s="1" t="n">
        <v>44627</v>
      </c>
      <c r="E624" s="1" t="n">
        <v>46318</v>
      </c>
      <c r="F624" t="inlineStr">
        <is>
          <t>JÄMTLANDS LÄN</t>
        </is>
      </c>
      <c r="G624" t="inlineStr">
        <is>
          <t>STRÖMSUND</t>
        </is>
      </c>
      <c r="I624" t="n">
        <v>4.3</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66784-2021</t>
        </is>
      </c>
      <c r="B625" t="inlineStr">
        <is>
          <t>avverkningsanmälan</t>
        </is>
      </c>
      <c r="C625" t="inlineStr">
        <is>
          <t>Föryngringsavverkning</t>
        </is>
      </c>
      <c r="D625" s="1" t="n">
        <v>44519</v>
      </c>
      <c r="E625" s="1" t="n">
        <v>46318</v>
      </c>
      <c r="F625" t="inlineStr">
        <is>
          <t>JÄMTLANDS LÄN</t>
        </is>
      </c>
      <c r="G625" t="inlineStr">
        <is>
          <t>STRÖMSUND</t>
        </is>
      </c>
      <c r="I625" t="n">
        <v>3</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25847-2022</t>
        </is>
      </c>
      <c r="B626" t="inlineStr">
        <is>
          <t>avverkningsanmälan</t>
        </is>
      </c>
      <c r="C626" t="inlineStr">
        <is>
          <t>Föryngringsavverkning</t>
        </is>
      </c>
      <c r="D626" s="1" t="n">
        <v>44733</v>
      </c>
      <c r="E626" s="1" t="n">
        <v>46318</v>
      </c>
      <c r="F626" t="inlineStr">
        <is>
          <t>JÄMTLANDS LÄN</t>
        </is>
      </c>
      <c r="G626" t="inlineStr">
        <is>
          <t>STRÖMSUND</t>
        </is>
      </c>
      <c r="H626" t="inlineStr">
        <is>
          <t>Kyrkan</t>
        </is>
      </c>
      <c r="I626" t="n">
        <v>5.3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5174-2023</t>
        </is>
      </c>
      <c r="B627" t="inlineStr">
        <is>
          <t>avverkningsanmälan</t>
        </is>
      </c>
      <c r="C627" t="inlineStr">
        <is>
          <t>Föryngringsavverkning</t>
        </is>
      </c>
      <c r="D627" s="1" t="n">
        <v>44958</v>
      </c>
      <c r="E627" s="1" t="n">
        <v>46318</v>
      </c>
      <c r="F627" t="inlineStr">
        <is>
          <t>JÄMTLANDS LÄN</t>
        </is>
      </c>
      <c r="G627" t="inlineStr">
        <is>
          <t>STRÖMSUND</t>
        </is>
      </c>
      <c r="H627" t="inlineStr">
        <is>
          <t>SCA</t>
        </is>
      </c>
      <c r="I627" t="n">
        <v>64.5</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21399-2022</t>
        </is>
      </c>
      <c r="B628" t="inlineStr">
        <is>
          <t>avverkningsanmälan</t>
        </is>
      </c>
      <c r="C628" t="inlineStr">
        <is>
          <t>Föryngringsavverkning</t>
        </is>
      </c>
      <c r="D628" s="1" t="n">
        <v>44705</v>
      </c>
      <c r="E628" s="1" t="n">
        <v>46318</v>
      </c>
      <c r="F628" t="inlineStr">
        <is>
          <t>JÄMTLANDS LÄN</t>
        </is>
      </c>
      <c r="G628" t="inlineStr">
        <is>
          <t>STRÖMSUND</t>
        </is>
      </c>
      <c r="H628" t="inlineStr">
        <is>
          <t>SCA</t>
        </is>
      </c>
      <c r="I628" t="n">
        <v>0.7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62666-2021</t>
        </is>
      </c>
      <c r="B629" t="inlineStr">
        <is>
          <t>avverkningsanmälan</t>
        </is>
      </c>
      <c r="C629" t="inlineStr">
        <is>
          <t>Avverkning för att bevara och utveckla /försöksver</t>
        </is>
      </c>
      <c r="D629" s="1" t="n">
        <v>44503</v>
      </c>
      <c r="E629" s="1" t="n">
        <v>46318</v>
      </c>
      <c r="F629" t="inlineStr">
        <is>
          <t>JÄMTLANDS LÄN</t>
        </is>
      </c>
      <c r="G629" t="inlineStr">
        <is>
          <t>STRÖMSUND</t>
        </is>
      </c>
      <c r="H629" t="inlineStr">
        <is>
          <t>SCA</t>
        </is>
      </c>
      <c r="I629" t="n">
        <v>3.4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33231-2022</t>
        </is>
      </c>
      <c r="B630" t="inlineStr">
        <is>
          <t>avverkningsanmälan</t>
        </is>
      </c>
      <c r="C630" t="inlineStr">
        <is>
          <t>Avverkning för att bevara och utveckla /försöksver</t>
        </is>
      </c>
      <c r="D630" s="1" t="n">
        <v>44785</v>
      </c>
      <c r="E630" s="1" t="n">
        <v>46318</v>
      </c>
      <c r="F630" t="inlineStr">
        <is>
          <t>JÄMTLANDS LÄN</t>
        </is>
      </c>
      <c r="G630" t="inlineStr">
        <is>
          <t>STRÖMSUND</t>
        </is>
      </c>
      <c r="H630" t="inlineStr">
        <is>
          <t>SCA</t>
        </is>
      </c>
      <c r="I630" t="n">
        <v>0.7</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27917-2022</t>
        </is>
      </c>
      <c r="B631" t="inlineStr">
        <is>
          <t>avverkningsanmälan</t>
        </is>
      </c>
      <c r="C631" t="inlineStr">
        <is>
          <t>Föryngringsavverkning</t>
        </is>
      </c>
      <c r="D631" s="1" t="n">
        <v>44743</v>
      </c>
      <c r="E631" s="1" t="n">
        <v>46318</v>
      </c>
      <c r="F631" t="inlineStr">
        <is>
          <t>JÄMTLANDS LÄN</t>
        </is>
      </c>
      <c r="G631" t="inlineStr">
        <is>
          <t>STRÖMSUND</t>
        </is>
      </c>
      <c r="H631" t="inlineStr">
        <is>
          <t>SCA</t>
        </is>
      </c>
      <c r="I631" t="n">
        <v>3.3</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30836-2023</t>
        </is>
      </c>
      <c r="B632" t="inlineStr">
        <is>
          <t>avverkningsanmälan</t>
        </is>
      </c>
      <c r="C632" t="inlineStr">
        <is>
          <t>Föryngringsavverkning</t>
        </is>
      </c>
      <c r="D632" s="1" t="n">
        <v>45112</v>
      </c>
      <c r="E632" s="1" t="n">
        <v>46318</v>
      </c>
      <c r="F632" t="inlineStr">
        <is>
          <t>JÄMTLANDS LÄN</t>
        </is>
      </c>
      <c r="G632" t="inlineStr">
        <is>
          <t>STRÖMSUND</t>
        </is>
      </c>
      <c r="H632" t="inlineStr">
        <is>
          <t>SCA</t>
        </is>
      </c>
      <c r="I632" t="n">
        <v>0.8</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34805-2022</t>
        </is>
      </c>
      <c r="B633" t="inlineStr">
        <is>
          <t>avverkningsanmälan</t>
        </is>
      </c>
      <c r="C633" t="inlineStr">
        <is>
          <t>Avverkning för att bevara och utveckla /försöksver</t>
        </is>
      </c>
      <c r="D633" s="1" t="n">
        <v>44795</v>
      </c>
      <c r="E633" s="1" t="n">
        <v>46318</v>
      </c>
      <c r="F633" t="inlineStr">
        <is>
          <t>JÄMTLANDS LÄN</t>
        </is>
      </c>
      <c r="G633" t="inlineStr">
        <is>
          <t>STRÖMSUND</t>
        </is>
      </c>
      <c r="H633" t="inlineStr">
        <is>
          <t>SCA</t>
        </is>
      </c>
      <c r="I633" t="n">
        <v>4</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13687-2023</t>
        </is>
      </c>
      <c r="B634" t="inlineStr">
        <is>
          <t>avverkningsanmälan</t>
        </is>
      </c>
      <c r="C634" t="inlineStr">
        <is>
          <t>Föryngringsavverkning</t>
        </is>
      </c>
      <c r="D634" s="1" t="n">
        <v>45006</v>
      </c>
      <c r="E634" s="1" t="n">
        <v>46318</v>
      </c>
      <c r="F634" t="inlineStr">
        <is>
          <t>JÄMTLANDS LÄN</t>
        </is>
      </c>
      <c r="G634" t="inlineStr">
        <is>
          <t>STRÖMSUND</t>
        </is>
      </c>
      <c r="I634" t="n">
        <v>7.1</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44429-2022</t>
        </is>
      </c>
      <c r="B635" t="inlineStr">
        <is>
          <t>avverkningsanmälan</t>
        </is>
      </c>
      <c r="C635" t="inlineStr">
        <is>
          <t>Föryngringsavverkning</t>
        </is>
      </c>
      <c r="D635" s="1" t="n">
        <v>44839</v>
      </c>
      <c r="E635" s="1" t="n">
        <v>46318</v>
      </c>
      <c r="F635" t="inlineStr">
        <is>
          <t>JÄMTLANDS LÄN</t>
        </is>
      </c>
      <c r="G635" t="inlineStr">
        <is>
          <t>STRÖMSUND</t>
        </is>
      </c>
      <c r="H635" t="inlineStr">
        <is>
          <t>SCA</t>
        </is>
      </c>
      <c r="I635" t="n">
        <v>52.1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22337-2022</t>
        </is>
      </c>
      <c r="B636" t="inlineStr">
        <is>
          <t>avverkningsanmälan</t>
        </is>
      </c>
      <c r="C636" t="inlineStr">
        <is>
          <t>Avverkning för att bevara och utveckla /försöksver</t>
        </is>
      </c>
      <c r="D636" s="1" t="n">
        <v>44712</v>
      </c>
      <c r="E636" s="1" t="n">
        <v>46318</v>
      </c>
      <c r="F636" t="inlineStr">
        <is>
          <t>JÄMTLANDS LÄN</t>
        </is>
      </c>
      <c r="G636" t="inlineStr">
        <is>
          <t>STRÖMSUND</t>
        </is>
      </c>
      <c r="H636" t="inlineStr">
        <is>
          <t>SCA</t>
        </is>
      </c>
      <c r="I636" t="n">
        <v>6.1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24736-2025</t>
        </is>
      </c>
      <c r="B637" t="inlineStr">
        <is>
          <t>avverkningsanmälan</t>
        </is>
      </c>
      <c r="C637" t="inlineStr">
        <is>
          <t>Föryngringsavverkning</t>
        </is>
      </c>
      <c r="D637" s="1" t="n">
        <v>45799</v>
      </c>
      <c r="E637" s="1" t="n">
        <v>46318</v>
      </c>
      <c r="F637" t="inlineStr">
        <is>
          <t>JÄMTLANDS LÄN</t>
        </is>
      </c>
      <c r="G637" t="inlineStr">
        <is>
          <t>STRÖMSUND</t>
        </is>
      </c>
      <c r="H637" t="inlineStr">
        <is>
          <t>SCA</t>
        </is>
      </c>
      <c r="I637" t="n">
        <v>6.9</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8812-2025</t>
        </is>
      </c>
      <c r="B638" t="inlineStr">
        <is>
          <t>avverkningsanmälan</t>
        </is>
      </c>
      <c r="C638" t="inlineStr">
        <is>
          <t>Föryngringsavverkning</t>
        </is>
      </c>
      <c r="D638" s="1" t="n">
        <v>45712</v>
      </c>
      <c r="E638" s="1" t="n">
        <v>46318</v>
      </c>
      <c r="F638" t="inlineStr">
        <is>
          <t>JÄMTLANDS LÄN</t>
        </is>
      </c>
      <c r="G638" t="inlineStr">
        <is>
          <t>STRÖMSUND</t>
        </is>
      </c>
      <c r="H638" t="inlineStr">
        <is>
          <t>Kyrkan</t>
        </is>
      </c>
      <c r="I638" t="n">
        <v>38.1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26406-2023</t>
        </is>
      </c>
      <c r="B639" t="inlineStr">
        <is>
          <t>avverkningsanmälan</t>
        </is>
      </c>
      <c r="C639" t="inlineStr">
        <is>
          <t>Föryngringsavverkning</t>
        </is>
      </c>
      <c r="D639" s="1" t="n">
        <v>45089</v>
      </c>
      <c r="E639" s="1" t="n">
        <v>46318</v>
      </c>
      <c r="F639" t="inlineStr">
        <is>
          <t>JÄMTLANDS LÄN</t>
        </is>
      </c>
      <c r="G639" t="inlineStr">
        <is>
          <t>STRÖMSUND</t>
        </is>
      </c>
      <c r="I639" t="n">
        <v>12.8</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25656-2025</t>
        </is>
      </c>
      <c r="B640" t="inlineStr">
        <is>
          <t>avverkningsanmälan</t>
        </is>
      </c>
      <c r="C640" t="inlineStr">
        <is>
          <t>Föryngringsavverkning</t>
        </is>
      </c>
      <c r="D640" s="1" t="n">
        <v>45803</v>
      </c>
      <c r="E640" s="1" t="n">
        <v>46318</v>
      </c>
      <c r="F640" t="inlineStr">
        <is>
          <t>JÄMTLANDS LÄN</t>
        </is>
      </c>
      <c r="G640" t="inlineStr">
        <is>
          <t>STRÖMSUND</t>
        </is>
      </c>
      <c r="H640" t="inlineStr">
        <is>
          <t>SCA</t>
        </is>
      </c>
      <c r="I640" t="n">
        <v>4.6</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25520-2025</t>
        </is>
      </c>
      <c r="B641" t="inlineStr">
        <is>
          <t>avverkningsanmälan</t>
        </is>
      </c>
      <c r="C641" t="inlineStr">
        <is>
          <t>Föryngringsavverkning</t>
        </is>
      </c>
      <c r="D641" s="1" t="n">
        <v>45803</v>
      </c>
      <c r="E641" s="1" t="n">
        <v>46318</v>
      </c>
      <c r="F641" t="inlineStr">
        <is>
          <t>JÄMTLANDS LÄN</t>
        </is>
      </c>
      <c r="G641" t="inlineStr">
        <is>
          <t>STRÖMSUND</t>
        </is>
      </c>
      <c r="H641" t="inlineStr">
        <is>
          <t>SCA</t>
        </is>
      </c>
      <c r="I641" t="n">
        <v>1.3</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14894-2022</t>
        </is>
      </c>
      <c r="B642" t="inlineStr">
        <is>
          <t>avverkningsanmälan</t>
        </is>
      </c>
      <c r="C642" t="inlineStr">
        <is>
          <t>Avverkning för att bevara och utveckla /försöksver</t>
        </is>
      </c>
      <c r="D642" s="1" t="n">
        <v>44656</v>
      </c>
      <c r="E642" s="1" t="n">
        <v>46318</v>
      </c>
      <c r="F642" t="inlineStr">
        <is>
          <t>JÄMTLANDS LÄN</t>
        </is>
      </c>
      <c r="G642" t="inlineStr">
        <is>
          <t>STRÖMSUND</t>
        </is>
      </c>
      <c r="H642" t="inlineStr">
        <is>
          <t>SCA</t>
        </is>
      </c>
      <c r="I642" t="n">
        <v>4.5</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35377-2022</t>
        </is>
      </c>
      <c r="B643" t="inlineStr">
        <is>
          <t>avverkningsanmälan</t>
        </is>
      </c>
      <c r="C643" t="inlineStr">
        <is>
          <t>Föryngringsavverkning</t>
        </is>
      </c>
      <c r="D643" s="1" t="n">
        <v>44798</v>
      </c>
      <c r="E643" s="1" t="n">
        <v>46318</v>
      </c>
      <c r="F643" t="inlineStr">
        <is>
          <t>JÄMTLANDS LÄN</t>
        </is>
      </c>
      <c r="G643" t="inlineStr">
        <is>
          <t>STRÖMSUND</t>
        </is>
      </c>
      <c r="H643" t="inlineStr">
        <is>
          <t>Kommuner</t>
        </is>
      </c>
      <c r="I643" t="n">
        <v>3.4</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38642-2023</t>
        </is>
      </c>
      <c r="B644" t="inlineStr">
        <is>
          <t>avverkningsanmälan</t>
        </is>
      </c>
      <c r="C644" t="inlineStr">
        <is>
          <t>Föryngringsavverkning</t>
        </is>
      </c>
      <c r="D644" s="1" t="n">
        <v>45162</v>
      </c>
      <c r="E644" s="1" t="n">
        <v>46318</v>
      </c>
      <c r="F644" t="inlineStr">
        <is>
          <t>JÄMTLANDS LÄN</t>
        </is>
      </c>
      <c r="G644" t="inlineStr">
        <is>
          <t>STRÖMSUND</t>
        </is>
      </c>
      <c r="H644" t="inlineStr">
        <is>
          <t>Holmen skog AB</t>
        </is>
      </c>
      <c r="I644" t="n">
        <v>12.6</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58905-2022</t>
        </is>
      </c>
      <c r="B645" t="inlineStr">
        <is>
          <t>avverkningsanmälan</t>
        </is>
      </c>
      <c r="C645" t="inlineStr">
        <is>
          <t>Avverkning för annat ändamål</t>
        </is>
      </c>
      <c r="D645" s="1" t="n">
        <v>44903</v>
      </c>
      <c r="E645" s="1" t="n">
        <v>46318</v>
      </c>
      <c r="F645" t="inlineStr">
        <is>
          <t>JÄMTLANDS LÄN</t>
        </is>
      </c>
      <c r="G645" t="inlineStr">
        <is>
          <t>STRÖMSUND</t>
        </is>
      </c>
      <c r="I645" t="n">
        <v>0.7</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39870-2023</t>
        </is>
      </c>
      <c r="B646" t="inlineStr">
        <is>
          <t>avverkningsanmälan</t>
        </is>
      </c>
      <c r="C646" t="inlineStr">
        <is>
          <t>Föryngringsavverkning</t>
        </is>
      </c>
      <c r="D646" s="1" t="n">
        <v>45168</v>
      </c>
      <c r="E646" s="1" t="n">
        <v>46318</v>
      </c>
      <c r="F646" t="inlineStr">
        <is>
          <t>JÄMTLANDS LÄN</t>
        </is>
      </c>
      <c r="G646" t="inlineStr">
        <is>
          <t>STRÖMSUND</t>
        </is>
      </c>
      <c r="I646" t="n">
        <v>34</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39599-2024</t>
        </is>
      </c>
      <c r="B647" t="inlineStr">
        <is>
          <t>avverkningsanmälan</t>
        </is>
      </c>
      <c r="C647" t="inlineStr">
        <is>
          <t>Föryngringsavverkning</t>
        </is>
      </c>
      <c r="D647" s="1" t="n">
        <v>45552</v>
      </c>
      <c r="E647" s="1" t="n">
        <v>46318</v>
      </c>
      <c r="F647" t="inlineStr">
        <is>
          <t>JÄMTLANDS LÄN</t>
        </is>
      </c>
      <c r="G647" t="inlineStr">
        <is>
          <t>STRÖMSUND</t>
        </is>
      </c>
      <c r="I647" t="n">
        <v>2.7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25311-2025</t>
        </is>
      </c>
      <c r="B648" t="inlineStr">
        <is>
          <t>avverkningsanmälan</t>
        </is>
      </c>
      <c r="C648" t="inlineStr">
        <is>
          <t>Avverkning för att bevara och utveckla /försöksver</t>
        </is>
      </c>
      <c r="D648" s="1" t="n">
        <v>45800</v>
      </c>
      <c r="E648" s="1" t="n">
        <v>46318</v>
      </c>
      <c r="F648" t="inlineStr">
        <is>
          <t>JÄMTLANDS LÄN</t>
        </is>
      </c>
      <c r="G648" t="inlineStr">
        <is>
          <t>STRÖMSUND</t>
        </is>
      </c>
      <c r="H648" t="inlineStr">
        <is>
          <t>SCA</t>
        </is>
      </c>
      <c r="I648" t="n">
        <v>1.4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25439-2025</t>
        </is>
      </c>
      <c r="B649" t="inlineStr">
        <is>
          <t>avverkningsanmälan</t>
        </is>
      </c>
      <c r="C649" t="inlineStr">
        <is>
          <t>Föryngringsavverkning</t>
        </is>
      </c>
      <c r="D649" s="1" t="n">
        <v>45801</v>
      </c>
      <c r="E649" s="1" t="n">
        <v>46318</v>
      </c>
      <c r="F649" t="inlineStr">
        <is>
          <t>JÄMTLANDS LÄN</t>
        </is>
      </c>
      <c r="G649" t="inlineStr">
        <is>
          <t>STRÖMSUND</t>
        </is>
      </c>
      <c r="H649" t="inlineStr">
        <is>
          <t>SCA</t>
        </is>
      </c>
      <c r="I649" t="n">
        <v>2.1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25354-2025</t>
        </is>
      </c>
      <c r="B650" t="inlineStr">
        <is>
          <t>avverkningsanmälan</t>
        </is>
      </c>
      <c r="C650" t="inlineStr">
        <is>
          <t>Föryngringsavverkning</t>
        </is>
      </c>
      <c r="D650" s="1" t="n">
        <v>45800</v>
      </c>
      <c r="E650" s="1" t="n">
        <v>46318</v>
      </c>
      <c r="F650" t="inlineStr">
        <is>
          <t>JÄMTLANDS LÄN</t>
        </is>
      </c>
      <c r="G650" t="inlineStr">
        <is>
          <t>STRÖMSUND</t>
        </is>
      </c>
      <c r="H650" t="inlineStr">
        <is>
          <t>SCA</t>
        </is>
      </c>
      <c r="I650" t="n">
        <v>3.2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25444-2025</t>
        </is>
      </c>
      <c r="B651" t="inlineStr">
        <is>
          <t>avverkningsanmälan</t>
        </is>
      </c>
      <c r="C651" t="inlineStr">
        <is>
          <t>Avverkning för annat ändamål</t>
        </is>
      </c>
      <c r="D651" s="1" t="n">
        <v>45801</v>
      </c>
      <c r="E651" s="1" t="n">
        <v>46318</v>
      </c>
      <c r="F651" t="inlineStr">
        <is>
          <t>JÄMTLANDS LÄN</t>
        </is>
      </c>
      <c r="G651" t="inlineStr">
        <is>
          <t>STRÖMSUND</t>
        </is>
      </c>
      <c r="I651" t="n">
        <v>0.2</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25156-2025</t>
        </is>
      </c>
      <c r="B652" t="inlineStr">
        <is>
          <t>avverkningsanmälan</t>
        </is>
      </c>
      <c r="C652" t="inlineStr">
        <is>
          <t>Föryngringsavverkning</t>
        </is>
      </c>
      <c r="D652" s="1" t="n">
        <v>45800</v>
      </c>
      <c r="E652" s="1" t="n">
        <v>46318</v>
      </c>
      <c r="F652" t="inlineStr">
        <is>
          <t>JÄMTLANDS LÄN</t>
        </is>
      </c>
      <c r="G652" t="inlineStr">
        <is>
          <t>STRÖMSUND</t>
        </is>
      </c>
      <c r="H652" t="inlineStr">
        <is>
          <t>SCA</t>
        </is>
      </c>
      <c r="I652" t="n">
        <v>7.4</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19026-2023</t>
        </is>
      </c>
      <c r="B653" t="inlineStr">
        <is>
          <t>avverkningsanmälan</t>
        </is>
      </c>
      <c r="C653" t="inlineStr">
        <is>
          <t>Föryngringsavverkning</t>
        </is>
      </c>
      <c r="D653" s="1" t="n">
        <v>45047</v>
      </c>
      <c r="E653" s="1" t="n">
        <v>46318</v>
      </c>
      <c r="F653" t="inlineStr">
        <is>
          <t>JÄMTLANDS LÄN</t>
        </is>
      </c>
      <c r="G653" t="inlineStr">
        <is>
          <t>STRÖMSUND</t>
        </is>
      </c>
      <c r="I653" t="n">
        <v>15.1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19029-2023</t>
        </is>
      </c>
      <c r="B654" t="inlineStr">
        <is>
          <t>avverkningsanmälan</t>
        </is>
      </c>
      <c r="C654" t="inlineStr">
        <is>
          <t>Föryngringsavverkning</t>
        </is>
      </c>
      <c r="D654" s="1" t="n">
        <v>45047</v>
      </c>
      <c r="E654" s="1" t="n">
        <v>46318</v>
      </c>
      <c r="F654" t="inlineStr">
        <is>
          <t>JÄMTLANDS LÄN</t>
        </is>
      </c>
      <c r="G654" t="inlineStr">
        <is>
          <t>STRÖMSUND</t>
        </is>
      </c>
      <c r="I654" t="n">
        <v>0.6</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45720-2022</t>
        </is>
      </c>
      <c r="B655" t="inlineStr">
        <is>
          <t>avverkningsanmälan</t>
        </is>
      </c>
      <c r="C655" t="inlineStr">
        <is>
          <t>Föryngringsavverkning</t>
        </is>
      </c>
      <c r="D655" s="1" t="n">
        <v>44845</v>
      </c>
      <c r="E655" s="1" t="n">
        <v>46318</v>
      </c>
      <c r="F655" t="inlineStr">
        <is>
          <t>JÄMTLANDS LÄN</t>
        </is>
      </c>
      <c r="G655" t="inlineStr">
        <is>
          <t>STRÖMSUND</t>
        </is>
      </c>
      <c r="H655" t="inlineStr">
        <is>
          <t>SCA</t>
        </is>
      </c>
      <c r="I655" t="n">
        <v>1.7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35578-2024</t>
        </is>
      </c>
      <c r="B656" t="inlineStr">
        <is>
          <t>avverkningsanmälan</t>
        </is>
      </c>
      <c r="C656" t="inlineStr">
        <is>
          <t>Föryngringsavverkning</t>
        </is>
      </c>
      <c r="D656" s="1" t="n">
        <v>45531</v>
      </c>
      <c r="E656" s="1" t="n">
        <v>46318</v>
      </c>
      <c r="F656" t="inlineStr">
        <is>
          <t>JÄMTLANDS LÄN</t>
        </is>
      </c>
      <c r="G656" t="inlineStr">
        <is>
          <t>STRÖMSUND</t>
        </is>
      </c>
      <c r="I656" t="n">
        <v>4.6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35178-2024</t>
        </is>
      </c>
      <c r="B657" t="inlineStr">
        <is>
          <t>avverkningsanmälan</t>
        </is>
      </c>
      <c r="C657" t="inlineStr">
        <is>
          <t>Föryngringsavverkning</t>
        </is>
      </c>
      <c r="D657" s="1" t="n">
        <v>45530</v>
      </c>
      <c r="E657" s="1" t="n">
        <v>46318</v>
      </c>
      <c r="F657" t="inlineStr">
        <is>
          <t>JÄMTLANDS LÄN</t>
        </is>
      </c>
      <c r="G657" t="inlineStr">
        <is>
          <t>STRÖMSUND</t>
        </is>
      </c>
      <c r="I657" t="n">
        <v>1.1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53400-2022</t>
        </is>
      </c>
      <c r="B658" t="inlineStr">
        <is>
          <t>avverkningsanmälan</t>
        </is>
      </c>
      <c r="C658" t="inlineStr">
        <is>
          <t>Föryngringsavverkning</t>
        </is>
      </c>
      <c r="D658" s="1" t="n">
        <v>44879</v>
      </c>
      <c r="E658" s="1" t="n">
        <v>46318</v>
      </c>
      <c r="F658" t="inlineStr">
        <is>
          <t>JÄMTLANDS LÄN</t>
        </is>
      </c>
      <c r="G658" t="inlineStr">
        <is>
          <t>STRÖMSUND</t>
        </is>
      </c>
      <c r="I658" t="n">
        <v>0.9</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26220-2025</t>
        </is>
      </c>
      <c r="B659" t="inlineStr">
        <is>
          <t>avverkningsanmälan</t>
        </is>
      </c>
      <c r="C659" t="inlineStr">
        <is>
          <t>Föryngringsavverkning</t>
        </is>
      </c>
      <c r="D659" s="1" t="n">
        <v>45805</v>
      </c>
      <c r="E659" s="1" t="n">
        <v>46318</v>
      </c>
      <c r="F659" t="inlineStr">
        <is>
          <t>JÄMTLANDS LÄN</t>
        </is>
      </c>
      <c r="G659" t="inlineStr">
        <is>
          <t>STRÖMSUND</t>
        </is>
      </c>
      <c r="H659" t="inlineStr">
        <is>
          <t>SCA</t>
        </is>
      </c>
      <c r="I659" t="n">
        <v>11.3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47098-2022</t>
        </is>
      </c>
      <c r="B660" t="inlineStr">
        <is>
          <t>avverkningsanmälan</t>
        </is>
      </c>
      <c r="C660" t="inlineStr">
        <is>
          <t>Föryngringsavverkning</t>
        </is>
      </c>
      <c r="D660" s="1" t="n">
        <v>44852</v>
      </c>
      <c r="E660" s="1" t="n">
        <v>46318</v>
      </c>
      <c r="F660" t="inlineStr">
        <is>
          <t>JÄMTLANDS LÄN</t>
        </is>
      </c>
      <c r="G660" t="inlineStr">
        <is>
          <t>STRÖMSUND</t>
        </is>
      </c>
      <c r="I660" t="n">
        <v>1.9</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26339-2025</t>
        </is>
      </c>
      <c r="B661" t="inlineStr">
        <is>
          <t>avverkningsanmälan</t>
        </is>
      </c>
      <c r="C661" t="inlineStr">
        <is>
          <t>Föryngringsavverkning</t>
        </is>
      </c>
      <c r="D661" s="1" t="n">
        <v>45805</v>
      </c>
      <c r="E661" s="1" t="n">
        <v>46318</v>
      </c>
      <c r="F661" t="inlineStr">
        <is>
          <t>JÄMTLANDS LÄN</t>
        </is>
      </c>
      <c r="G661" t="inlineStr">
        <is>
          <t>STRÖMSUND</t>
        </is>
      </c>
      <c r="H661" t="inlineStr">
        <is>
          <t>SCA</t>
        </is>
      </c>
      <c r="I661" t="n">
        <v>3.7</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43565-2023</t>
        </is>
      </c>
      <c r="B662" t="inlineStr">
        <is>
          <t>avverkningsanmälan</t>
        </is>
      </c>
      <c r="C662" t="inlineStr">
        <is>
          <t>Avverkning för annat ändamål</t>
        </is>
      </c>
      <c r="D662" s="1" t="n">
        <v>45181</v>
      </c>
      <c r="E662" s="1" t="n">
        <v>46318</v>
      </c>
      <c r="F662" t="inlineStr">
        <is>
          <t>JÄMTLANDS LÄN</t>
        </is>
      </c>
      <c r="G662" t="inlineStr">
        <is>
          <t>STRÖMSUND</t>
        </is>
      </c>
      <c r="I662" t="n">
        <v>3.2</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26265-2025</t>
        </is>
      </c>
      <c r="B663" t="inlineStr">
        <is>
          <t>avverkningsanmälan</t>
        </is>
      </c>
      <c r="C663" t="inlineStr">
        <is>
          <t>Avverkning för annat ändamål</t>
        </is>
      </c>
      <c r="D663" s="1" t="n">
        <v>45805</v>
      </c>
      <c r="E663" s="1" t="n">
        <v>46318</v>
      </c>
      <c r="F663" t="inlineStr">
        <is>
          <t>JÄMTLANDS LÄN</t>
        </is>
      </c>
      <c r="G663" t="inlineStr">
        <is>
          <t>STRÖMSUND</t>
        </is>
      </c>
      <c r="I663" t="n">
        <v>0.6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53149-2022</t>
        </is>
      </c>
      <c r="B664" t="inlineStr">
        <is>
          <t>avverkningsanmälan</t>
        </is>
      </c>
      <c r="C664" t="inlineStr">
        <is>
          <t>Avverkning för annat ändamål</t>
        </is>
      </c>
      <c r="D664" s="1" t="n">
        <v>44876</v>
      </c>
      <c r="E664" s="1" t="n">
        <v>46318</v>
      </c>
      <c r="F664" t="inlineStr">
        <is>
          <t>JÄMTLANDS LÄN</t>
        </is>
      </c>
      <c r="G664" t="inlineStr">
        <is>
          <t>STRÖMSUND</t>
        </is>
      </c>
      <c r="H664" t="inlineStr">
        <is>
          <t>SCA</t>
        </is>
      </c>
      <c r="I664" t="n">
        <v>2.8</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36176-2024</t>
        </is>
      </c>
      <c r="B665" t="inlineStr">
        <is>
          <t>avverkningsanmälan</t>
        </is>
      </c>
      <c r="C665" t="inlineStr">
        <is>
          <t>Avverkning för annat ändamål</t>
        </is>
      </c>
      <c r="D665" s="1" t="n">
        <v>45534</v>
      </c>
      <c r="E665" s="1" t="n">
        <v>46318</v>
      </c>
      <c r="F665" t="inlineStr">
        <is>
          <t>JÄMTLANDS LÄN</t>
        </is>
      </c>
      <c r="G665" t="inlineStr">
        <is>
          <t>STRÖMSUND</t>
        </is>
      </c>
      <c r="I665" t="n">
        <v>2.3</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4460-2022</t>
        </is>
      </c>
      <c r="B666" t="inlineStr">
        <is>
          <t>avverkningsanmälan</t>
        </is>
      </c>
      <c r="C666" t="inlineStr">
        <is>
          <t>Föryngringsavverkning</t>
        </is>
      </c>
      <c r="D666" s="1" t="n">
        <v>44589</v>
      </c>
      <c r="E666" s="1" t="n">
        <v>46318</v>
      </c>
      <c r="F666" t="inlineStr">
        <is>
          <t>JÄMTLANDS LÄN</t>
        </is>
      </c>
      <c r="G666" t="inlineStr">
        <is>
          <t>STRÖMSUND</t>
        </is>
      </c>
      <c r="I666" t="n">
        <v>4.5</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55655-2023</t>
        </is>
      </c>
      <c r="B667" t="inlineStr">
        <is>
          <t>avverkningsanmälan</t>
        </is>
      </c>
      <c r="C667" t="inlineStr">
        <is>
          <t>Föryngringsavverkning</t>
        </is>
      </c>
      <c r="D667" s="1" t="n">
        <v>45238</v>
      </c>
      <c r="E667" s="1" t="n">
        <v>46318</v>
      </c>
      <c r="F667" t="inlineStr">
        <is>
          <t>JÄMTLANDS LÄN</t>
        </is>
      </c>
      <c r="G667" t="inlineStr">
        <is>
          <t>STRÖMSUND</t>
        </is>
      </c>
      <c r="I667" t="n">
        <v>1.4</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7542-2025</t>
        </is>
      </c>
      <c r="B668" t="inlineStr">
        <is>
          <t>avverkningsanmälan</t>
        </is>
      </c>
      <c r="C668" t="inlineStr">
        <is>
          <t>Föryngringsavverkning</t>
        </is>
      </c>
      <c r="D668" s="1" t="n">
        <v>45705</v>
      </c>
      <c r="E668" s="1" t="n">
        <v>46318</v>
      </c>
      <c r="F668" t="inlineStr">
        <is>
          <t>JÄMTLANDS LÄN</t>
        </is>
      </c>
      <c r="G668" t="inlineStr">
        <is>
          <t>STRÖMSUND</t>
        </is>
      </c>
      <c r="H668" t="inlineStr">
        <is>
          <t>SCA</t>
        </is>
      </c>
      <c r="I668" t="n">
        <v>2.6</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34179-2024</t>
        </is>
      </c>
      <c r="B669" t="inlineStr">
        <is>
          <t>avverkningsanmälan</t>
        </is>
      </c>
      <c r="C669" t="inlineStr">
        <is>
          <t>Föryngringsavverkning</t>
        </is>
      </c>
      <c r="D669" s="1" t="n">
        <v>45524</v>
      </c>
      <c r="E669" s="1" t="n">
        <v>46318</v>
      </c>
      <c r="F669" t="inlineStr">
        <is>
          <t>JÄMTLANDS LÄN</t>
        </is>
      </c>
      <c r="G669" t="inlineStr">
        <is>
          <t>STRÖMSUND</t>
        </is>
      </c>
      <c r="I669" t="n">
        <v>0.9</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40602-2022</t>
        </is>
      </c>
      <c r="B670" t="inlineStr">
        <is>
          <t>avverkningsanmälan</t>
        </is>
      </c>
      <c r="C670" t="inlineStr">
        <is>
          <t>Föryngringsavverkning</t>
        </is>
      </c>
      <c r="D670" s="1" t="n">
        <v>44823</v>
      </c>
      <c r="E670" s="1" t="n">
        <v>46318</v>
      </c>
      <c r="F670" t="inlineStr">
        <is>
          <t>JÄMTLANDS LÄN</t>
        </is>
      </c>
      <c r="G670" t="inlineStr">
        <is>
          <t>STRÖMSUND</t>
        </is>
      </c>
      <c r="I670" t="n">
        <v>1.6</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13584-2024</t>
        </is>
      </c>
      <c r="B671" t="inlineStr">
        <is>
          <t>avverkningsanmälan</t>
        </is>
      </c>
      <c r="C671" t="inlineStr">
        <is>
          <t>Föryngringsavverkning</t>
        </is>
      </c>
      <c r="D671" s="1" t="n">
        <v>45389</v>
      </c>
      <c r="E671" s="1" t="n">
        <v>46318</v>
      </c>
      <c r="F671" t="inlineStr">
        <is>
          <t>JÄMTLANDS LÄN</t>
        </is>
      </c>
      <c r="G671" t="inlineStr">
        <is>
          <t>STRÖMSUND</t>
        </is>
      </c>
      <c r="I671" t="n">
        <v>47.8</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26263-2025</t>
        </is>
      </c>
      <c r="B672" t="inlineStr">
        <is>
          <t>avverkningsanmälan</t>
        </is>
      </c>
      <c r="C672" t="inlineStr">
        <is>
          <t>Föryngringsavverkning</t>
        </is>
      </c>
      <c r="D672" s="1" t="n">
        <v>45805</v>
      </c>
      <c r="E672" s="1" t="n">
        <v>46318</v>
      </c>
      <c r="F672" t="inlineStr">
        <is>
          <t>JÄMTLANDS LÄN</t>
        </is>
      </c>
      <c r="G672" t="inlineStr">
        <is>
          <t>STRÖMSUND</t>
        </is>
      </c>
      <c r="I672" t="n">
        <v>4.1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6879-2025</t>
        </is>
      </c>
      <c r="B673" t="inlineStr">
        <is>
          <t>avverkningsanmälan</t>
        </is>
      </c>
      <c r="C673" t="inlineStr">
        <is>
          <t>Föryngringsavverkning</t>
        </is>
      </c>
      <c r="D673" s="1" t="n">
        <v>45701</v>
      </c>
      <c r="E673" s="1" t="n">
        <v>46318</v>
      </c>
      <c r="F673" t="inlineStr">
        <is>
          <t>JÄMTLANDS LÄN</t>
        </is>
      </c>
      <c r="G673" t="inlineStr">
        <is>
          <t>STRÖMSUND</t>
        </is>
      </c>
      <c r="H673" t="inlineStr">
        <is>
          <t>SCA</t>
        </is>
      </c>
      <c r="I673" t="n">
        <v>21.3</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14460-2022</t>
        </is>
      </c>
      <c r="B674" t="inlineStr">
        <is>
          <t>avverkningsanmälan</t>
        </is>
      </c>
      <c r="C674" t="inlineStr">
        <is>
          <t>Föryngringsavverkning</t>
        </is>
      </c>
      <c r="D674" s="1" t="n">
        <v>44654</v>
      </c>
      <c r="E674" s="1" t="n">
        <v>46318</v>
      </c>
      <c r="F674" t="inlineStr">
        <is>
          <t>JÄMTLANDS LÄN</t>
        </is>
      </c>
      <c r="G674" t="inlineStr">
        <is>
          <t>STRÖMSUND</t>
        </is>
      </c>
      <c r="I674" t="n">
        <v>2</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26375-2025</t>
        </is>
      </c>
      <c r="B675" t="inlineStr">
        <is>
          <t>avverkningsanmälan</t>
        </is>
      </c>
      <c r="C675" t="inlineStr">
        <is>
          <t>Föryngringsavverkning</t>
        </is>
      </c>
      <c r="D675" s="1" t="n">
        <v>45806</v>
      </c>
      <c r="E675" s="1" t="n">
        <v>46318</v>
      </c>
      <c r="F675" t="inlineStr">
        <is>
          <t>JÄMTLANDS LÄN</t>
        </is>
      </c>
      <c r="G675" t="inlineStr">
        <is>
          <t>STRÖMSUND</t>
        </is>
      </c>
      <c r="H675" t="inlineStr">
        <is>
          <t>SCA</t>
        </is>
      </c>
      <c r="I675" t="n">
        <v>1.5</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1798-2024</t>
        </is>
      </c>
      <c r="B676" t="inlineStr">
        <is>
          <t>avverkningsanmälan</t>
        </is>
      </c>
      <c r="C676" t="inlineStr">
        <is>
          <t>Föryngringsavverkning</t>
        </is>
      </c>
      <c r="D676" s="1" t="n">
        <v>45307</v>
      </c>
      <c r="E676" s="1" t="n">
        <v>46318</v>
      </c>
      <c r="F676" t="inlineStr">
        <is>
          <t>JÄMTLANDS LÄN</t>
        </is>
      </c>
      <c r="G676" t="inlineStr">
        <is>
          <t>STRÖMSUND</t>
        </is>
      </c>
      <c r="I676" t="n">
        <v>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48917-2024</t>
        </is>
      </c>
      <c r="B677" t="inlineStr">
        <is>
          <t>avverkningsanmälan</t>
        </is>
      </c>
      <c r="C677" t="inlineStr">
        <is>
          <t>Föryngringsavverkning</t>
        </is>
      </c>
      <c r="D677" s="1" t="n">
        <v>45594</v>
      </c>
      <c r="E677" s="1" t="n">
        <v>46318</v>
      </c>
      <c r="F677" t="inlineStr">
        <is>
          <t>JÄMTLANDS LÄN</t>
        </is>
      </c>
      <c r="G677" t="inlineStr">
        <is>
          <t>STRÖMSUND</t>
        </is>
      </c>
      <c r="H677" t="inlineStr">
        <is>
          <t>SCA</t>
        </is>
      </c>
      <c r="I677" t="n">
        <v>2.6</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57278-2022</t>
        </is>
      </c>
      <c r="B678" t="inlineStr">
        <is>
          <t>avverkningsanmälan</t>
        </is>
      </c>
      <c r="C678" t="inlineStr">
        <is>
          <t>Föryngringsavverkning</t>
        </is>
      </c>
      <c r="D678" s="1" t="n">
        <v>44895</v>
      </c>
      <c r="E678" s="1" t="n">
        <v>46318</v>
      </c>
      <c r="F678" t="inlineStr">
        <is>
          <t>JÄMTLANDS LÄN</t>
        </is>
      </c>
      <c r="G678" t="inlineStr">
        <is>
          <t>STRÖMSUND</t>
        </is>
      </c>
      <c r="H678" t="inlineStr">
        <is>
          <t>SCA</t>
        </is>
      </c>
      <c r="I678" t="n">
        <v>9.9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17435-2024</t>
        </is>
      </c>
      <c r="B679" t="inlineStr">
        <is>
          <t>avverkningsanmälan</t>
        </is>
      </c>
      <c r="C679" t="inlineStr">
        <is>
          <t>Föryngringsavverkning</t>
        </is>
      </c>
      <c r="D679" s="1" t="n">
        <v>45415</v>
      </c>
      <c r="E679" s="1" t="n">
        <v>46318</v>
      </c>
      <c r="F679" t="inlineStr">
        <is>
          <t>JÄMTLANDS LÄN</t>
        </is>
      </c>
      <c r="G679" t="inlineStr">
        <is>
          <t>STRÖMSUND</t>
        </is>
      </c>
      <c r="I679" t="n">
        <v>1.8</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6894-2024</t>
        </is>
      </c>
      <c r="B680" t="inlineStr">
        <is>
          <t>avverkningsanmälan</t>
        </is>
      </c>
      <c r="C680" t="inlineStr">
        <is>
          <t>Föryngringsavverkning</t>
        </is>
      </c>
      <c r="D680" s="1" t="n">
        <v>45342</v>
      </c>
      <c r="E680" s="1" t="n">
        <v>46318</v>
      </c>
      <c r="F680" t="inlineStr">
        <is>
          <t>JÄMTLANDS LÄN</t>
        </is>
      </c>
      <c r="G680" t="inlineStr">
        <is>
          <t>STRÖMSUND</t>
        </is>
      </c>
      <c r="I680" t="n">
        <v>16.3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6883-2025</t>
        </is>
      </c>
      <c r="B681" t="inlineStr">
        <is>
          <t>avverkningsanmälan</t>
        </is>
      </c>
      <c r="C681" t="inlineStr">
        <is>
          <t>Föryngringsavverkning</t>
        </is>
      </c>
      <c r="D681" s="1" t="n">
        <v>45701</v>
      </c>
      <c r="E681" s="1" t="n">
        <v>46318</v>
      </c>
      <c r="F681" t="inlineStr">
        <is>
          <t>JÄMTLANDS LÄN</t>
        </is>
      </c>
      <c r="G681" t="inlineStr">
        <is>
          <t>STRÖMSUND</t>
        </is>
      </c>
      <c r="H681" t="inlineStr">
        <is>
          <t>SCA</t>
        </is>
      </c>
      <c r="I681" t="n">
        <v>8.300000000000001</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27276-2024</t>
        </is>
      </c>
      <c r="B682" t="inlineStr">
        <is>
          <t>avverkningsanmälan</t>
        </is>
      </c>
      <c r="C682" t="inlineStr">
        <is>
          <t>Föryngringsavverkning</t>
        </is>
      </c>
      <c r="D682" s="1" t="n">
        <v>45471</v>
      </c>
      <c r="E682" s="1" t="n">
        <v>46318</v>
      </c>
      <c r="F682" t="inlineStr">
        <is>
          <t>JÄMTLANDS LÄN</t>
        </is>
      </c>
      <c r="G682" t="inlineStr">
        <is>
          <t>STRÖMSUND</t>
        </is>
      </c>
      <c r="I682" t="n">
        <v>1.8</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26939-2025</t>
        </is>
      </c>
      <c r="B683" t="inlineStr">
        <is>
          <t>avverkningsanmälan</t>
        </is>
      </c>
      <c r="C683" t="inlineStr">
        <is>
          <t>Föryngringsavverkning</t>
        </is>
      </c>
      <c r="D683" s="1" t="n">
        <v>45811</v>
      </c>
      <c r="E683" s="1" t="n">
        <v>46318</v>
      </c>
      <c r="F683" t="inlineStr">
        <is>
          <t>JÄMTLANDS LÄN</t>
        </is>
      </c>
      <c r="G683" t="inlineStr">
        <is>
          <t>STRÖMSUND</t>
        </is>
      </c>
      <c r="I683" t="n">
        <v>4.9</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26773-2025</t>
        </is>
      </c>
      <c r="B684" t="inlineStr">
        <is>
          <t>avverkningsanmälan</t>
        </is>
      </c>
      <c r="C684" t="inlineStr">
        <is>
          <t>Föryngringsavverkning</t>
        </is>
      </c>
      <c r="D684" s="1" t="n">
        <v>45810</v>
      </c>
      <c r="E684" s="1" t="n">
        <v>46318</v>
      </c>
      <c r="F684" t="inlineStr">
        <is>
          <t>JÄMTLANDS LÄN</t>
        </is>
      </c>
      <c r="G684" t="inlineStr">
        <is>
          <t>STRÖMSUND</t>
        </is>
      </c>
      <c r="H684" t="inlineStr">
        <is>
          <t>SCA</t>
        </is>
      </c>
      <c r="I684" t="n">
        <v>13.4</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60848-2023</t>
        </is>
      </c>
      <c r="B685" t="inlineStr">
        <is>
          <t>avverkningsanmälan</t>
        </is>
      </c>
      <c r="C685" t="inlineStr">
        <is>
          <t>Föryngringsavverkning</t>
        </is>
      </c>
      <c r="D685" s="1" t="n">
        <v>45260</v>
      </c>
      <c r="E685" s="1" t="n">
        <v>46318</v>
      </c>
      <c r="F685" t="inlineStr">
        <is>
          <t>JÄMTLANDS LÄN</t>
        </is>
      </c>
      <c r="G685" t="inlineStr">
        <is>
          <t>STRÖMSUND</t>
        </is>
      </c>
      <c r="I685" t="n">
        <v>7.6</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19788-2025</t>
        </is>
      </c>
      <c r="B686" t="inlineStr">
        <is>
          <t>avverkningsanmälan</t>
        </is>
      </c>
      <c r="C686" t="inlineStr">
        <is>
          <t>Föryngringsavverkning</t>
        </is>
      </c>
      <c r="D686" s="1" t="n">
        <v>45771</v>
      </c>
      <c r="E686" s="1" t="n">
        <v>46318</v>
      </c>
      <c r="F686" t="inlineStr">
        <is>
          <t>JÄMTLANDS LÄN</t>
        </is>
      </c>
      <c r="G686" t="inlineStr">
        <is>
          <t>STRÖMSUND</t>
        </is>
      </c>
      <c r="I686" t="n">
        <v>2.5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42237-2022</t>
        </is>
      </c>
      <c r="B687" t="inlineStr">
        <is>
          <t>avverkningsanmälan</t>
        </is>
      </c>
      <c r="C687" t="inlineStr">
        <is>
          <t>Föryngringsavverkning</t>
        </is>
      </c>
      <c r="D687" s="1" t="n">
        <v>44830</v>
      </c>
      <c r="E687" s="1" t="n">
        <v>46318</v>
      </c>
      <c r="F687" t="inlineStr">
        <is>
          <t>JÄMTLANDS LÄN</t>
        </is>
      </c>
      <c r="G687" t="inlineStr">
        <is>
          <t>STRÖMSUND</t>
        </is>
      </c>
      <c r="I687" t="n">
        <v>3.7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1913-2025</t>
        </is>
      </c>
      <c r="B688" t="inlineStr">
        <is>
          <t>avverkningsanmälan</t>
        </is>
      </c>
      <c r="C688" t="inlineStr">
        <is>
          <t>Föryngringsavverkning</t>
        </is>
      </c>
      <c r="D688" s="1" t="n">
        <v>45671</v>
      </c>
      <c r="E688" s="1" t="n">
        <v>46318</v>
      </c>
      <c r="F688" t="inlineStr">
        <is>
          <t>JÄMTLANDS LÄN</t>
        </is>
      </c>
      <c r="G688" t="inlineStr">
        <is>
          <t>STRÖMSUND</t>
        </is>
      </c>
      <c r="H688" t="inlineStr">
        <is>
          <t>SCA</t>
        </is>
      </c>
      <c r="I688" t="n">
        <v>12</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5277-2023</t>
        </is>
      </c>
      <c r="B689" t="inlineStr">
        <is>
          <t>avverkningsanmälan</t>
        </is>
      </c>
      <c r="C689" t="inlineStr">
        <is>
          <t>Avverkning för annat ändamål</t>
        </is>
      </c>
      <c r="D689" s="1" t="n">
        <v>44959</v>
      </c>
      <c r="E689" s="1" t="n">
        <v>46318</v>
      </c>
      <c r="F689" t="inlineStr">
        <is>
          <t>JÄMTLANDS LÄN</t>
        </is>
      </c>
      <c r="G689" t="inlineStr">
        <is>
          <t>STRÖMSUND</t>
        </is>
      </c>
      <c r="I689" t="n">
        <v>0.2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5278-2023</t>
        </is>
      </c>
      <c r="B690" t="inlineStr">
        <is>
          <t>avverkningsanmälan</t>
        </is>
      </c>
      <c r="C690" t="inlineStr">
        <is>
          <t>Föryngringsavverkning</t>
        </is>
      </c>
      <c r="D690" s="1" t="n">
        <v>44959</v>
      </c>
      <c r="E690" s="1" t="n">
        <v>46318</v>
      </c>
      <c r="F690" t="inlineStr">
        <is>
          <t>JÄMTLANDS LÄN</t>
        </is>
      </c>
      <c r="G690" t="inlineStr">
        <is>
          <t>STRÖMSUND</t>
        </is>
      </c>
      <c r="I690" t="n">
        <v>2.2</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13924-2024</t>
        </is>
      </c>
      <c r="B691" t="inlineStr">
        <is>
          <t>avverkningsanmälan</t>
        </is>
      </c>
      <c r="C691" t="inlineStr">
        <is>
          <t>Föryngringsavverkning</t>
        </is>
      </c>
      <c r="D691" s="1" t="n">
        <v>45391</v>
      </c>
      <c r="E691" s="1" t="n">
        <v>46318</v>
      </c>
      <c r="F691" t="inlineStr">
        <is>
          <t>JÄMTLANDS LÄN</t>
        </is>
      </c>
      <c r="G691" t="inlineStr">
        <is>
          <t>STRÖMSUND</t>
        </is>
      </c>
      <c r="I691" t="n">
        <v>1.4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10927-2025</t>
        </is>
      </c>
      <c r="B692" t="inlineStr">
        <is>
          <t>avverkningsanmälan</t>
        </is>
      </c>
      <c r="C692" t="inlineStr">
        <is>
          <t>Föryngringsavverkning</t>
        </is>
      </c>
      <c r="D692" s="1" t="n">
        <v>45722</v>
      </c>
      <c r="E692" s="1" t="n">
        <v>46318</v>
      </c>
      <c r="F692" t="inlineStr">
        <is>
          <t>JÄMTLANDS LÄN</t>
        </is>
      </c>
      <c r="G692" t="inlineStr">
        <is>
          <t>STRÖMSUND</t>
        </is>
      </c>
      <c r="I692" t="n">
        <v>4.8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51694-2024</t>
        </is>
      </c>
      <c r="B693" t="inlineStr">
        <is>
          <t>avverkningsanmälan</t>
        </is>
      </c>
      <c r="C693" t="inlineStr">
        <is>
          <t>Föryngringsavverkning</t>
        </is>
      </c>
      <c r="D693" s="1" t="n">
        <v>45607</v>
      </c>
      <c r="E693" s="1" t="n">
        <v>46318</v>
      </c>
      <c r="F693" t="inlineStr">
        <is>
          <t>JÄMTLANDS LÄN</t>
        </is>
      </c>
      <c r="G693" t="inlineStr">
        <is>
          <t>STRÖMSUND</t>
        </is>
      </c>
      <c r="H693" t="inlineStr">
        <is>
          <t>SCA</t>
        </is>
      </c>
      <c r="I693" t="n">
        <v>82.7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46980-2024</t>
        </is>
      </c>
      <c r="B694" t="inlineStr">
        <is>
          <t>avverkningsanmälan</t>
        </is>
      </c>
      <c r="C694" t="inlineStr">
        <is>
          <t>Föryngringsavverkning</t>
        </is>
      </c>
      <c r="D694" s="1" t="n">
        <v>45586</v>
      </c>
      <c r="E694" s="1" t="n">
        <v>46318</v>
      </c>
      <c r="F694" t="inlineStr">
        <is>
          <t>JÄMTLANDS LÄN</t>
        </is>
      </c>
      <c r="G694" t="inlineStr">
        <is>
          <t>STRÖMSUND</t>
        </is>
      </c>
      <c r="H694" t="inlineStr">
        <is>
          <t>Holmen skog AB</t>
        </is>
      </c>
      <c r="I694" t="n">
        <v>8.9</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59003-2022</t>
        </is>
      </c>
      <c r="B695" t="inlineStr">
        <is>
          <t>avverkningsanmälan</t>
        </is>
      </c>
      <c r="C695" t="inlineStr">
        <is>
          <t>Föryngringsavverkning</t>
        </is>
      </c>
      <c r="D695" s="1" t="n">
        <v>44903</v>
      </c>
      <c r="E695" s="1" t="n">
        <v>46318</v>
      </c>
      <c r="F695" t="inlineStr">
        <is>
          <t>JÄMTLANDS LÄN</t>
        </is>
      </c>
      <c r="G695" t="inlineStr">
        <is>
          <t>STRÖMSUND</t>
        </is>
      </c>
      <c r="I695" t="n">
        <v>0.9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34002-2023</t>
        </is>
      </c>
      <c r="B696" t="inlineStr">
        <is>
          <t>avverkningsanmälan</t>
        </is>
      </c>
      <c r="C696" t="inlineStr">
        <is>
          <t>Föryngringsavverkning</t>
        </is>
      </c>
      <c r="D696" s="1" t="n">
        <v>45134</v>
      </c>
      <c r="E696" s="1" t="n">
        <v>46318</v>
      </c>
      <c r="F696" t="inlineStr">
        <is>
          <t>JÄMTLANDS LÄN</t>
        </is>
      </c>
      <c r="G696" t="inlineStr">
        <is>
          <t>STRÖMSUND</t>
        </is>
      </c>
      <c r="H696" t="inlineStr">
        <is>
          <t>SCA</t>
        </is>
      </c>
      <c r="I696" t="n">
        <v>4</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27196-2025</t>
        </is>
      </c>
      <c r="B697" t="inlineStr">
        <is>
          <t>avverkningsanmälan</t>
        </is>
      </c>
      <c r="C697" t="inlineStr">
        <is>
          <t>Föryngringsavverkning</t>
        </is>
      </c>
      <c r="D697" s="1" t="n">
        <v>45812</v>
      </c>
      <c r="E697" s="1" t="n">
        <v>46318</v>
      </c>
      <c r="F697" t="inlineStr">
        <is>
          <t>JÄMTLANDS LÄN</t>
        </is>
      </c>
      <c r="G697" t="inlineStr">
        <is>
          <t>STRÖMSUND</t>
        </is>
      </c>
      <c r="H697" t="inlineStr">
        <is>
          <t>SCA</t>
        </is>
      </c>
      <c r="I697" t="n">
        <v>3.1</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57016-2022</t>
        </is>
      </c>
      <c r="B698" t="inlineStr">
        <is>
          <t>avverkningsanmälan</t>
        </is>
      </c>
      <c r="C698" t="inlineStr">
        <is>
          <t>Föryngringsavverkning</t>
        </is>
      </c>
      <c r="D698" s="1" t="n">
        <v>44894</v>
      </c>
      <c r="E698" s="1" t="n">
        <v>46318</v>
      </c>
      <c r="F698" t="inlineStr">
        <is>
          <t>JÄMTLANDS LÄN</t>
        </is>
      </c>
      <c r="G698" t="inlineStr">
        <is>
          <t>STRÖMSUND</t>
        </is>
      </c>
      <c r="H698" t="inlineStr">
        <is>
          <t>SCA</t>
        </is>
      </c>
      <c r="I698" t="n">
        <v>2.8</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27648-2025</t>
        </is>
      </c>
      <c r="B699" t="inlineStr">
        <is>
          <t>avverkningsanmälan</t>
        </is>
      </c>
      <c r="C699" t="inlineStr">
        <is>
          <t>Avverkning för annat ändamål</t>
        </is>
      </c>
      <c r="D699" s="1" t="n">
        <v>45813</v>
      </c>
      <c r="E699" s="1" t="n">
        <v>46318</v>
      </c>
      <c r="F699" t="inlineStr">
        <is>
          <t>JÄMTLANDS LÄN</t>
        </is>
      </c>
      <c r="G699" t="inlineStr">
        <is>
          <t>STRÖMSUND</t>
        </is>
      </c>
      <c r="H699" t="inlineStr">
        <is>
          <t>SCA</t>
        </is>
      </c>
      <c r="I699" t="n">
        <v>5.6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27692-2025</t>
        </is>
      </c>
      <c r="B700" t="inlineStr">
        <is>
          <t>avverkningsanmälan</t>
        </is>
      </c>
      <c r="C700" t="inlineStr">
        <is>
          <t>Föryngringsavverkning</t>
        </is>
      </c>
      <c r="D700" s="1" t="n">
        <v>45813</v>
      </c>
      <c r="E700" s="1" t="n">
        <v>46318</v>
      </c>
      <c r="F700" t="inlineStr">
        <is>
          <t>JÄMTLANDS LÄN</t>
        </is>
      </c>
      <c r="G700" t="inlineStr">
        <is>
          <t>STRÖMSUND</t>
        </is>
      </c>
      <c r="H700" t="inlineStr">
        <is>
          <t>SCA</t>
        </is>
      </c>
      <c r="I700" t="n">
        <v>0.7</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27691-2025</t>
        </is>
      </c>
      <c r="B701" t="inlineStr">
        <is>
          <t>avverkningsanmälan</t>
        </is>
      </c>
      <c r="C701" t="inlineStr">
        <is>
          <t>Föryngringsavverkning</t>
        </is>
      </c>
      <c r="D701" s="1" t="n">
        <v>45813</v>
      </c>
      <c r="E701" s="1" t="n">
        <v>46318</v>
      </c>
      <c r="F701" t="inlineStr">
        <is>
          <t>JÄMTLANDS LÄN</t>
        </is>
      </c>
      <c r="G701" t="inlineStr">
        <is>
          <t>STRÖMSUND</t>
        </is>
      </c>
      <c r="H701" t="inlineStr">
        <is>
          <t>SCA</t>
        </is>
      </c>
      <c r="I701" t="n">
        <v>9.5</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32452-2024</t>
        </is>
      </c>
      <c r="B702" t="inlineStr">
        <is>
          <t>avverkningsanmälan</t>
        </is>
      </c>
      <c r="C702" t="inlineStr">
        <is>
          <t>Föryngringsavverkning</t>
        </is>
      </c>
      <c r="D702" s="1" t="n">
        <v>45512</v>
      </c>
      <c r="E702" s="1" t="n">
        <v>46318</v>
      </c>
      <c r="F702" t="inlineStr">
        <is>
          <t>JÄMTLANDS LÄN</t>
        </is>
      </c>
      <c r="G702" t="inlineStr">
        <is>
          <t>STRÖMSUND</t>
        </is>
      </c>
      <c r="H702" t="inlineStr">
        <is>
          <t>SCA</t>
        </is>
      </c>
      <c r="I702" t="n">
        <v>3.3</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46054-2022</t>
        </is>
      </c>
      <c r="B703" t="inlineStr">
        <is>
          <t>avverkningsanmälan</t>
        </is>
      </c>
      <c r="C703" t="inlineStr">
        <is>
          <t>Avverkning för att bevara och utveckla /försöksver</t>
        </is>
      </c>
      <c r="D703" s="1" t="n">
        <v>44846</v>
      </c>
      <c r="E703" s="1" t="n">
        <v>46318</v>
      </c>
      <c r="F703" t="inlineStr">
        <is>
          <t>JÄMTLANDS LÄN</t>
        </is>
      </c>
      <c r="G703" t="inlineStr">
        <is>
          <t>STRÖMSUND</t>
        </is>
      </c>
      <c r="H703" t="inlineStr">
        <is>
          <t>SCA</t>
        </is>
      </c>
      <c r="I703" t="n">
        <v>0.8</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51478-2024</t>
        </is>
      </c>
      <c r="B704" t="inlineStr">
        <is>
          <t>avverkningsanmälan</t>
        </is>
      </c>
      <c r="C704" t="inlineStr">
        <is>
          <t>Föryngringsavverkning</t>
        </is>
      </c>
      <c r="D704" s="1" t="n">
        <v>45604</v>
      </c>
      <c r="E704" s="1" t="n">
        <v>46318</v>
      </c>
      <c r="F704" t="inlineStr">
        <is>
          <t>JÄMTLANDS LÄN</t>
        </is>
      </c>
      <c r="G704" t="inlineStr">
        <is>
          <t>STRÖMSUND</t>
        </is>
      </c>
      <c r="H704" t="inlineStr">
        <is>
          <t>Kommuner</t>
        </is>
      </c>
      <c r="I704" t="n">
        <v>1.1</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34723-2024</t>
        </is>
      </c>
      <c r="B705" t="inlineStr">
        <is>
          <t>avverkningsanmälan</t>
        </is>
      </c>
      <c r="C705" t="inlineStr">
        <is>
          <t>Föryngringsavverkning</t>
        </is>
      </c>
      <c r="D705" s="1" t="n">
        <v>45526</v>
      </c>
      <c r="E705" s="1" t="n">
        <v>46318</v>
      </c>
      <c r="F705" t="inlineStr">
        <is>
          <t>JÄMTLANDS LÄN</t>
        </is>
      </c>
      <c r="G705" t="inlineStr">
        <is>
          <t>STRÖMSUND</t>
        </is>
      </c>
      <c r="H705" t="inlineStr">
        <is>
          <t>SCA</t>
        </is>
      </c>
      <c r="I705" t="n">
        <v>2.9</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8133-2024</t>
        </is>
      </c>
      <c r="B706" t="inlineStr">
        <is>
          <t>avverkningsanmälan</t>
        </is>
      </c>
      <c r="C706" t="inlineStr">
        <is>
          <t>Föryngringsavverkning</t>
        </is>
      </c>
      <c r="D706" s="1" t="n">
        <v>45349</v>
      </c>
      <c r="E706" s="1" t="n">
        <v>46318</v>
      </c>
      <c r="F706" t="inlineStr">
        <is>
          <t>JÄMTLANDS LÄN</t>
        </is>
      </c>
      <c r="G706" t="inlineStr">
        <is>
          <t>STRÖMSUND</t>
        </is>
      </c>
      <c r="I706" t="n">
        <v>1.8</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34007-2023</t>
        </is>
      </c>
      <c r="B707" t="inlineStr">
        <is>
          <t>avverkningsanmälan</t>
        </is>
      </c>
      <c r="C707" t="inlineStr">
        <is>
          <t>Avverkning för att bevara och utveckla /försöksver</t>
        </is>
      </c>
      <c r="D707" s="1" t="n">
        <v>45134</v>
      </c>
      <c r="E707" s="1" t="n">
        <v>46318</v>
      </c>
      <c r="F707" t="inlineStr">
        <is>
          <t>JÄMTLANDS LÄN</t>
        </is>
      </c>
      <c r="G707" t="inlineStr">
        <is>
          <t>STRÖMSUND</t>
        </is>
      </c>
      <c r="H707" t="inlineStr">
        <is>
          <t>SCA</t>
        </is>
      </c>
      <c r="I707" t="n">
        <v>1.3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41194-2022</t>
        </is>
      </c>
      <c r="B708" t="inlineStr">
        <is>
          <t>avverkningsanmälan</t>
        </is>
      </c>
      <c r="C708" t="inlineStr">
        <is>
          <t>Föryngringsavverkning</t>
        </is>
      </c>
      <c r="D708" s="1" t="n">
        <v>44825</v>
      </c>
      <c r="E708" s="1" t="n">
        <v>46318</v>
      </c>
      <c r="F708" t="inlineStr">
        <is>
          <t>JÄMTLANDS LÄN</t>
        </is>
      </c>
      <c r="G708" t="inlineStr">
        <is>
          <t>STRÖMSUND</t>
        </is>
      </c>
      <c r="H708" t="inlineStr">
        <is>
          <t>SCA</t>
        </is>
      </c>
      <c r="I708" t="n">
        <v>3.5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21701-2022</t>
        </is>
      </c>
      <c r="B709" t="inlineStr">
        <is>
          <t>avverkningsanmälan</t>
        </is>
      </c>
      <c r="C709" t="inlineStr">
        <is>
          <t>Föryngringsavverkning</t>
        </is>
      </c>
      <c r="D709" s="1" t="n">
        <v>44707</v>
      </c>
      <c r="E709" s="1" t="n">
        <v>46318</v>
      </c>
      <c r="F709" t="inlineStr">
        <is>
          <t>JÄMTLANDS LÄN</t>
        </is>
      </c>
      <c r="G709" t="inlineStr">
        <is>
          <t>STRÖMSUND</t>
        </is>
      </c>
      <c r="H709" t="inlineStr">
        <is>
          <t>SCA</t>
        </is>
      </c>
      <c r="I709" t="n">
        <v>7.2</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38785-2025</t>
        </is>
      </c>
      <c r="B710" t="inlineStr">
        <is>
          <t>avverkningsanmälan</t>
        </is>
      </c>
      <c r="C710" t="inlineStr">
        <is>
          <t>Föryngringsavverkning</t>
        </is>
      </c>
      <c r="D710" s="1" t="n">
        <v>45887</v>
      </c>
      <c r="E710" s="1" t="n">
        <v>46318</v>
      </c>
      <c r="F710" t="inlineStr">
        <is>
          <t>JÄMTLANDS LÄN</t>
        </is>
      </c>
      <c r="G710" t="inlineStr">
        <is>
          <t>STRÖMSUND</t>
        </is>
      </c>
      <c r="H710" t="inlineStr">
        <is>
          <t>SCA</t>
        </is>
      </c>
      <c r="I710" t="n">
        <v>2.1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38541-2025</t>
        </is>
      </c>
      <c r="B711" t="inlineStr">
        <is>
          <t>avverkningsanmälan</t>
        </is>
      </c>
      <c r="C711" t="inlineStr">
        <is>
          <t>Föryngringsavverkning</t>
        </is>
      </c>
      <c r="D711" s="1" t="n">
        <v>45884</v>
      </c>
      <c r="E711" s="1" t="n">
        <v>46318</v>
      </c>
      <c r="F711" t="inlineStr">
        <is>
          <t>JÄMTLANDS LÄN</t>
        </is>
      </c>
      <c r="G711" t="inlineStr">
        <is>
          <t>STRÖMSUND</t>
        </is>
      </c>
      <c r="I711" t="n">
        <v>4</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37100-2022</t>
        </is>
      </c>
      <c r="B712" t="inlineStr">
        <is>
          <t>avverkningsanmälan</t>
        </is>
      </c>
      <c r="C712" t="inlineStr">
        <is>
          <t>Föryngringsavverkning</t>
        </is>
      </c>
      <c r="D712" s="1" t="n">
        <v>44806</v>
      </c>
      <c r="E712" s="1" t="n">
        <v>46318</v>
      </c>
      <c r="F712" t="inlineStr">
        <is>
          <t>JÄMTLANDS LÄN</t>
        </is>
      </c>
      <c r="G712" t="inlineStr">
        <is>
          <t>STRÖMSUND</t>
        </is>
      </c>
      <c r="H712" t="inlineStr">
        <is>
          <t>Kommuner</t>
        </is>
      </c>
      <c r="I712" t="n">
        <v>1.8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42005-2024</t>
        </is>
      </c>
      <c r="B713" t="inlineStr">
        <is>
          <t>avverkningsanmälan</t>
        </is>
      </c>
      <c r="C713" t="inlineStr">
        <is>
          <t>Föryngringsavverkning</t>
        </is>
      </c>
      <c r="D713" s="1" t="n">
        <v>45561</v>
      </c>
      <c r="E713" s="1" t="n">
        <v>46318</v>
      </c>
      <c r="F713" t="inlineStr">
        <is>
          <t>JÄMTLANDS LÄN</t>
        </is>
      </c>
      <c r="G713" t="inlineStr">
        <is>
          <t>STRÖMSUND</t>
        </is>
      </c>
      <c r="H713" t="inlineStr">
        <is>
          <t>SCA</t>
        </is>
      </c>
      <c r="I713" t="n">
        <v>2.2</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12869-2024</t>
        </is>
      </c>
      <c r="B714" t="inlineStr">
        <is>
          <t>avverkningsanmälan</t>
        </is>
      </c>
      <c r="C714" t="inlineStr">
        <is>
          <t>Föryngringsavverkning</t>
        </is>
      </c>
      <c r="D714" s="1" t="n">
        <v>45384</v>
      </c>
      <c r="E714" s="1" t="n">
        <v>46318</v>
      </c>
      <c r="F714" t="inlineStr">
        <is>
          <t>JÄMTLANDS LÄN</t>
        </is>
      </c>
      <c r="G714" t="inlineStr">
        <is>
          <t>STRÖMSUND</t>
        </is>
      </c>
      <c r="H714" t="inlineStr">
        <is>
          <t>SCA</t>
        </is>
      </c>
      <c r="I714" t="n">
        <v>9.1</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52818-2023</t>
        </is>
      </c>
      <c r="B715" t="inlineStr">
        <is>
          <t>avverkningsanmälan</t>
        </is>
      </c>
      <c r="C715" t="inlineStr">
        <is>
          <t>Föryngringsavverkning</t>
        </is>
      </c>
      <c r="D715" s="1" t="n">
        <v>45226</v>
      </c>
      <c r="E715" s="1" t="n">
        <v>46318</v>
      </c>
      <c r="F715" t="inlineStr">
        <is>
          <t>JÄMTLANDS LÄN</t>
        </is>
      </c>
      <c r="G715" t="inlineStr">
        <is>
          <t>STRÖMSUND</t>
        </is>
      </c>
      <c r="I715" t="n">
        <v>9.6</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52826-2023</t>
        </is>
      </c>
      <c r="B716" t="inlineStr">
        <is>
          <t>avverkningsanmälan</t>
        </is>
      </c>
      <c r="C716" t="inlineStr">
        <is>
          <t>Föryngringsavverkning</t>
        </is>
      </c>
      <c r="D716" s="1" t="n">
        <v>45226</v>
      </c>
      <c r="E716" s="1" t="n">
        <v>46318</v>
      </c>
      <c r="F716" t="inlineStr">
        <is>
          <t>JÄMTLANDS LÄN</t>
        </is>
      </c>
      <c r="G716" t="inlineStr">
        <is>
          <t>STRÖMSUND</t>
        </is>
      </c>
      <c r="I716" t="n">
        <v>4.6</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59334-2023</t>
        </is>
      </c>
      <c r="B717" t="inlineStr">
        <is>
          <t>avverkningsanmälan</t>
        </is>
      </c>
      <c r="C717" t="inlineStr">
        <is>
          <t>Föryngringsavverkning</t>
        </is>
      </c>
      <c r="D717" s="1" t="n">
        <v>45252</v>
      </c>
      <c r="E717" s="1" t="n">
        <v>46318</v>
      </c>
      <c r="F717" t="inlineStr">
        <is>
          <t>JÄMTLANDS LÄN</t>
        </is>
      </c>
      <c r="G717" t="inlineStr">
        <is>
          <t>STRÖMSUND</t>
        </is>
      </c>
      <c r="I717" t="n">
        <v>8.4</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1226-2024</t>
        </is>
      </c>
      <c r="B718" t="inlineStr">
        <is>
          <t>avverkningsanmälan</t>
        </is>
      </c>
      <c r="C718" t="inlineStr">
        <is>
          <t>Avverkning för annat ändamål</t>
        </is>
      </c>
      <c r="D718" s="1" t="n">
        <v>45302</v>
      </c>
      <c r="E718" s="1" t="n">
        <v>46318</v>
      </c>
      <c r="F718" t="inlineStr">
        <is>
          <t>JÄMTLANDS LÄN</t>
        </is>
      </c>
      <c r="G718" t="inlineStr">
        <is>
          <t>STRÖMSUND</t>
        </is>
      </c>
      <c r="I718" t="n">
        <v>5.5</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40936-2022</t>
        </is>
      </c>
      <c r="B719" t="inlineStr">
        <is>
          <t>avverkningsanmälan</t>
        </is>
      </c>
      <c r="C719" t="inlineStr">
        <is>
          <t>Föryngringsavverkning</t>
        </is>
      </c>
      <c r="D719" s="1" t="n">
        <v>44823</v>
      </c>
      <c r="E719" s="1" t="n">
        <v>46318</v>
      </c>
      <c r="F719" t="inlineStr">
        <is>
          <t>JÄMTLANDS LÄN</t>
        </is>
      </c>
      <c r="G719" t="inlineStr">
        <is>
          <t>STRÖMSUND</t>
        </is>
      </c>
      <c r="I719" t="n">
        <v>13</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1641-2023</t>
        </is>
      </c>
      <c r="B720" t="inlineStr">
        <is>
          <t>avverkningsanmälan</t>
        </is>
      </c>
      <c r="C720" t="inlineStr">
        <is>
          <t>Föryngringsavverkning</t>
        </is>
      </c>
      <c r="D720" s="1" t="n">
        <v>44937</v>
      </c>
      <c r="E720" s="1" t="n">
        <v>46318</v>
      </c>
      <c r="F720" t="inlineStr">
        <is>
          <t>JÄMTLANDS LÄN</t>
        </is>
      </c>
      <c r="G720" t="inlineStr">
        <is>
          <t>STRÖMSUND</t>
        </is>
      </c>
      <c r="I720" t="n">
        <v>3.2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1801-2024</t>
        </is>
      </c>
      <c r="B721" t="inlineStr">
        <is>
          <t>avverkningsanmälan</t>
        </is>
      </c>
      <c r="C721" t="inlineStr">
        <is>
          <t>Föryngringsavverkning</t>
        </is>
      </c>
      <c r="D721" s="1" t="n">
        <v>45307</v>
      </c>
      <c r="E721" s="1" t="n">
        <v>46318</v>
      </c>
      <c r="F721" t="inlineStr">
        <is>
          <t>JÄMTLANDS LÄN</t>
        </is>
      </c>
      <c r="G721" t="inlineStr">
        <is>
          <t>STRÖMSUND</t>
        </is>
      </c>
      <c r="I721" t="n">
        <v>2.9</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28510-2024</t>
        </is>
      </c>
      <c r="B722" t="inlineStr">
        <is>
          <t>avverkningsanmälan</t>
        </is>
      </c>
      <c r="C722" t="inlineStr">
        <is>
          <t>Föryngringsavverkning</t>
        </is>
      </c>
      <c r="D722" s="1" t="n">
        <v>45477</v>
      </c>
      <c r="E722" s="1" t="n">
        <v>46318</v>
      </c>
      <c r="F722" t="inlineStr">
        <is>
          <t>JÄMTLANDS LÄN</t>
        </is>
      </c>
      <c r="G722" t="inlineStr">
        <is>
          <t>STRÖMSUND</t>
        </is>
      </c>
      <c r="H722" t="inlineStr">
        <is>
          <t>SCA</t>
        </is>
      </c>
      <c r="I722" t="n">
        <v>1.6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6693-2024</t>
        </is>
      </c>
      <c r="B723" t="inlineStr">
        <is>
          <t>avverkningsanmälan</t>
        </is>
      </c>
      <c r="C723" t="inlineStr">
        <is>
          <t>Föryngringsavverkning</t>
        </is>
      </c>
      <c r="D723" s="1" t="n">
        <v>45341</v>
      </c>
      <c r="E723" s="1" t="n">
        <v>46318</v>
      </c>
      <c r="F723" t="inlineStr">
        <is>
          <t>JÄMTLANDS LÄN</t>
        </is>
      </c>
      <c r="G723" t="inlineStr">
        <is>
          <t>STRÖMSUND</t>
        </is>
      </c>
      <c r="H723" t="inlineStr">
        <is>
          <t>SCA</t>
        </is>
      </c>
      <c r="I723" t="n">
        <v>14.2</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17975-2025</t>
        </is>
      </c>
      <c r="B724" t="inlineStr">
        <is>
          <t>avverkningsanmälan</t>
        </is>
      </c>
      <c r="C724" t="inlineStr">
        <is>
          <t>Avverkning för att bevara och utveckla /försöksver</t>
        </is>
      </c>
      <c r="D724" s="1" t="n">
        <v>45761</v>
      </c>
      <c r="E724" s="1" t="n">
        <v>46318</v>
      </c>
      <c r="F724" t="inlineStr">
        <is>
          <t>JÄMTLANDS LÄN</t>
        </is>
      </c>
      <c r="G724" t="inlineStr">
        <is>
          <t>STRÖMSUND</t>
        </is>
      </c>
      <c r="I724" t="n">
        <v>0.8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28003-2023</t>
        </is>
      </c>
      <c r="B725" t="inlineStr">
        <is>
          <t>avverkningsanmälan</t>
        </is>
      </c>
      <c r="C725" t="inlineStr">
        <is>
          <t>Avverkning för att bevara och utveckla /försöksver</t>
        </is>
      </c>
      <c r="D725" s="1" t="n">
        <v>45098</v>
      </c>
      <c r="E725" s="1" t="n">
        <v>46318</v>
      </c>
      <c r="F725" t="inlineStr">
        <is>
          <t>JÄMTLANDS LÄN</t>
        </is>
      </c>
      <c r="G725" t="inlineStr">
        <is>
          <t>STRÖMSUND</t>
        </is>
      </c>
      <c r="H725" t="inlineStr">
        <is>
          <t>SCA</t>
        </is>
      </c>
      <c r="I725" t="n">
        <v>5</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51075-2023</t>
        </is>
      </c>
      <c r="B726" t="inlineStr">
        <is>
          <t>avverkningsanmälan</t>
        </is>
      </c>
      <c r="C726" t="inlineStr">
        <is>
          <t>Föryngringsavverkning</t>
        </is>
      </c>
      <c r="D726" s="1" t="n">
        <v>45211</v>
      </c>
      <c r="E726" s="1" t="n">
        <v>46318</v>
      </c>
      <c r="F726" t="inlineStr">
        <is>
          <t>JÄMTLANDS LÄN</t>
        </is>
      </c>
      <c r="G726" t="inlineStr">
        <is>
          <t>STRÖMSUND</t>
        </is>
      </c>
      <c r="I726" t="n">
        <v>1.8</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27852-2025</t>
        </is>
      </c>
      <c r="B727" t="inlineStr">
        <is>
          <t>avverkningsanmälan</t>
        </is>
      </c>
      <c r="C727" t="inlineStr">
        <is>
          <t>Avverkning för annat ändamål</t>
        </is>
      </c>
      <c r="D727" s="1" t="n">
        <v>45817</v>
      </c>
      <c r="E727" s="1" t="n">
        <v>46318</v>
      </c>
      <c r="F727" t="inlineStr">
        <is>
          <t>JÄMTLANDS LÄN</t>
        </is>
      </c>
      <c r="G727" t="inlineStr">
        <is>
          <t>STRÖMSUND</t>
        </is>
      </c>
      <c r="I727" t="n">
        <v>0.6</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28015-2025</t>
        </is>
      </c>
      <c r="B728" t="inlineStr">
        <is>
          <t>avverkningsanmälan</t>
        </is>
      </c>
      <c r="C728" t="inlineStr">
        <is>
          <t>Föryngringsavverkning</t>
        </is>
      </c>
      <c r="D728" s="1" t="n">
        <v>45817</v>
      </c>
      <c r="E728" s="1" t="n">
        <v>46318</v>
      </c>
      <c r="F728" t="inlineStr">
        <is>
          <t>JÄMTLANDS LÄN</t>
        </is>
      </c>
      <c r="G728" t="inlineStr">
        <is>
          <t>STRÖMSUND</t>
        </is>
      </c>
      <c r="H728" t="inlineStr">
        <is>
          <t>SCA</t>
        </is>
      </c>
      <c r="I728" t="n">
        <v>7.6</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28042-2025</t>
        </is>
      </c>
      <c r="B729" t="inlineStr">
        <is>
          <t>avverkningsanmälan</t>
        </is>
      </c>
      <c r="C729" t="inlineStr">
        <is>
          <t>Föryngringsavverkning</t>
        </is>
      </c>
      <c r="D729" s="1" t="n">
        <v>45817</v>
      </c>
      <c r="E729" s="1" t="n">
        <v>46318</v>
      </c>
      <c r="F729" t="inlineStr">
        <is>
          <t>JÄMTLANDS LÄN</t>
        </is>
      </c>
      <c r="G729" t="inlineStr">
        <is>
          <t>STRÖMSUND</t>
        </is>
      </c>
      <c r="I729" t="n">
        <v>3.6</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44638-2024</t>
        </is>
      </c>
      <c r="B730" t="inlineStr">
        <is>
          <t>avverkningsanmälan</t>
        </is>
      </c>
      <c r="C730" t="inlineStr">
        <is>
          <t>Föryngringsavverkning</t>
        </is>
      </c>
      <c r="D730" s="1" t="n">
        <v>45574</v>
      </c>
      <c r="E730" s="1" t="n">
        <v>46318</v>
      </c>
      <c r="F730" t="inlineStr">
        <is>
          <t>JÄMTLANDS LÄN</t>
        </is>
      </c>
      <c r="G730" t="inlineStr">
        <is>
          <t>STRÖMSUND</t>
        </is>
      </c>
      <c r="H730" t="inlineStr">
        <is>
          <t>SCA</t>
        </is>
      </c>
      <c r="I730" t="n">
        <v>2</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28188-2025</t>
        </is>
      </c>
      <c r="B731" t="inlineStr">
        <is>
          <t>avverkningsanmälan</t>
        </is>
      </c>
      <c r="C731" t="inlineStr">
        <is>
          <t>Föryngringsavverkning</t>
        </is>
      </c>
      <c r="D731" s="1" t="n">
        <v>45818</v>
      </c>
      <c r="E731" s="1" t="n">
        <v>46318</v>
      </c>
      <c r="F731" t="inlineStr">
        <is>
          <t>JÄMTLANDS LÄN</t>
        </is>
      </c>
      <c r="G731" t="inlineStr">
        <is>
          <t>STRÖMSUND</t>
        </is>
      </c>
      <c r="I731" t="n">
        <v>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4050-2023</t>
        </is>
      </c>
      <c r="B732" t="inlineStr">
        <is>
          <t>avverkningsanmälan</t>
        </is>
      </c>
      <c r="C732" t="inlineStr">
        <is>
          <t>Föryngringsavverkning</t>
        </is>
      </c>
      <c r="D732" s="1" t="n">
        <v>44952</v>
      </c>
      <c r="E732" s="1" t="n">
        <v>46318</v>
      </c>
      <c r="F732" t="inlineStr">
        <is>
          <t>JÄMTLANDS LÄN</t>
        </is>
      </c>
      <c r="G732" t="inlineStr">
        <is>
          <t>STRÖMSUND</t>
        </is>
      </c>
      <c r="I732" t="n">
        <v>2.9</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30285-2023</t>
        </is>
      </c>
      <c r="B733" t="inlineStr">
        <is>
          <t>avverkningsanmälan</t>
        </is>
      </c>
      <c r="C733" t="inlineStr">
        <is>
          <t>Föryngringsavverkning</t>
        </is>
      </c>
      <c r="D733" s="1" t="n">
        <v>45110</v>
      </c>
      <c r="E733" s="1" t="n">
        <v>46318</v>
      </c>
      <c r="F733" t="inlineStr">
        <is>
          <t>JÄMTLANDS LÄN</t>
        </is>
      </c>
      <c r="G733" t="inlineStr">
        <is>
          <t>STRÖMSUND</t>
        </is>
      </c>
      <c r="I733" t="n">
        <v>6.4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14072-2023</t>
        </is>
      </c>
      <c r="B734" t="inlineStr">
        <is>
          <t>avverkningsanmälan</t>
        </is>
      </c>
      <c r="C734" t="inlineStr">
        <is>
          <t>Föryngringsavverkning</t>
        </is>
      </c>
      <c r="D734" s="1" t="n">
        <v>45009</v>
      </c>
      <c r="E734" s="1" t="n">
        <v>46318</v>
      </c>
      <c r="F734" t="inlineStr">
        <is>
          <t>JÄMTLANDS LÄN</t>
        </is>
      </c>
      <c r="G734" t="inlineStr">
        <is>
          <t>STRÖMSUND</t>
        </is>
      </c>
      <c r="H734" t="inlineStr">
        <is>
          <t>SCA</t>
        </is>
      </c>
      <c r="I734" t="n">
        <v>24.8</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40408-2023</t>
        </is>
      </c>
      <c r="B735" t="inlineStr">
        <is>
          <t>avverkningsanmälan</t>
        </is>
      </c>
      <c r="C735" t="inlineStr">
        <is>
          <t>Föryngringsavverkning</t>
        </is>
      </c>
      <c r="D735" s="1" t="n">
        <v>45169</v>
      </c>
      <c r="E735" s="1" t="n">
        <v>46318</v>
      </c>
      <c r="F735" t="inlineStr">
        <is>
          <t>JÄMTLANDS LÄN</t>
        </is>
      </c>
      <c r="G735" t="inlineStr">
        <is>
          <t>STRÖMSUND</t>
        </is>
      </c>
      <c r="H735" t="inlineStr">
        <is>
          <t>SCA</t>
        </is>
      </c>
      <c r="I735" t="n">
        <v>2</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56412-2022</t>
        </is>
      </c>
      <c r="B736" t="inlineStr">
        <is>
          <t>avverkningsanmälan</t>
        </is>
      </c>
      <c r="C736" t="inlineStr">
        <is>
          <t>Föryngringsavverkning</t>
        </is>
      </c>
      <c r="D736" s="1" t="n">
        <v>44890</v>
      </c>
      <c r="E736" s="1" t="n">
        <v>46318</v>
      </c>
      <c r="F736" t="inlineStr">
        <is>
          <t>JÄMTLANDS LÄN</t>
        </is>
      </c>
      <c r="G736" t="inlineStr">
        <is>
          <t>STRÖMSUND</t>
        </is>
      </c>
      <c r="H736" t="inlineStr">
        <is>
          <t>SCA</t>
        </is>
      </c>
      <c r="I736" t="n">
        <v>8.699999999999999</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30284-2023</t>
        </is>
      </c>
      <c r="B737" t="inlineStr">
        <is>
          <t>avverkningsanmälan</t>
        </is>
      </c>
      <c r="C737" t="inlineStr">
        <is>
          <t>Föryngringsavverkning</t>
        </is>
      </c>
      <c r="D737" s="1" t="n">
        <v>45110</v>
      </c>
      <c r="E737" s="1" t="n">
        <v>46318</v>
      </c>
      <c r="F737" t="inlineStr">
        <is>
          <t>JÄMTLANDS LÄN</t>
        </is>
      </c>
      <c r="G737" t="inlineStr">
        <is>
          <t>STRÖMSUND</t>
        </is>
      </c>
      <c r="I737" t="n">
        <v>4</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28971-2025</t>
        </is>
      </c>
      <c r="B738" t="inlineStr">
        <is>
          <t>avverkningsanmälan</t>
        </is>
      </c>
      <c r="C738" t="inlineStr">
        <is>
          <t>Föryngringsavverkning</t>
        </is>
      </c>
      <c r="D738" s="1" t="n">
        <v>45821</v>
      </c>
      <c r="E738" s="1" t="n">
        <v>46318</v>
      </c>
      <c r="F738" t="inlineStr">
        <is>
          <t>JÄMTLANDS LÄN</t>
        </is>
      </c>
      <c r="G738" t="inlineStr">
        <is>
          <t>STRÖMSUND</t>
        </is>
      </c>
      <c r="H738" t="inlineStr">
        <is>
          <t>SCA</t>
        </is>
      </c>
      <c r="I738" t="n">
        <v>5.3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39864-2024</t>
        </is>
      </c>
      <c r="B739" t="inlineStr">
        <is>
          <t>avverkningsanmälan</t>
        </is>
      </c>
      <c r="C739" t="inlineStr">
        <is>
          <t>Föryngringsavverkning</t>
        </is>
      </c>
      <c r="D739" s="1" t="n">
        <v>45553</v>
      </c>
      <c r="E739" s="1" t="n">
        <v>46318</v>
      </c>
      <c r="F739" t="inlineStr">
        <is>
          <t>JÄMTLANDS LÄN</t>
        </is>
      </c>
      <c r="G739" t="inlineStr">
        <is>
          <t>STRÖMSUND</t>
        </is>
      </c>
      <c r="I739" t="n">
        <v>0.7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59742-2023</t>
        </is>
      </c>
      <c r="B740" t="inlineStr">
        <is>
          <t>avverkningsanmälan</t>
        </is>
      </c>
      <c r="C740" t="inlineStr">
        <is>
          <t>Föryngringsavverkning</t>
        </is>
      </c>
      <c r="D740" s="1" t="n">
        <v>45257</v>
      </c>
      <c r="E740" s="1" t="n">
        <v>46318</v>
      </c>
      <c r="F740" t="inlineStr">
        <is>
          <t>JÄMTLANDS LÄN</t>
        </is>
      </c>
      <c r="G740" t="inlineStr">
        <is>
          <t>STRÖMSUND</t>
        </is>
      </c>
      <c r="H740" t="inlineStr">
        <is>
          <t>Sveaskog</t>
        </is>
      </c>
      <c r="I740" t="n">
        <v>7.6</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2624-2024</t>
        </is>
      </c>
      <c r="B741" t="inlineStr">
        <is>
          <t>avverkningsanmälan</t>
        </is>
      </c>
      <c r="C741" t="inlineStr">
        <is>
          <t>Föryngringsavverkning</t>
        </is>
      </c>
      <c r="D741" s="1" t="n">
        <v>45313</v>
      </c>
      <c r="E741" s="1" t="n">
        <v>46318</v>
      </c>
      <c r="F741" t="inlineStr">
        <is>
          <t>JÄMTLANDS LÄN</t>
        </is>
      </c>
      <c r="G741" t="inlineStr">
        <is>
          <t>STRÖMSUND</t>
        </is>
      </c>
      <c r="H741" t="inlineStr">
        <is>
          <t>SCA</t>
        </is>
      </c>
      <c r="I741" t="n">
        <v>41.4</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29806-2025</t>
        </is>
      </c>
      <c r="B742" t="inlineStr">
        <is>
          <t>avverkningsanmälan</t>
        </is>
      </c>
      <c r="C742" t="inlineStr">
        <is>
          <t>Föryngringsavverkning</t>
        </is>
      </c>
      <c r="D742" s="1" t="n">
        <v>45825</v>
      </c>
      <c r="E742" s="1" t="n">
        <v>46318</v>
      </c>
      <c r="F742" t="inlineStr">
        <is>
          <t>JÄMTLANDS LÄN</t>
        </is>
      </c>
      <c r="G742" t="inlineStr">
        <is>
          <t>STRÖMSUND</t>
        </is>
      </c>
      <c r="H742" t="inlineStr">
        <is>
          <t>SCA</t>
        </is>
      </c>
      <c r="I742" t="n">
        <v>7</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29536-2025</t>
        </is>
      </c>
      <c r="B743" t="inlineStr">
        <is>
          <t>avverkningsanmälan</t>
        </is>
      </c>
      <c r="C743" t="inlineStr">
        <is>
          <t>Föryngringsavverkning</t>
        </is>
      </c>
      <c r="D743" s="1" t="n">
        <v>45825</v>
      </c>
      <c r="E743" s="1" t="n">
        <v>46318</v>
      </c>
      <c r="F743" t="inlineStr">
        <is>
          <t>JÄMTLANDS LÄN</t>
        </is>
      </c>
      <c r="G743" t="inlineStr">
        <is>
          <t>STRÖMSUND</t>
        </is>
      </c>
      <c r="H743" t="inlineStr">
        <is>
          <t>SCA</t>
        </is>
      </c>
      <c r="I743" t="n">
        <v>5.3</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29764-2025</t>
        </is>
      </c>
      <c r="B744" t="inlineStr">
        <is>
          <t>avverkningsanmälan</t>
        </is>
      </c>
      <c r="C744" t="inlineStr">
        <is>
          <t>Föryngringsavverkning</t>
        </is>
      </c>
      <c r="D744" s="1" t="n">
        <v>45825</v>
      </c>
      <c r="E744" s="1" t="n">
        <v>46318</v>
      </c>
      <c r="F744" t="inlineStr">
        <is>
          <t>JÄMTLANDS LÄN</t>
        </is>
      </c>
      <c r="G744" t="inlineStr">
        <is>
          <t>STRÖMSUND</t>
        </is>
      </c>
      <c r="H744" t="inlineStr">
        <is>
          <t>SCA</t>
        </is>
      </c>
      <c r="I744" t="n">
        <v>1.1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30407-2025</t>
        </is>
      </c>
      <c r="B745" t="inlineStr">
        <is>
          <t>avverkningsanmälan</t>
        </is>
      </c>
      <c r="C745" t="inlineStr">
        <is>
          <t>Föryngringsavverkning</t>
        </is>
      </c>
      <c r="D745" s="1" t="n">
        <v>45827</v>
      </c>
      <c r="E745" s="1" t="n">
        <v>46318</v>
      </c>
      <c r="F745" t="inlineStr">
        <is>
          <t>JÄMTLANDS LÄN</t>
        </is>
      </c>
      <c r="G745" t="inlineStr">
        <is>
          <t>STRÖMSUND</t>
        </is>
      </c>
      <c r="H745" t="inlineStr">
        <is>
          <t>SCA</t>
        </is>
      </c>
      <c r="I745" t="n">
        <v>3.4</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50305-2022</t>
        </is>
      </c>
      <c r="B746" t="inlineStr">
        <is>
          <t>avverkningsanmälan</t>
        </is>
      </c>
      <c r="C746" t="inlineStr">
        <is>
          <t>Föryngringsavverkning</t>
        </is>
      </c>
      <c r="D746" s="1" t="n">
        <v>44865</v>
      </c>
      <c r="E746" s="1" t="n">
        <v>46318</v>
      </c>
      <c r="F746" t="inlineStr">
        <is>
          <t>JÄMTLANDS LÄN</t>
        </is>
      </c>
      <c r="G746" t="inlineStr">
        <is>
          <t>STRÖMSUND</t>
        </is>
      </c>
      <c r="I746" t="n">
        <v>13.4</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30325-2025</t>
        </is>
      </c>
      <c r="B747" t="inlineStr">
        <is>
          <t>avverkningsanmälan</t>
        </is>
      </c>
      <c r="C747" t="inlineStr">
        <is>
          <t>Föryngringsavverkning</t>
        </is>
      </c>
      <c r="D747" s="1" t="n">
        <v>45827</v>
      </c>
      <c r="E747" s="1" t="n">
        <v>46318</v>
      </c>
      <c r="F747" t="inlineStr">
        <is>
          <t>JÄMTLANDS LÄN</t>
        </is>
      </c>
      <c r="G747" t="inlineStr">
        <is>
          <t>STRÖMSUND</t>
        </is>
      </c>
      <c r="I747" t="n">
        <v>2.6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30208-2025</t>
        </is>
      </c>
      <c r="B748" t="inlineStr">
        <is>
          <t>avverkningsanmälan</t>
        </is>
      </c>
      <c r="C748" t="inlineStr">
        <is>
          <t>Föryngringsavverkning</t>
        </is>
      </c>
      <c r="D748" s="1" t="n">
        <v>45827</v>
      </c>
      <c r="E748" s="1" t="n">
        <v>46318</v>
      </c>
      <c r="F748" t="inlineStr">
        <is>
          <t>JÄMTLANDS LÄN</t>
        </is>
      </c>
      <c r="G748" t="inlineStr">
        <is>
          <t>STRÖMSUND</t>
        </is>
      </c>
      <c r="H748" t="inlineStr">
        <is>
          <t>SCA</t>
        </is>
      </c>
      <c r="I748" t="n">
        <v>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7260-2022</t>
        </is>
      </c>
      <c r="B749" t="inlineStr">
        <is>
          <t>avverkningsanmälan</t>
        </is>
      </c>
      <c r="C749" t="inlineStr">
        <is>
          <t>Föryngringsavverkning</t>
        </is>
      </c>
      <c r="D749" s="1" t="n">
        <v>44606</v>
      </c>
      <c r="E749" s="1" t="n">
        <v>46318</v>
      </c>
      <c r="F749" t="inlineStr">
        <is>
          <t>JÄMTLANDS LÄN</t>
        </is>
      </c>
      <c r="G749" t="inlineStr">
        <is>
          <t>STRÖMSUND</t>
        </is>
      </c>
      <c r="H749" t="inlineStr">
        <is>
          <t>SCA</t>
        </is>
      </c>
      <c r="I749" t="n">
        <v>76.40000000000001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44642-2023</t>
        </is>
      </c>
      <c r="B750" t="inlineStr">
        <is>
          <t>avverkningsanmälan</t>
        </is>
      </c>
      <c r="C750" t="inlineStr">
        <is>
          <t>Föryngringsavverkning</t>
        </is>
      </c>
      <c r="D750" s="1" t="n">
        <v>45184</v>
      </c>
      <c r="E750" s="1" t="n">
        <v>46318</v>
      </c>
      <c r="F750" t="inlineStr">
        <is>
          <t>JÄMTLANDS LÄN</t>
        </is>
      </c>
      <c r="G750" t="inlineStr">
        <is>
          <t>STRÖMSUND</t>
        </is>
      </c>
      <c r="I750" t="n">
        <v>3.2</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56507-2024</t>
        </is>
      </c>
      <c r="B751" t="inlineStr">
        <is>
          <t>avverkningsanmälan</t>
        </is>
      </c>
      <c r="C751" t="inlineStr">
        <is>
          <t>Föryngringsavverkning</t>
        </is>
      </c>
      <c r="D751" s="1" t="n">
        <v>45625</v>
      </c>
      <c r="E751" s="1" t="n">
        <v>46318</v>
      </c>
      <c r="F751" t="inlineStr">
        <is>
          <t>JÄMTLANDS LÄN</t>
        </is>
      </c>
      <c r="G751" t="inlineStr">
        <is>
          <t>STRÖMSUND</t>
        </is>
      </c>
      <c r="I751" t="n">
        <v>17</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56514-2024</t>
        </is>
      </c>
      <c r="B752" t="inlineStr">
        <is>
          <t>avverkningsanmälan</t>
        </is>
      </c>
      <c r="C752" t="inlineStr">
        <is>
          <t>Avverkning för att bevara och utveckla /försöksver</t>
        </is>
      </c>
      <c r="D752" s="1" t="n">
        <v>45625</v>
      </c>
      <c r="E752" s="1" t="n">
        <v>46318</v>
      </c>
      <c r="F752" t="inlineStr">
        <is>
          <t>JÄMTLANDS LÄN</t>
        </is>
      </c>
      <c r="G752" t="inlineStr">
        <is>
          <t>STRÖMSUND</t>
        </is>
      </c>
      <c r="H752" t="inlineStr">
        <is>
          <t>SCA</t>
        </is>
      </c>
      <c r="I752" t="n">
        <v>1.9</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66088-2021</t>
        </is>
      </c>
      <c r="B753" t="inlineStr">
        <is>
          <t>avverkningsanmälan</t>
        </is>
      </c>
      <c r="C753" t="inlineStr">
        <is>
          <t>Avverkning för att bevara och utveckla /försöksver</t>
        </is>
      </c>
      <c r="D753" s="1" t="n">
        <v>44517</v>
      </c>
      <c r="E753" s="1" t="n">
        <v>46318</v>
      </c>
      <c r="F753" t="inlineStr">
        <is>
          <t>JÄMTLANDS LÄN</t>
        </is>
      </c>
      <c r="G753" t="inlineStr">
        <is>
          <t>STRÖMSUND</t>
        </is>
      </c>
      <c r="I753" t="n">
        <v>2.1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38939-2025</t>
        </is>
      </c>
      <c r="B754" t="inlineStr">
        <is>
          <t>avverkningsanmälan</t>
        </is>
      </c>
      <c r="C754" t="inlineStr">
        <is>
          <t>Avverkning för annat ändamål</t>
        </is>
      </c>
      <c r="D754" s="1" t="n">
        <v>45885</v>
      </c>
      <c r="E754" s="1" t="n">
        <v>46318</v>
      </c>
      <c r="F754" t="inlineStr">
        <is>
          <t>JÄMTLANDS LÄN</t>
        </is>
      </c>
      <c r="G754" t="inlineStr">
        <is>
          <t>STRÖMSUND</t>
        </is>
      </c>
      <c r="I754" t="n">
        <v>0.2</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39058-2025</t>
        </is>
      </c>
      <c r="B755" t="inlineStr">
        <is>
          <t>avverkningsanmälan</t>
        </is>
      </c>
      <c r="C755" t="inlineStr">
        <is>
          <t>Föryngringsavverkning</t>
        </is>
      </c>
      <c r="D755" s="1" t="n">
        <v>45887</v>
      </c>
      <c r="E755" s="1" t="n">
        <v>46318</v>
      </c>
      <c r="F755" t="inlineStr">
        <is>
          <t>JÄMTLANDS LÄN</t>
        </is>
      </c>
      <c r="G755" t="inlineStr">
        <is>
          <t>STRÖMSUND</t>
        </is>
      </c>
      <c r="I755" t="n">
        <v>2.9</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29953-2025</t>
        </is>
      </c>
      <c r="B756" t="inlineStr">
        <is>
          <t>avverkningsanmälan</t>
        </is>
      </c>
      <c r="C756" t="inlineStr">
        <is>
          <t>Föryngringsavverkning</t>
        </is>
      </c>
      <c r="D756" s="1" t="n">
        <v>45826</v>
      </c>
      <c r="E756" s="1" t="n">
        <v>46318</v>
      </c>
      <c r="F756" t="inlineStr">
        <is>
          <t>JÄMTLANDS LÄN</t>
        </is>
      </c>
      <c r="G756" t="inlineStr">
        <is>
          <t>STRÖMSUND</t>
        </is>
      </c>
      <c r="H756" t="inlineStr">
        <is>
          <t>SCA</t>
        </is>
      </c>
      <c r="I756" t="n">
        <v>1.7</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35185-2024</t>
        </is>
      </c>
      <c r="B757" t="inlineStr">
        <is>
          <t>avverkningsanmälan</t>
        </is>
      </c>
      <c r="C757" t="inlineStr">
        <is>
          <t>Föryngringsavverkning</t>
        </is>
      </c>
      <c r="D757" s="1" t="n">
        <v>45530</v>
      </c>
      <c r="E757" s="1" t="n">
        <v>46318</v>
      </c>
      <c r="F757" t="inlineStr">
        <is>
          <t>JÄMTLANDS LÄN</t>
        </is>
      </c>
      <c r="G757" t="inlineStr">
        <is>
          <t>STRÖMSUND</t>
        </is>
      </c>
      <c r="I757" t="n">
        <v>7.1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14043-2022</t>
        </is>
      </c>
      <c r="B758" t="inlineStr">
        <is>
          <t>avverkningsanmälan</t>
        </is>
      </c>
      <c r="C758" t="inlineStr">
        <is>
          <t>Föryngringsavverkning</t>
        </is>
      </c>
      <c r="D758" s="1" t="n">
        <v>44650</v>
      </c>
      <c r="E758" s="1" t="n">
        <v>46318</v>
      </c>
      <c r="F758" t="inlineStr">
        <is>
          <t>JÄMTLANDS LÄN</t>
        </is>
      </c>
      <c r="G758" t="inlineStr">
        <is>
          <t>STRÖMSUND</t>
        </is>
      </c>
      <c r="I758" t="n">
        <v>11.6</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43432-2022</t>
        </is>
      </c>
      <c r="B759" t="inlineStr">
        <is>
          <t>avverkningsanmälan</t>
        </is>
      </c>
      <c r="C759" t="inlineStr">
        <is>
          <t>Avverkning för annat ändamål</t>
        </is>
      </c>
      <c r="D759" s="1" t="n">
        <v>44834</v>
      </c>
      <c r="E759" s="1" t="n">
        <v>46318</v>
      </c>
      <c r="F759" t="inlineStr">
        <is>
          <t>JÄMTLANDS LÄN</t>
        </is>
      </c>
      <c r="G759" t="inlineStr">
        <is>
          <t>STRÖMSUND</t>
        </is>
      </c>
      <c r="H759" t="inlineStr">
        <is>
          <t>SCA</t>
        </is>
      </c>
      <c r="I759" t="n">
        <v>4</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30138-2025</t>
        </is>
      </c>
      <c r="B760" t="inlineStr">
        <is>
          <t>avverkningsanmälan</t>
        </is>
      </c>
      <c r="C760" t="inlineStr">
        <is>
          <t>Föryngringsavverkning</t>
        </is>
      </c>
      <c r="D760" s="1" t="n">
        <v>45826</v>
      </c>
      <c r="E760" s="1" t="n">
        <v>46318</v>
      </c>
      <c r="F760" t="inlineStr">
        <is>
          <t>JÄMTLANDS LÄN</t>
        </is>
      </c>
      <c r="G760" t="inlineStr">
        <is>
          <t>STRÖMSUND</t>
        </is>
      </c>
      <c r="I760" t="n">
        <v>2</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57383-2023</t>
        </is>
      </c>
      <c r="B761" t="inlineStr">
        <is>
          <t>avverkningsanmälan</t>
        </is>
      </c>
      <c r="C761" t="inlineStr">
        <is>
          <t>Föryngringsavverkning</t>
        </is>
      </c>
      <c r="D761" s="1" t="n">
        <v>45245</v>
      </c>
      <c r="E761" s="1" t="n">
        <v>46318</v>
      </c>
      <c r="F761" t="inlineStr">
        <is>
          <t>JÄMTLANDS LÄN</t>
        </is>
      </c>
      <c r="G761" t="inlineStr">
        <is>
          <t>STRÖMSUND</t>
        </is>
      </c>
      <c r="I761" t="n">
        <v>1.1</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30188-2025</t>
        </is>
      </c>
      <c r="B762" t="inlineStr">
        <is>
          <t>avverkningsanmälan</t>
        </is>
      </c>
      <c r="C762" t="inlineStr">
        <is>
          <t>Föryngringsavverkning</t>
        </is>
      </c>
      <c r="D762" s="1" t="n">
        <v>45827</v>
      </c>
      <c r="E762" s="1" t="n">
        <v>46318</v>
      </c>
      <c r="F762" t="inlineStr">
        <is>
          <t>JÄMTLANDS LÄN</t>
        </is>
      </c>
      <c r="G762" t="inlineStr">
        <is>
          <t>STRÖMSUND</t>
        </is>
      </c>
      <c r="H762" t="inlineStr">
        <is>
          <t>SCA</t>
        </is>
      </c>
      <c r="I762" t="n">
        <v>1.5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29997-2025</t>
        </is>
      </c>
      <c r="B763" t="inlineStr">
        <is>
          <t>avverkningsanmälan</t>
        </is>
      </c>
      <c r="C763" t="inlineStr">
        <is>
          <t>Föryngringsavverkning</t>
        </is>
      </c>
      <c r="D763" s="1" t="n">
        <v>45826</v>
      </c>
      <c r="E763" s="1" t="n">
        <v>46318</v>
      </c>
      <c r="F763" t="inlineStr">
        <is>
          <t>JÄMTLANDS LÄN</t>
        </is>
      </c>
      <c r="G763" t="inlineStr">
        <is>
          <t>STRÖMSUND</t>
        </is>
      </c>
      <c r="I763" t="n">
        <v>2.1</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30015-2025</t>
        </is>
      </c>
      <c r="B764" t="inlineStr">
        <is>
          <t>avverkningsanmälan</t>
        </is>
      </c>
      <c r="C764" t="inlineStr">
        <is>
          <t>Föryngringsavverkning</t>
        </is>
      </c>
      <c r="D764" s="1" t="n">
        <v>45826</v>
      </c>
      <c r="E764" s="1" t="n">
        <v>46318</v>
      </c>
      <c r="F764" t="inlineStr">
        <is>
          <t>JÄMTLANDS LÄN</t>
        </is>
      </c>
      <c r="G764" t="inlineStr">
        <is>
          <t>STRÖMSUND</t>
        </is>
      </c>
      <c r="H764" t="inlineStr">
        <is>
          <t>SCA</t>
        </is>
      </c>
      <c r="I764" t="n">
        <v>0.8</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44601-2024</t>
        </is>
      </c>
      <c r="B765" t="inlineStr">
        <is>
          <t>avverkningsanmälan</t>
        </is>
      </c>
      <c r="C765" t="inlineStr">
        <is>
          <t>Avverkning för att bevara och utveckla /försöksver</t>
        </is>
      </c>
      <c r="D765" s="1" t="n">
        <v>45574</v>
      </c>
      <c r="E765" s="1" t="n">
        <v>46318</v>
      </c>
      <c r="F765" t="inlineStr">
        <is>
          <t>JÄMTLANDS LÄN</t>
        </is>
      </c>
      <c r="G765" t="inlineStr">
        <is>
          <t>STRÖMSUND</t>
        </is>
      </c>
      <c r="H765" t="inlineStr">
        <is>
          <t>SCA</t>
        </is>
      </c>
      <c r="I765" t="n">
        <v>1.8</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38622-2025</t>
        </is>
      </c>
      <c r="B766" t="inlineStr">
        <is>
          <t>avverkningsanmälan</t>
        </is>
      </c>
      <c r="C766" t="inlineStr">
        <is>
          <t>Föryngringsavverkning</t>
        </is>
      </c>
      <c r="D766" s="1" t="n">
        <v>45884</v>
      </c>
      <c r="E766" s="1" t="n">
        <v>46318</v>
      </c>
      <c r="F766" t="inlineStr">
        <is>
          <t>JÄMTLANDS LÄN</t>
        </is>
      </c>
      <c r="G766" t="inlineStr">
        <is>
          <t>STRÖMSUND</t>
        </is>
      </c>
      <c r="H766" t="inlineStr">
        <is>
          <t>SCA</t>
        </is>
      </c>
      <c r="I766" t="n">
        <v>8.199999999999999</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35746-2024</t>
        </is>
      </c>
      <c r="B767" t="inlineStr">
        <is>
          <t>avverkningsanmälan</t>
        </is>
      </c>
      <c r="C767" t="inlineStr">
        <is>
          <t>Föryngringsavverkning</t>
        </is>
      </c>
      <c r="D767" s="1" t="n">
        <v>45532</v>
      </c>
      <c r="E767" s="1" t="n">
        <v>46318</v>
      </c>
      <c r="F767" t="inlineStr">
        <is>
          <t>JÄMTLANDS LÄN</t>
        </is>
      </c>
      <c r="G767" t="inlineStr">
        <is>
          <t>STRÖMSUND</t>
        </is>
      </c>
      <c r="I767" t="n">
        <v>0.5</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33502-2022</t>
        </is>
      </c>
      <c r="B768" t="inlineStr">
        <is>
          <t>avverkningsanmälan</t>
        </is>
      </c>
      <c r="C768" t="inlineStr">
        <is>
          <t>Föryngringsavverkning</t>
        </is>
      </c>
      <c r="D768" s="1" t="n">
        <v>44788</v>
      </c>
      <c r="E768" s="1" t="n">
        <v>46318</v>
      </c>
      <c r="F768" t="inlineStr">
        <is>
          <t>JÄMTLANDS LÄN</t>
        </is>
      </c>
      <c r="G768" t="inlineStr">
        <is>
          <t>STRÖMSUND</t>
        </is>
      </c>
      <c r="I768" t="n">
        <v>0.8</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30807-2025</t>
        </is>
      </c>
      <c r="B769" t="inlineStr">
        <is>
          <t>avverkningsanmälan</t>
        </is>
      </c>
      <c r="C769" t="inlineStr">
        <is>
          <t>Föryngringsavverkning</t>
        </is>
      </c>
      <c r="D769" s="1" t="n">
        <v>45831</v>
      </c>
      <c r="E769" s="1" t="n">
        <v>46318</v>
      </c>
      <c r="F769" t="inlineStr">
        <is>
          <t>JÄMTLANDS LÄN</t>
        </is>
      </c>
      <c r="G769" t="inlineStr">
        <is>
          <t>STRÖMSUND</t>
        </is>
      </c>
      <c r="H769" t="inlineStr">
        <is>
          <t>SCA</t>
        </is>
      </c>
      <c r="I769" t="n">
        <v>0.4</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54598-2023</t>
        </is>
      </c>
      <c r="B770" t="inlineStr">
        <is>
          <t>avverkningsanmälan</t>
        </is>
      </c>
      <c r="C770" t="inlineStr">
        <is>
          <t>Föryngringsavverkning</t>
        </is>
      </c>
      <c r="D770" s="1" t="n">
        <v>45233</v>
      </c>
      <c r="E770" s="1" t="n">
        <v>46318</v>
      </c>
      <c r="F770" t="inlineStr">
        <is>
          <t>JÄMTLANDS LÄN</t>
        </is>
      </c>
      <c r="G770" t="inlineStr">
        <is>
          <t>STRÖMSUND</t>
        </is>
      </c>
      <c r="I770" t="n">
        <v>2.4</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30805-2025</t>
        </is>
      </c>
      <c r="B771" t="inlineStr">
        <is>
          <t>avverkningsanmälan</t>
        </is>
      </c>
      <c r="C771" t="inlineStr">
        <is>
          <t>Föryngringsavverkning</t>
        </is>
      </c>
      <c r="D771" s="1" t="n">
        <v>45831</v>
      </c>
      <c r="E771" s="1" t="n">
        <v>46318</v>
      </c>
      <c r="F771" t="inlineStr">
        <is>
          <t>JÄMTLANDS LÄN</t>
        </is>
      </c>
      <c r="G771" t="inlineStr">
        <is>
          <t>STRÖMSUND</t>
        </is>
      </c>
      <c r="H771" t="inlineStr">
        <is>
          <t>SCA</t>
        </is>
      </c>
      <c r="I771" t="n">
        <v>0.8</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30712-2025</t>
        </is>
      </c>
      <c r="B772" t="inlineStr">
        <is>
          <t>avverkningsanmälan</t>
        </is>
      </c>
      <c r="C772" t="inlineStr">
        <is>
          <t>Föryngringsavverkning</t>
        </is>
      </c>
      <c r="D772" s="1" t="n">
        <v>45831</v>
      </c>
      <c r="E772" s="1" t="n">
        <v>46318</v>
      </c>
      <c r="F772" t="inlineStr">
        <is>
          <t>JÄMTLANDS LÄN</t>
        </is>
      </c>
      <c r="G772" t="inlineStr">
        <is>
          <t>STRÖMSUND</t>
        </is>
      </c>
      <c r="H772" t="inlineStr">
        <is>
          <t>SCA</t>
        </is>
      </c>
      <c r="I772" t="n">
        <v>6.1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15522-2022</t>
        </is>
      </c>
      <c r="B773" t="inlineStr">
        <is>
          <t>avverkningsanmälan</t>
        </is>
      </c>
      <c r="C773" t="inlineStr">
        <is>
          <t>Föryngringsavverkning</t>
        </is>
      </c>
      <c r="D773" s="1" t="n">
        <v>44662</v>
      </c>
      <c r="E773" s="1" t="n">
        <v>46318</v>
      </c>
      <c r="F773" t="inlineStr">
        <is>
          <t>JÄMTLANDS LÄN</t>
        </is>
      </c>
      <c r="G773" t="inlineStr">
        <is>
          <t>STRÖMSUND</t>
        </is>
      </c>
      <c r="I773" t="n">
        <v>41.8</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31141-2025</t>
        </is>
      </c>
      <c r="B774" t="inlineStr">
        <is>
          <t>avverkningsanmälan</t>
        </is>
      </c>
      <c r="C774" t="inlineStr">
        <is>
          <t>Föryngringsavverkning</t>
        </is>
      </c>
      <c r="D774" s="1" t="n">
        <v>45832</v>
      </c>
      <c r="E774" s="1" t="n">
        <v>46318</v>
      </c>
      <c r="F774" t="inlineStr">
        <is>
          <t>JÄMTLANDS LÄN</t>
        </is>
      </c>
      <c r="G774" t="inlineStr">
        <is>
          <t>STRÖMSUND</t>
        </is>
      </c>
      <c r="H774" t="inlineStr">
        <is>
          <t>SCA</t>
        </is>
      </c>
      <c r="I774" t="n">
        <v>6.5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60002-2022</t>
        </is>
      </c>
      <c r="B775" t="inlineStr">
        <is>
          <t>avverkningsanmälan</t>
        </is>
      </c>
      <c r="C775" t="inlineStr">
        <is>
          <t>Föryngringsavverkning</t>
        </is>
      </c>
      <c r="D775" s="1" t="n">
        <v>44909</v>
      </c>
      <c r="E775" s="1" t="n">
        <v>46318</v>
      </c>
      <c r="F775" t="inlineStr">
        <is>
          <t>JÄMTLANDS LÄN</t>
        </is>
      </c>
      <c r="G775" t="inlineStr">
        <is>
          <t>STRÖMSUND</t>
        </is>
      </c>
      <c r="I775" t="n">
        <v>1.8</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58449-2022</t>
        </is>
      </c>
      <c r="B776" t="inlineStr">
        <is>
          <t>avverkningsanmälan</t>
        </is>
      </c>
      <c r="C776" t="inlineStr">
        <is>
          <t>Avverkning för att bevara och utveckla /försöksver</t>
        </is>
      </c>
      <c r="D776" s="1" t="n">
        <v>44901</v>
      </c>
      <c r="E776" s="1" t="n">
        <v>46318</v>
      </c>
      <c r="F776" t="inlineStr">
        <is>
          <t>JÄMTLANDS LÄN</t>
        </is>
      </c>
      <c r="G776" t="inlineStr">
        <is>
          <t>STRÖMSUND</t>
        </is>
      </c>
      <c r="H776" t="inlineStr">
        <is>
          <t>SCA</t>
        </is>
      </c>
      <c r="I776" t="n">
        <v>1.1</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31187-2025</t>
        </is>
      </c>
      <c r="B777" t="inlineStr">
        <is>
          <t>avverkningsanmälan</t>
        </is>
      </c>
      <c r="C777" t="inlineStr">
        <is>
          <t>Föryngringsavverkning</t>
        </is>
      </c>
      <c r="D777" s="1" t="n">
        <v>45832</v>
      </c>
      <c r="E777" s="1" t="n">
        <v>46318</v>
      </c>
      <c r="F777" t="inlineStr">
        <is>
          <t>JÄMTLANDS LÄN</t>
        </is>
      </c>
      <c r="G777" t="inlineStr">
        <is>
          <t>STRÖMSUND</t>
        </is>
      </c>
      <c r="H777" t="inlineStr">
        <is>
          <t>SCA</t>
        </is>
      </c>
      <c r="I777" t="n">
        <v>1.4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31142-2025</t>
        </is>
      </c>
      <c r="B778" t="inlineStr">
        <is>
          <t>avverkningsanmälan</t>
        </is>
      </c>
      <c r="C778" t="inlineStr">
        <is>
          <t>Föryngringsavverkning</t>
        </is>
      </c>
      <c r="D778" s="1" t="n">
        <v>45832</v>
      </c>
      <c r="E778" s="1" t="n">
        <v>46318</v>
      </c>
      <c r="F778" t="inlineStr">
        <is>
          <t>JÄMTLANDS LÄN</t>
        </is>
      </c>
      <c r="G778" t="inlineStr">
        <is>
          <t>STRÖMSUND</t>
        </is>
      </c>
      <c r="H778" t="inlineStr">
        <is>
          <t>SCA</t>
        </is>
      </c>
      <c r="I778" t="n">
        <v>2</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31160-2025</t>
        </is>
      </c>
      <c r="B779" t="inlineStr">
        <is>
          <t>avverkningsanmälan</t>
        </is>
      </c>
      <c r="C779" t="inlineStr">
        <is>
          <t>Föryngringsavverkning</t>
        </is>
      </c>
      <c r="D779" s="1" t="n">
        <v>45832</v>
      </c>
      <c r="E779" s="1" t="n">
        <v>46318</v>
      </c>
      <c r="F779" t="inlineStr">
        <is>
          <t>JÄMTLANDS LÄN</t>
        </is>
      </c>
      <c r="G779" t="inlineStr">
        <is>
          <t>STRÖMSUND</t>
        </is>
      </c>
      <c r="I779" t="n">
        <v>1.3</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31184-2025</t>
        </is>
      </c>
      <c r="B780" t="inlineStr">
        <is>
          <t>avverkningsanmälan</t>
        </is>
      </c>
      <c r="C780" t="inlineStr">
        <is>
          <t>Föryngringsavverkning</t>
        </is>
      </c>
      <c r="D780" s="1" t="n">
        <v>45832</v>
      </c>
      <c r="E780" s="1" t="n">
        <v>46318</v>
      </c>
      <c r="F780" t="inlineStr">
        <is>
          <t>JÄMTLANDS LÄN</t>
        </is>
      </c>
      <c r="G780" t="inlineStr">
        <is>
          <t>STRÖMSUND</t>
        </is>
      </c>
      <c r="H780" t="inlineStr">
        <is>
          <t>SCA</t>
        </is>
      </c>
      <c r="I780" t="n">
        <v>0.6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24059-2024</t>
        </is>
      </c>
      <c r="B781" t="inlineStr">
        <is>
          <t>avverkningsanmälan</t>
        </is>
      </c>
      <c r="C781" t="inlineStr">
        <is>
          <t>Föryngringsavverkning</t>
        </is>
      </c>
      <c r="D781" s="1" t="n">
        <v>45456</v>
      </c>
      <c r="E781" s="1" t="n">
        <v>46318</v>
      </c>
      <c r="F781" t="inlineStr">
        <is>
          <t>JÄMTLANDS LÄN</t>
        </is>
      </c>
      <c r="G781" t="inlineStr">
        <is>
          <t>STRÖMSUND</t>
        </is>
      </c>
      <c r="H781" t="inlineStr">
        <is>
          <t>Holmen skog AB</t>
        </is>
      </c>
      <c r="I781" t="n">
        <v>6.3</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10163-2025</t>
        </is>
      </c>
      <c r="B782" t="inlineStr">
        <is>
          <t>avverkningsanmälan</t>
        </is>
      </c>
      <c r="C782" t="inlineStr">
        <is>
          <t>Föryngringsavverkning</t>
        </is>
      </c>
      <c r="D782" s="1" t="n">
        <v>45719</v>
      </c>
      <c r="E782" s="1" t="n">
        <v>46318</v>
      </c>
      <c r="F782" t="inlineStr">
        <is>
          <t>JÄMTLANDS LÄN</t>
        </is>
      </c>
      <c r="G782" t="inlineStr">
        <is>
          <t>STRÖMSUND</t>
        </is>
      </c>
      <c r="H782" t="inlineStr">
        <is>
          <t>Kyrkan</t>
        </is>
      </c>
      <c r="I782" t="n">
        <v>1.6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32103-2025</t>
        </is>
      </c>
      <c r="B783" t="inlineStr">
        <is>
          <t>avverkningsanmälan</t>
        </is>
      </c>
      <c r="C783" t="inlineStr">
        <is>
          <t>Föryngringsavverkning</t>
        </is>
      </c>
      <c r="D783" s="1" t="n">
        <v>45835</v>
      </c>
      <c r="E783" s="1" t="n">
        <v>46318</v>
      </c>
      <c r="F783" t="inlineStr">
        <is>
          <t>JÄMTLANDS LÄN</t>
        </is>
      </c>
      <c r="G783" t="inlineStr">
        <is>
          <t>STRÖMSUND</t>
        </is>
      </c>
      <c r="H783" t="inlineStr">
        <is>
          <t>SCA</t>
        </is>
      </c>
      <c r="I783" t="n">
        <v>4.2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32028-2025</t>
        </is>
      </c>
      <c r="B784" t="inlineStr">
        <is>
          <t>avverkningsanmälan</t>
        </is>
      </c>
      <c r="C784" t="inlineStr">
        <is>
          <t>Föryngringsavverkning</t>
        </is>
      </c>
      <c r="D784" s="1" t="n">
        <v>45835</v>
      </c>
      <c r="E784" s="1" t="n">
        <v>46318</v>
      </c>
      <c r="F784" t="inlineStr">
        <is>
          <t>JÄMTLANDS LÄN</t>
        </is>
      </c>
      <c r="G784" t="inlineStr">
        <is>
          <t>STRÖMSUND</t>
        </is>
      </c>
      <c r="H784" t="inlineStr">
        <is>
          <t>SCA</t>
        </is>
      </c>
      <c r="I784" t="n">
        <v>6.1</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31722-2025</t>
        </is>
      </c>
      <c r="B785" t="inlineStr">
        <is>
          <t>avverkningsanmälan</t>
        </is>
      </c>
      <c r="C785" t="inlineStr">
        <is>
          <t>Föryngringsavverkning</t>
        </is>
      </c>
      <c r="D785" s="1" t="n">
        <v>45834</v>
      </c>
      <c r="E785" s="1" t="n">
        <v>46318</v>
      </c>
      <c r="F785" t="inlineStr">
        <is>
          <t>JÄMTLANDS LÄN</t>
        </is>
      </c>
      <c r="G785" t="inlineStr">
        <is>
          <t>STRÖMSUND</t>
        </is>
      </c>
      <c r="I785" t="n">
        <v>10.2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31769-2025</t>
        </is>
      </c>
      <c r="B786" t="inlineStr">
        <is>
          <t>avverkningsanmälan</t>
        </is>
      </c>
      <c r="C786" t="inlineStr">
        <is>
          <t>Föryngringsavverkning</t>
        </is>
      </c>
      <c r="D786" s="1" t="n">
        <v>45834</v>
      </c>
      <c r="E786" s="1" t="n">
        <v>46318</v>
      </c>
      <c r="F786" t="inlineStr">
        <is>
          <t>JÄMTLANDS LÄN</t>
        </is>
      </c>
      <c r="G786" t="inlineStr">
        <is>
          <t>STRÖMSUND</t>
        </is>
      </c>
      <c r="I786" t="n">
        <v>2.2</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63756-2023</t>
        </is>
      </c>
      <c r="B787" t="inlineStr">
        <is>
          <t>avverkningsanmälan</t>
        </is>
      </c>
      <c r="C787" t="inlineStr">
        <is>
          <t>Föryngringsavverkning</t>
        </is>
      </c>
      <c r="D787" s="1" t="n">
        <v>45278</v>
      </c>
      <c r="E787" s="1" t="n">
        <v>46318</v>
      </c>
      <c r="F787" t="inlineStr">
        <is>
          <t>JÄMTLANDS LÄN</t>
        </is>
      </c>
      <c r="G787" t="inlineStr">
        <is>
          <t>STRÖMSUND</t>
        </is>
      </c>
      <c r="I787" t="n">
        <v>4.3</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49370-2024</t>
        </is>
      </c>
      <c r="B788" t="inlineStr">
        <is>
          <t>avverkningsanmälan</t>
        </is>
      </c>
      <c r="C788" t="inlineStr">
        <is>
          <t>Avverkning för att bevara och utveckla /försöksver</t>
        </is>
      </c>
      <c r="D788" s="1" t="n">
        <v>45595</v>
      </c>
      <c r="E788" s="1" t="n">
        <v>46318</v>
      </c>
      <c r="F788" t="inlineStr">
        <is>
          <t>JÄMTLANDS LÄN</t>
        </is>
      </c>
      <c r="G788" t="inlineStr">
        <is>
          <t>STRÖMSUND</t>
        </is>
      </c>
      <c r="H788" t="inlineStr">
        <is>
          <t>SCA</t>
        </is>
      </c>
      <c r="I788" t="n">
        <v>1.3</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32473-2025</t>
        </is>
      </c>
      <c r="B789" t="inlineStr">
        <is>
          <t>avverkningsanmälan</t>
        </is>
      </c>
      <c r="C789" t="inlineStr">
        <is>
          <t>Föryngringsavverkning</t>
        </is>
      </c>
      <c r="D789" s="1" t="n">
        <v>45838</v>
      </c>
      <c r="E789" s="1" t="n">
        <v>46318</v>
      </c>
      <c r="F789" t="inlineStr">
        <is>
          <t>JÄMTLANDS LÄN</t>
        </is>
      </c>
      <c r="G789" t="inlineStr">
        <is>
          <t>STRÖMSUND</t>
        </is>
      </c>
      <c r="H789" t="inlineStr">
        <is>
          <t>SCA</t>
        </is>
      </c>
      <c r="I789" t="n">
        <v>4.1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18775-2023</t>
        </is>
      </c>
      <c r="B790" t="inlineStr">
        <is>
          <t>avverkningsanmälan</t>
        </is>
      </c>
      <c r="C790" t="inlineStr">
        <is>
          <t>Avverkning för att bevara och utveckla /försöksver</t>
        </is>
      </c>
      <c r="D790" s="1" t="n">
        <v>45043</v>
      </c>
      <c r="E790" s="1" t="n">
        <v>46318</v>
      </c>
      <c r="F790" t="inlineStr">
        <is>
          <t>JÄMTLANDS LÄN</t>
        </is>
      </c>
      <c r="G790" t="inlineStr">
        <is>
          <t>STRÖMSUND</t>
        </is>
      </c>
      <c r="H790" t="inlineStr">
        <is>
          <t>SCA</t>
        </is>
      </c>
      <c r="I790" t="n">
        <v>1.5</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32442-2025</t>
        </is>
      </c>
      <c r="B791" t="inlineStr">
        <is>
          <t>avverkningsanmälan</t>
        </is>
      </c>
      <c r="C791" t="inlineStr">
        <is>
          <t>Föryngringsavverkning</t>
        </is>
      </c>
      <c r="D791" s="1" t="n">
        <v>45838</v>
      </c>
      <c r="E791" s="1" t="n">
        <v>46318</v>
      </c>
      <c r="F791" t="inlineStr">
        <is>
          <t>JÄMTLANDS LÄN</t>
        </is>
      </c>
      <c r="G791" t="inlineStr">
        <is>
          <t>STRÖMSUND</t>
        </is>
      </c>
      <c r="H791" t="inlineStr">
        <is>
          <t>SCA</t>
        </is>
      </c>
      <c r="I791" t="n">
        <v>1.7</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32471-2025</t>
        </is>
      </c>
      <c r="B792" t="inlineStr">
        <is>
          <t>avverkningsanmälan</t>
        </is>
      </c>
      <c r="C792" t="inlineStr">
        <is>
          <t>Föryngringsavverkning</t>
        </is>
      </c>
      <c r="D792" s="1" t="n">
        <v>45838</v>
      </c>
      <c r="E792" s="1" t="n">
        <v>46318</v>
      </c>
      <c r="F792" t="inlineStr">
        <is>
          <t>JÄMTLANDS LÄN</t>
        </is>
      </c>
      <c r="G792" t="inlineStr">
        <is>
          <t>STRÖMSUND</t>
        </is>
      </c>
      <c r="H792" t="inlineStr">
        <is>
          <t>SCA</t>
        </is>
      </c>
      <c r="I792" t="n">
        <v>3.1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39285-2025</t>
        </is>
      </c>
      <c r="B793" t="inlineStr">
        <is>
          <t>avverkningsanmälan</t>
        </is>
      </c>
      <c r="C793" t="inlineStr">
        <is>
          <t>Föryngringsavverkning</t>
        </is>
      </c>
      <c r="D793" s="1" t="n">
        <v>45889</v>
      </c>
      <c r="E793" s="1" t="n">
        <v>46318</v>
      </c>
      <c r="F793" t="inlineStr">
        <is>
          <t>JÄMTLANDS LÄN</t>
        </is>
      </c>
      <c r="G793" t="inlineStr">
        <is>
          <t>STRÖMSUND</t>
        </is>
      </c>
      <c r="H793" t="inlineStr">
        <is>
          <t>SCA</t>
        </is>
      </c>
      <c r="I793" t="n">
        <v>8.800000000000001</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32733-2025</t>
        </is>
      </c>
      <c r="B794" t="inlineStr">
        <is>
          <t>avverkningsanmälan</t>
        </is>
      </c>
      <c r="C794" t="inlineStr">
        <is>
          <t>Föryngringsavverkning</t>
        </is>
      </c>
      <c r="D794" s="1" t="n">
        <v>45839</v>
      </c>
      <c r="E794" s="1" t="n">
        <v>46318</v>
      </c>
      <c r="F794" t="inlineStr">
        <is>
          <t>JÄMTLANDS LÄN</t>
        </is>
      </c>
      <c r="G794" t="inlineStr">
        <is>
          <t>STRÖMSUND</t>
        </is>
      </c>
      <c r="I794" t="n">
        <v>1.9</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32734-2025</t>
        </is>
      </c>
      <c r="B795" t="inlineStr">
        <is>
          <t>avverkningsanmälan</t>
        </is>
      </c>
      <c r="C795" t="inlineStr">
        <is>
          <t>Föryngringsavverkning</t>
        </is>
      </c>
      <c r="D795" s="1" t="n">
        <v>45839</v>
      </c>
      <c r="E795" s="1" t="n">
        <v>46318</v>
      </c>
      <c r="F795" t="inlineStr">
        <is>
          <t>JÄMTLANDS LÄN</t>
        </is>
      </c>
      <c r="G795" t="inlineStr">
        <is>
          <t>STRÖMSUND</t>
        </is>
      </c>
      <c r="H795" t="inlineStr">
        <is>
          <t>SCA</t>
        </is>
      </c>
      <c r="I795" t="n">
        <v>4.4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32699-2025</t>
        </is>
      </c>
      <c r="B796" t="inlineStr">
        <is>
          <t>avverkningsanmälan</t>
        </is>
      </c>
      <c r="C796" t="inlineStr">
        <is>
          <t>Föryngringsavverkning</t>
        </is>
      </c>
      <c r="D796" s="1" t="n">
        <v>45839</v>
      </c>
      <c r="E796" s="1" t="n">
        <v>46318</v>
      </c>
      <c r="F796" t="inlineStr">
        <is>
          <t>JÄMTLANDS LÄN</t>
        </is>
      </c>
      <c r="G796" t="inlineStr">
        <is>
          <t>STRÖMSUND</t>
        </is>
      </c>
      <c r="I796" t="n">
        <v>1.5</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32706-2025</t>
        </is>
      </c>
      <c r="B797" t="inlineStr">
        <is>
          <t>avverkningsanmälan</t>
        </is>
      </c>
      <c r="C797" t="inlineStr">
        <is>
          <t>Föryngringsavverkning</t>
        </is>
      </c>
      <c r="D797" s="1" t="n">
        <v>45839</v>
      </c>
      <c r="E797" s="1" t="n">
        <v>46318</v>
      </c>
      <c r="F797" t="inlineStr">
        <is>
          <t>JÄMTLANDS LÄN</t>
        </is>
      </c>
      <c r="G797" t="inlineStr">
        <is>
          <t>STRÖMSUND</t>
        </is>
      </c>
      <c r="I797" t="n">
        <v>1.7</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39040-2025</t>
        </is>
      </c>
      <c r="B798" t="inlineStr">
        <is>
          <t>avverkningsanmälan</t>
        </is>
      </c>
      <c r="C798" t="inlineStr">
        <is>
          <t>Föryngringsavverkning</t>
        </is>
      </c>
      <c r="D798" s="1" t="n">
        <v>45888</v>
      </c>
      <c r="E798" s="1" t="n">
        <v>46318</v>
      </c>
      <c r="F798" t="inlineStr">
        <is>
          <t>JÄMTLANDS LÄN</t>
        </is>
      </c>
      <c r="G798" t="inlineStr">
        <is>
          <t>STRÖMSUND</t>
        </is>
      </c>
      <c r="H798" t="inlineStr">
        <is>
          <t>SCA</t>
        </is>
      </c>
      <c r="I798" t="n">
        <v>1.8</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32595-2025</t>
        </is>
      </c>
      <c r="B799" t="inlineStr">
        <is>
          <t>avverkningsanmälan</t>
        </is>
      </c>
      <c r="C799" t="inlineStr">
        <is>
          <t>Föryngringsavverkning</t>
        </is>
      </c>
      <c r="D799" s="1" t="n">
        <v>45838</v>
      </c>
      <c r="E799" s="1" t="n">
        <v>46318</v>
      </c>
      <c r="F799" t="inlineStr">
        <is>
          <t>JÄMTLANDS LÄN</t>
        </is>
      </c>
      <c r="G799" t="inlineStr">
        <is>
          <t>STRÖMSUND</t>
        </is>
      </c>
      <c r="H799" t="inlineStr">
        <is>
          <t>SCA</t>
        </is>
      </c>
      <c r="I799" t="n">
        <v>9.199999999999999</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1421-2025</t>
        </is>
      </c>
      <c r="B800" t="inlineStr">
        <is>
          <t>avverkningsanmälan</t>
        </is>
      </c>
      <c r="C800" t="inlineStr">
        <is>
          <t>Föryngringsavverkning</t>
        </is>
      </c>
      <c r="D800" s="1" t="n">
        <v>45668</v>
      </c>
      <c r="E800" s="1" t="n">
        <v>46318</v>
      </c>
      <c r="F800" t="inlineStr">
        <is>
          <t>JÄMTLANDS LÄN</t>
        </is>
      </c>
      <c r="G800" t="inlineStr">
        <is>
          <t>STRÖMSUND</t>
        </is>
      </c>
      <c r="H800" t="inlineStr">
        <is>
          <t>SCA</t>
        </is>
      </c>
      <c r="I800" t="n">
        <v>7.2</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40140-2024</t>
        </is>
      </c>
      <c r="B801" t="inlineStr">
        <is>
          <t>avverkningsanmälan</t>
        </is>
      </c>
      <c r="C801" t="inlineStr">
        <is>
          <t>Föryngringsavverkning</t>
        </is>
      </c>
      <c r="D801" s="1" t="n">
        <v>45554</v>
      </c>
      <c r="E801" s="1" t="n">
        <v>46318</v>
      </c>
      <c r="F801" t="inlineStr">
        <is>
          <t>JÄMTLANDS LÄN</t>
        </is>
      </c>
      <c r="G801" t="inlineStr">
        <is>
          <t>STRÖMSUND</t>
        </is>
      </c>
      <c r="H801" t="inlineStr">
        <is>
          <t>Kyrkan</t>
        </is>
      </c>
      <c r="I801" t="n">
        <v>6.4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32472-2025</t>
        </is>
      </c>
      <c r="B802" t="inlineStr">
        <is>
          <t>avverkningsanmälan</t>
        </is>
      </c>
      <c r="C802" t="inlineStr">
        <is>
          <t>Föryngringsavverkning</t>
        </is>
      </c>
      <c r="D802" s="1" t="n">
        <v>45838</v>
      </c>
      <c r="E802" s="1" t="n">
        <v>46318</v>
      </c>
      <c r="F802" t="inlineStr">
        <is>
          <t>JÄMTLANDS LÄN</t>
        </is>
      </c>
      <c r="G802" t="inlineStr">
        <is>
          <t>STRÖMSUND</t>
        </is>
      </c>
      <c r="H802" t="inlineStr">
        <is>
          <t>SCA</t>
        </is>
      </c>
      <c r="I802" t="n">
        <v>3</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32567-2025</t>
        </is>
      </c>
      <c r="B803" t="inlineStr">
        <is>
          <t>avverkningsanmälan</t>
        </is>
      </c>
      <c r="C803" t="inlineStr">
        <is>
          <t>Föryngringsavverkning</t>
        </is>
      </c>
      <c r="D803" s="1" t="n">
        <v>45838</v>
      </c>
      <c r="E803" s="1" t="n">
        <v>46318</v>
      </c>
      <c r="F803" t="inlineStr">
        <is>
          <t>JÄMTLANDS LÄN</t>
        </is>
      </c>
      <c r="G803" t="inlineStr">
        <is>
          <t>STRÖMSUND</t>
        </is>
      </c>
      <c r="H803" t="inlineStr">
        <is>
          <t>SCA</t>
        </is>
      </c>
      <c r="I803" t="n">
        <v>5</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21209-2024</t>
        </is>
      </c>
      <c r="B804" t="inlineStr">
        <is>
          <t>avverkningsanmälan</t>
        </is>
      </c>
      <c r="C804" t="inlineStr">
        <is>
          <t>Föryngringsavverkning</t>
        </is>
      </c>
      <c r="D804" s="1" t="n">
        <v>45440</v>
      </c>
      <c r="E804" s="1" t="n">
        <v>46318</v>
      </c>
      <c r="F804" t="inlineStr">
        <is>
          <t>JÄMTLANDS LÄN</t>
        </is>
      </c>
      <c r="G804" t="inlineStr">
        <is>
          <t>STRÖMSUND</t>
        </is>
      </c>
      <c r="I804" t="n">
        <v>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1747-2023</t>
        </is>
      </c>
      <c r="B805" t="inlineStr">
        <is>
          <t>avverkningsanmälan</t>
        </is>
      </c>
      <c r="C805" t="inlineStr">
        <is>
          <t>Föryngringsavverkning</t>
        </is>
      </c>
      <c r="D805" s="1" t="n">
        <v>44936</v>
      </c>
      <c r="E805" s="1" t="n">
        <v>46318</v>
      </c>
      <c r="F805" t="inlineStr">
        <is>
          <t>JÄMTLANDS LÄN</t>
        </is>
      </c>
      <c r="G805" t="inlineStr">
        <is>
          <t>STRÖMSUND</t>
        </is>
      </c>
      <c r="I805" t="n">
        <v>13.1</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41070-2024</t>
        </is>
      </c>
      <c r="B806" t="inlineStr">
        <is>
          <t>avverkningsanmälan</t>
        </is>
      </c>
      <c r="C806" t="inlineStr">
        <is>
          <t>Avverkning för att bevara och utveckla /försöksver</t>
        </is>
      </c>
      <c r="D806" s="1" t="n">
        <v>45559</v>
      </c>
      <c r="E806" s="1" t="n">
        <v>46318</v>
      </c>
      <c r="F806" t="inlineStr">
        <is>
          <t>JÄMTLANDS LÄN</t>
        </is>
      </c>
      <c r="G806" t="inlineStr">
        <is>
          <t>STRÖMSUND</t>
        </is>
      </c>
      <c r="H806" t="inlineStr">
        <is>
          <t>Holmen skog AB</t>
        </is>
      </c>
      <c r="I806" t="n">
        <v>3.8</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59141-2024</t>
        </is>
      </c>
      <c r="B807" t="inlineStr">
        <is>
          <t>avverkningsanmälan</t>
        </is>
      </c>
      <c r="C807" t="inlineStr">
        <is>
          <t>Föryngringsavverkning</t>
        </is>
      </c>
      <c r="D807" s="1" t="n">
        <v>45637</v>
      </c>
      <c r="E807" s="1" t="n">
        <v>46318</v>
      </c>
      <c r="F807" t="inlineStr">
        <is>
          <t>JÄMTLANDS LÄN</t>
        </is>
      </c>
      <c r="G807" t="inlineStr">
        <is>
          <t>STRÖMSUND</t>
        </is>
      </c>
      <c r="I807" t="n">
        <v>1.3</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63140-2023</t>
        </is>
      </c>
      <c r="B808" t="inlineStr">
        <is>
          <t>avverkningsanmälan</t>
        </is>
      </c>
      <c r="C808" t="inlineStr">
        <is>
          <t>Föryngringsavverkning</t>
        </is>
      </c>
      <c r="D808" s="1" t="n">
        <v>45273</v>
      </c>
      <c r="E808" s="1" t="n">
        <v>46318</v>
      </c>
      <c r="F808" t="inlineStr">
        <is>
          <t>JÄMTLANDS LÄN</t>
        </is>
      </c>
      <c r="G808" t="inlineStr">
        <is>
          <t>STRÖMSUND</t>
        </is>
      </c>
      <c r="I808" t="n">
        <v>0.8</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32999-2025</t>
        </is>
      </c>
      <c r="B809" t="inlineStr">
        <is>
          <t>avverkningsanmälan</t>
        </is>
      </c>
      <c r="C809" t="inlineStr">
        <is>
          <t>Föryngringsavverkning</t>
        </is>
      </c>
      <c r="D809" s="1" t="n">
        <v>45840</v>
      </c>
      <c r="E809" s="1" t="n">
        <v>46318</v>
      </c>
      <c r="F809" t="inlineStr">
        <is>
          <t>JÄMTLANDS LÄN</t>
        </is>
      </c>
      <c r="G809" t="inlineStr">
        <is>
          <t>STRÖMSUND</t>
        </is>
      </c>
      <c r="H809" t="inlineStr">
        <is>
          <t>SCA</t>
        </is>
      </c>
      <c r="I809" t="n">
        <v>1.6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33326-2025</t>
        </is>
      </c>
      <c r="B810" t="inlineStr">
        <is>
          <t>avverkningsanmälan</t>
        </is>
      </c>
      <c r="C810" t="inlineStr">
        <is>
          <t>Föryngringsavverkning</t>
        </is>
      </c>
      <c r="D810" s="1" t="n">
        <v>45841</v>
      </c>
      <c r="E810" s="1" t="n">
        <v>46318</v>
      </c>
      <c r="F810" t="inlineStr">
        <is>
          <t>JÄMTLANDS LÄN</t>
        </is>
      </c>
      <c r="G810" t="inlineStr">
        <is>
          <t>STRÖMSUND</t>
        </is>
      </c>
      <c r="H810" t="inlineStr">
        <is>
          <t>SCA</t>
        </is>
      </c>
      <c r="I810" t="n">
        <v>3.4</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39860-2025</t>
        </is>
      </c>
      <c r="B811" t="inlineStr">
        <is>
          <t>avverkningsanmälan</t>
        </is>
      </c>
      <c r="C811" t="inlineStr">
        <is>
          <t>Föryngringsavverkning</t>
        </is>
      </c>
      <c r="D811" s="1" t="n">
        <v>45891</v>
      </c>
      <c r="E811" s="1" t="n">
        <v>46318</v>
      </c>
      <c r="F811" t="inlineStr">
        <is>
          <t>JÄMTLANDS LÄN</t>
        </is>
      </c>
      <c r="G811" t="inlineStr">
        <is>
          <t>STRÖMSUND</t>
        </is>
      </c>
      <c r="H811" t="inlineStr">
        <is>
          <t>SCA</t>
        </is>
      </c>
      <c r="I811" t="n">
        <v>1.9</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29299-2025</t>
        </is>
      </c>
      <c r="B812" t="inlineStr">
        <is>
          <t>avverkningsanmälan</t>
        </is>
      </c>
      <c r="C812" t="inlineStr">
        <is>
          <t>Föryngringsavverkning</t>
        </is>
      </c>
      <c r="D812" s="1" t="n">
        <v>45824</v>
      </c>
      <c r="E812" s="1" t="n">
        <v>46318</v>
      </c>
      <c r="F812" t="inlineStr">
        <is>
          <t>JÄMTLANDS LÄN</t>
        </is>
      </c>
      <c r="G812" t="inlineStr">
        <is>
          <t>STRÖMSUND</t>
        </is>
      </c>
      <c r="I812" t="n">
        <v>4.6</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39559-2025</t>
        </is>
      </c>
      <c r="B813" t="inlineStr">
        <is>
          <t>avverkningsanmälan</t>
        </is>
      </c>
      <c r="C813" t="inlineStr">
        <is>
          <t>Föryngringsavverkning</t>
        </is>
      </c>
      <c r="D813" s="1" t="n">
        <v>45890</v>
      </c>
      <c r="E813" s="1" t="n">
        <v>46318</v>
      </c>
      <c r="F813" t="inlineStr">
        <is>
          <t>JÄMTLANDS LÄN</t>
        </is>
      </c>
      <c r="G813" t="inlineStr">
        <is>
          <t>STRÖMSUND</t>
        </is>
      </c>
      <c r="H813" t="inlineStr">
        <is>
          <t>SCA</t>
        </is>
      </c>
      <c r="I813" t="n">
        <v>8.800000000000001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39560-2025</t>
        </is>
      </c>
      <c r="B814" t="inlineStr">
        <is>
          <t>avverkningsanmälan</t>
        </is>
      </c>
      <c r="C814" t="inlineStr">
        <is>
          <t>Föryngringsavverkning</t>
        </is>
      </c>
      <c r="D814" s="1" t="n">
        <v>45890</v>
      </c>
      <c r="E814" s="1" t="n">
        <v>46318</v>
      </c>
      <c r="F814" t="inlineStr">
        <is>
          <t>JÄMTLANDS LÄN</t>
        </is>
      </c>
      <c r="G814" t="inlineStr">
        <is>
          <t>STRÖMSUND</t>
        </is>
      </c>
      <c r="H814" t="inlineStr">
        <is>
          <t>Holmen skog AB</t>
        </is>
      </c>
      <c r="I814" t="n">
        <v>8.9</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61538-2024</t>
        </is>
      </c>
      <c r="B815" t="inlineStr">
        <is>
          <t>avverkningsanmälan</t>
        </is>
      </c>
      <c r="C815" t="inlineStr">
        <is>
          <t>Föryngringsavverkning</t>
        </is>
      </c>
      <c r="D815" s="1" t="n">
        <v>45646</v>
      </c>
      <c r="E815" s="1" t="n">
        <v>46318</v>
      </c>
      <c r="F815" t="inlineStr">
        <is>
          <t>JÄMTLANDS LÄN</t>
        </is>
      </c>
      <c r="G815" t="inlineStr">
        <is>
          <t>STRÖMSUND</t>
        </is>
      </c>
      <c r="H815" t="inlineStr">
        <is>
          <t>SCA</t>
        </is>
      </c>
      <c r="I815" t="n">
        <v>24.4</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18192-2025</t>
        </is>
      </c>
      <c r="B816" t="inlineStr">
        <is>
          <t>avverkningsanmälan</t>
        </is>
      </c>
      <c r="C816" t="inlineStr">
        <is>
          <t>Föryngringsavverkning</t>
        </is>
      </c>
      <c r="D816" s="1" t="n">
        <v>45761</v>
      </c>
      <c r="E816" s="1" t="n">
        <v>46318</v>
      </c>
      <c r="F816" t="inlineStr">
        <is>
          <t>JÄMTLANDS LÄN</t>
        </is>
      </c>
      <c r="G816" t="inlineStr">
        <is>
          <t>STRÖMSUND</t>
        </is>
      </c>
      <c r="I816" t="n">
        <v>1.8</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33327-2025</t>
        </is>
      </c>
      <c r="B817" t="inlineStr">
        <is>
          <t>avverkningsanmälan</t>
        </is>
      </c>
      <c r="C817" t="inlineStr">
        <is>
          <t>Föryngringsavverkning</t>
        </is>
      </c>
      <c r="D817" s="1" t="n">
        <v>45841</v>
      </c>
      <c r="E817" s="1" t="n">
        <v>46318</v>
      </c>
      <c r="F817" t="inlineStr">
        <is>
          <t>JÄMTLANDS LÄN</t>
        </is>
      </c>
      <c r="G817" t="inlineStr">
        <is>
          <t>STRÖMSUND</t>
        </is>
      </c>
      <c r="H817" t="inlineStr">
        <is>
          <t>SCA</t>
        </is>
      </c>
      <c r="I817" t="n">
        <v>7.3</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39507-2025</t>
        </is>
      </c>
      <c r="B818" t="inlineStr">
        <is>
          <t>avverkningsanmälan</t>
        </is>
      </c>
      <c r="C818" t="inlineStr">
        <is>
          <t>Föryngringsavverkning</t>
        </is>
      </c>
      <c r="D818" s="1" t="n">
        <v>45890</v>
      </c>
      <c r="E818" s="1" t="n">
        <v>46318</v>
      </c>
      <c r="F818" t="inlineStr">
        <is>
          <t>JÄMTLANDS LÄN</t>
        </is>
      </c>
      <c r="G818" t="inlineStr">
        <is>
          <t>STRÖMSUND</t>
        </is>
      </c>
      <c r="H818" t="inlineStr">
        <is>
          <t>SCA</t>
        </is>
      </c>
      <c r="I818" t="n">
        <v>3.6</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39508-2025</t>
        </is>
      </c>
      <c r="B819" t="inlineStr">
        <is>
          <t>avverkningsanmälan</t>
        </is>
      </c>
      <c r="C819" t="inlineStr">
        <is>
          <t>Föryngringsavverkning</t>
        </is>
      </c>
      <c r="D819" s="1" t="n">
        <v>45890</v>
      </c>
      <c r="E819" s="1" t="n">
        <v>46318</v>
      </c>
      <c r="F819" t="inlineStr">
        <is>
          <t>JÄMTLANDS LÄN</t>
        </is>
      </c>
      <c r="G819" t="inlineStr">
        <is>
          <t>STRÖMSUND</t>
        </is>
      </c>
      <c r="H819" t="inlineStr">
        <is>
          <t>SCA</t>
        </is>
      </c>
      <c r="I819" t="n">
        <v>3.2</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52134-2023</t>
        </is>
      </c>
      <c r="B820" t="inlineStr">
        <is>
          <t>avverkningsanmälan</t>
        </is>
      </c>
      <c r="C820" t="inlineStr">
        <is>
          <t>Föryngringsavverkning</t>
        </is>
      </c>
      <c r="D820" s="1" t="n">
        <v>45223</v>
      </c>
      <c r="E820" s="1" t="n">
        <v>46318</v>
      </c>
      <c r="F820" t="inlineStr">
        <is>
          <t>JÄMTLANDS LÄN</t>
        </is>
      </c>
      <c r="G820" t="inlineStr">
        <is>
          <t>STRÖMSUND</t>
        </is>
      </c>
      <c r="H820" t="inlineStr">
        <is>
          <t>SCA</t>
        </is>
      </c>
      <c r="I820" t="n">
        <v>4.5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1929-2024</t>
        </is>
      </c>
      <c r="B821" t="inlineStr">
        <is>
          <t>avverkningsanmälan</t>
        </is>
      </c>
      <c r="C821" t="inlineStr">
        <is>
          <t>Föryngringsavverkning</t>
        </is>
      </c>
      <c r="D821" s="1" t="n">
        <v>45308</v>
      </c>
      <c r="E821" s="1" t="n">
        <v>46318</v>
      </c>
      <c r="F821" t="inlineStr">
        <is>
          <t>JÄMTLANDS LÄN</t>
        </is>
      </c>
      <c r="G821" t="inlineStr">
        <is>
          <t>STRÖMSUND</t>
        </is>
      </c>
      <c r="I821" t="n">
        <v>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39628-2025</t>
        </is>
      </c>
      <c r="B822" t="inlineStr">
        <is>
          <t>avverkningsanmälan</t>
        </is>
      </c>
      <c r="C822" t="inlineStr">
        <is>
          <t>Föryngringsavverkning</t>
        </is>
      </c>
      <c r="D822" s="1" t="n">
        <v>45890</v>
      </c>
      <c r="E822" s="1" t="n">
        <v>46318</v>
      </c>
      <c r="F822" t="inlineStr">
        <is>
          <t>JÄMTLANDS LÄN</t>
        </is>
      </c>
      <c r="G822" t="inlineStr">
        <is>
          <t>STRÖMSUND</t>
        </is>
      </c>
      <c r="H822" t="inlineStr">
        <is>
          <t>Holmen skog AB</t>
        </is>
      </c>
      <c r="I822" t="n">
        <v>3.7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32358-2024</t>
        </is>
      </c>
      <c r="B823" t="inlineStr">
        <is>
          <t>avverkningsanmälan</t>
        </is>
      </c>
      <c r="C823" t="inlineStr">
        <is>
          <t>Föryngringsavverkning</t>
        </is>
      </c>
      <c r="D823" s="1" t="n">
        <v>45512</v>
      </c>
      <c r="E823" s="1" t="n">
        <v>46318</v>
      </c>
      <c r="F823" t="inlineStr">
        <is>
          <t>JÄMTLANDS LÄN</t>
        </is>
      </c>
      <c r="G823" t="inlineStr">
        <is>
          <t>STRÖMSUND</t>
        </is>
      </c>
      <c r="I823" t="n">
        <v>1.7</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40428-2025</t>
        </is>
      </c>
      <c r="B824" t="inlineStr">
        <is>
          <t>avverkningsanmälan</t>
        </is>
      </c>
      <c r="C824" t="inlineStr">
        <is>
          <t>Föryngringsavverkning</t>
        </is>
      </c>
      <c r="D824" s="1" t="n">
        <v>45895</v>
      </c>
      <c r="E824" s="1" t="n">
        <v>46318</v>
      </c>
      <c r="F824" t="inlineStr">
        <is>
          <t>JÄMTLANDS LÄN</t>
        </is>
      </c>
      <c r="G824" t="inlineStr">
        <is>
          <t>STRÖMSUND</t>
        </is>
      </c>
      <c r="H824" t="inlineStr">
        <is>
          <t>SCA</t>
        </is>
      </c>
      <c r="I824" t="n">
        <v>3.3</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33843-2025</t>
        </is>
      </c>
      <c r="B825" t="inlineStr">
        <is>
          <t>avverkningsanmälan</t>
        </is>
      </c>
      <c r="C825" t="inlineStr">
        <is>
          <t>Föryngringsavverkning</t>
        </is>
      </c>
      <c r="D825" s="1" t="n">
        <v>45842</v>
      </c>
      <c r="E825" s="1" t="n">
        <v>46318</v>
      </c>
      <c r="F825" t="inlineStr">
        <is>
          <t>JÄMTLANDS LÄN</t>
        </is>
      </c>
      <c r="G825" t="inlineStr">
        <is>
          <t>STRÖMSUND</t>
        </is>
      </c>
      <c r="H825" t="inlineStr">
        <is>
          <t>Holmen skog AB</t>
        </is>
      </c>
      <c r="I825" t="n">
        <v>0.4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33889-2025</t>
        </is>
      </c>
      <c r="B826" t="inlineStr">
        <is>
          <t>avverkningsanmälan</t>
        </is>
      </c>
      <c r="C826" t="inlineStr">
        <is>
          <t>Föryngringsavverkning</t>
        </is>
      </c>
      <c r="D826" s="1" t="n">
        <v>45842</v>
      </c>
      <c r="E826" s="1" t="n">
        <v>46318</v>
      </c>
      <c r="F826" t="inlineStr">
        <is>
          <t>JÄMTLANDS LÄN</t>
        </is>
      </c>
      <c r="G826" t="inlineStr">
        <is>
          <t>STRÖMSUND</t>
        </is>
      </c>
      <c r="H826" t="inlineStr">
        <is>
          <t>SCA</t>
        </is>
      </c>
      <c r="I826" t="n">
        <v>10.5</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40305-2025</t>
        </is>
      </c>
      <c r="B827" t="inlineStr">
        <is>
          <t>avverkningsanmälan</t>
        </is>
      </c>
      <c r="C827" t="inlineStr">
        <is>
          <t>Avverkning för att bevara och utveckla /försöksver</t>
        </is>
      </c>
      <c r="D827" s="1" t="n">
        <v>45895</v>
      </c>
      <c r="E827" s="1" t="n">
        <v>46318</v>
      </c>
      <c r="F827" t="inlineStr">
        <is>
          <t>JÄMTLANDS LÄN</t>
        </is>
      </c>
      <c r="G827" t="inlineStr">
        <is>
          <t>STRÖMSUND</t>
        </is>
      </c>
      <c r="H827" t="inlineStr">
        <is>
          <t>SCA</t>
        </is>
      </c>
      <c r="I827" t="n">
        <v>4.5</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27643-2024</t>
        </is>
      </c>
      <c r="B828" t="inlineStr">
        <is>
          <t>avverkningsanmälan</t>
        </is>
      </c>
      <c r="C828" t="inlineStr">
        <is>
          <t>Föryngringsavverkning</t>
        </is>
      </c>
      <c r="D828" s="1" t="n">
        <v>45474</v>
      </c>
      <c r="E828" s="1" t="n">
        <v>46318</v>
      </c>
      <c r="F828" t="inlineStr">
        <is>
          <t>JÄMTLANDS LÄN</t>
        </is>
      </c>
      <c r="G828" t="inlineStr">
        <is>
          <t>STRÖMSUND</t>
        </is>
      </c>
      <c r="H828" t="inlineStr">
        <is>
          <t>SCA</t>
        </is>
      </c>
      <c r="I828" t="n">
        <v>0.8</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34222-2025</t>
        </is>
      </c>
      <c r="B829" t="inlineStr">
        <is>
          <t>avverkningsanmälan</t>
        </is>
      </c>
      <c r="C829" t="inlineStr">
        <is>
          <t>Avverkning för annat ändamål</t>
        </is>
      </c>
      <c r="D829" s="1" t="n">
        <v>45845</v>
      </c>
      <c r="E829" s="1" t="n">
        <v>46318</v>
      </c>
      <c r="F829" t="inlineStr">
        <is>
          <t>JÄMTLANDS LÄN</t>
        </is>
      </c>
      <c r="G829" t="inlineStr">
        <is>
          <t>STRÖMSUND</t>
        </is>
      </c>
      <c r="H829" t="inlineStr">
        <is>
          <t>Holmen skog AB</t>
        </is>
      </c>
      <c r="I829" t="n">
        <v>0.2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40452-2025</t>
        </is>
      </c>
      <c r="B830" t="inlineStr">
        <is>
          <t>avverkningsanmälan</t>
        </is>
      </c>
      <c r="C830" t="inlineStr">
        <is>
          <t>Föryngringsavverkning</t>
        </is>
      </c>
      <c r="D830" s="1" t="n">
        <v>45895</v>
      </c>
      <c r="E830" s="1" t="n">
        <v>46318</v>
      </c>
      <c r="F830" t="inlineStr">
        <is>
          <t>JÄMTLANDS LÄN</t>
        </is>
      </c>
      <c r="G830" t="inlineStr">
        <is>
          <t>STRÖMSUND</t>
        </is>
      </c>
      <c r="H830" t="inlineStr">
        <is>
          <t>SCA</t>
        </is>
      </c>
      <c r="I830" t="n">
        <v>0.3</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34187-2025</t>
        </is>
      </c>
      <c r="B831" t="inlineStr">
        <is>
          <t>avverkningsanmälan</t>
        </is>
      </c>
      <c r="C831" t="inlineStr">
        <is>
          <t>Föryngringsavverkning</t>
        </is>
      </c>
      <c r="D831" s="1" t="n">
        <v>45845</v>
      </c>
      <c r="E831" s="1" t="n">
        <v>46318</v>
      </c>
      <c r="F831" t="inlineStr">
        <is>
          <t>JÄMTLANDS LÄN</t>
        </is>
      </c>
      <c r="G831" t="inlineStr">
        <is>
          <t>STRÖMSUND</t>
        </is>
      </c>
      <c r="H831" t="inlineStr">
        <is>
          <t>SCA</t>
        </is>
      </c>
      <c r="I831" t="n">
        <v>8.6</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57501-2023</t>
        </is>
      </c>
      <c r="B832" t="inlineStr">
        <is>
          <t>avverkningsanmälan</t>
        </is>
      </c>
      <c r="C832" t="inlineStr">
        <is>
          <t>Föryngringsavverkning</t>
        </is>
      </c>
      <c r="D832" s="1" t="n">
        <v>45246</v>
      </c>
      <c r="E832" s="1" t="n">
        <v>46318</v>
      </c>
      <c r="F832" t="inlineStr">
        <is>
          <t>JÄMTLANDS LÄN</t>
        </is>
      </c>
      <c r="G832" t="inlineStr">
        <is>
          <t>STRÖMSUND</t>
        </is>
      </c>
      <c r="I832" t="n">
        <v>1.4</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57504-2023</t>
        </is>
      </c>
      <c r="B833" t="inlineStr">
        <is>
          <t>avverkningsanmälan</t>
        </is>
      </c>
      <c r="C833" t="inlineStr">
        <is>
          <t>Föryngringsavverkning</t>
        </is>
      </c>
      <c r="D833" s="1" t="n">
        <v>45246</v>
      </c>
      <c r="E833" s="1" t="n">
        <v>46318</v>
      </c>
      <c r="F833" t="inlineStr">
        <is>
          <t>JÄMTLANDS LÄN</t>
        </is>
      </c>
      <c r="G833" t="inlineStr">
        <is>
          <t>STRÖMSUND</t>
        </is>
      </c>
      <c r="I833" t="n">
        <v>2.5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54964-2024</t>
        </is>
      </c>
      <c r="B834" t="inlineStr">
        <is>
          <t>avverkningsanmälan</t>
        </is>
      </c>
      <c r="C834" t="inlineStr">
        <is>
          <t>Föryngringsavverkning</t>
        </is>
      </c>
      <c r="D834" s="1" t="n">
        <v>45620</v>
      </c>
      <c r="E834" s="1" t="n">
        <v>46318</v>
      </c>
      <c r="F834" t="inlineStr">
        <is>
          <t>JÄMTLANDS LÄN</t>
        </is>
      </c>
      <c r="G834" t="inlineStr">
        <is>
          <t>STRÖMSUND</t>
        </is>
      </c>
      <c r="H834" t="inlineStr">
        <is>
          <t>SCA</t>
        </is>
      </c>
      <c r="I834" t="n">
        <v>2.8</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39966-2025</t>
        </is>
      </c>
      <c r="B835" t="inlineStr">
        <is>
          <t>avverkningsanmälan</t>
        </is>
      </c>
      <c r="C835" t="inlineStr">
        <is>
          <t>Föryngringsavverkning</t>
        </is>
      </c>
      <c r="D835" s="1" t="n">
        <v>45892</v>
      </c>
      <c r="E835" s="1" t="n">
        <v>46318</v>
      </c>
      <c r="F835" t="inlineStr">
        <is>
          <t>JÄMTLANDS LÄN</t>
        </is>
      </c>
      <c r="G835" t="inlineStr">
        <is>
          <t>STRÖMSUND</t>
        </is>
      </c>
      <c r="H835" t="inlineStr">
        <is>
          <t>SCA</t>
        </is>
      </c>
      <c r="I835" t="n">
        <v>4.1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40224-2025</t>
        </is>
      </c>
      <c r="B836" t="inlineStr">
        <is>
          <t>avverkningsanmälan</t>
        </is>
      </c>
      <c r="C836" t="inlineStr">
        <is>
          <t>Föryngringsavverkning</t>
        </is>
      </c>
      <c r="D836" s="1" t="n">
        <v>45894</v>
      </c>
      <c r="E836" s="1" t="n">
        <v>46318</v>
      </c>
      <c r="F836" t="inlineStr">
        <is>
          <t>JÄMTLANDS LÄN</t>
        </is>
      </c>
      <c r="G836" t="inlineStr">
        <is>
          <t>STRÖMSUND</t>
        </is>
      </c>
      <c r="H836" t="inlineStr">
        <is>
          <t>SCA</t>
        </is>
      </c>
      <c r="I836" t="n">
        <v>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40427-2025</t>
        </is>
      </c>
      <c r="B837" t="inlineStr">
        <is>
          <t>avverkningsanmälan</t>
        </is>
      </c>
      <c r="C837" t="inlineStr">
        <is>
          <t>Föryngringsavverkning</t>
        </is>
      </c>
      <c r="D837" s="1" t="n">
        <v>45895</v>
      </c>
      <c r="E837" s="1" t="n">
        <v>46318</v>
      </c>
      <c r="F837" t="inlineStr">
        <is>
          <t>JÄMTLANDS LÄN</t>
        </is>
      </c>
      <c r="G837" t="inlineStr">
        <is>
          <t>STRÖMSUND</t>
        </is>
      </c>
      <c r="H837" t="inlineStr">
        <is>
          <t>SCA</t>
        </is>
      </c>
      <c r="I837" t="n">
        <v>17.1</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33797-2025</t>
        </is>
      </c>
      <c r="B838" t="inlineStr">
        <is>
          <t>avverkningsanmälan</t>
        </is>
      </c>
      <c r="C838" t="inlineStr">
        <is>
          <t>Avverkning för annat ändamål</t>
        </is>
      </c>
      <c r="D838" s="1" t="n">
        <v>45842</v>
      </c>
      <c r="E838" s="1" t="n">
        <v>46318</v>
      </c>
      <c r="F838" t="inlineStr">
        <is>
          <t>JÄMTLANDS LÄN</t>
        </is>
      </c>
      <c r="G838" t="inlineStr">
        <is>
          <t>STRÖMSUND</t>
        </is>
      </c>
      <c r="I838" t="n">
        <v>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40905-2025</t>
        </is>
      </c>
      <c r="B839" t="inlineStr">
        <is>
          <t>avverkningsanmälan</t>
        </is>
      </c>
      <c r="C839" t="inlineStr">
        <is>
          <t>Föryngringsavverkning</t>
        </is>
      </c>
      <c r="D839" s="1" t="n">
        <v>45897</v>
      </c>
      <c r="E839" s="1" t="n">
        <v>46318</v>
      </c>
      <c r="F839" t="inlineStr">
        <is>
          <t>JÄMTLANDS LÄN</t>
        </is>
      </c>
      <c r="G839" t="inlineStr">
        <is>
          <t>STRÖMSUND</t>
        </is>
      </c>
      <c r="H839" t="inlineStr">
        <is>
          <t>SCA</t>
        </is>
      </c>
      <c r="I839" t="n">
        <v>5.9</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40714-2025</t>
        </is>
      </c>
      <c r="B840" t="inlineStr">
        <is>
          <t>avverkningsanmälan</t>
        </is>
      </c>
      <c r="C840" t="inlineStr">
        <is>
          <t>Föryngringsavverkning</t>
        </is>
      </c>
      <c r="D840" s="1" t="n">
        <v>45897</v>
      </c>
      <c r="E840" s="1" t="n">
        <v>46318</v>
      </c>
      <c r="F840" t="inlineStr">
        <is>
          <t>JÄMTLANDS LÄN</t>
        </is>
      </c>
      <c r="G840" t="inlineStr">
        <is>
          <t>STRÖMSUND</t>
        </is>
      </c>
      <c r="H840" t="inlineStr">
        <is>
          <t>SCA</t>
        </is>
      </c>
      <c r="I840" t="n">
        <v>12</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24509-2022</t>
        </is>
      </c>
      <c r="B841" t="inlineStr">
        <is>
          <t>avverkningsanmälan</t>
        </is>
      </c>
      <c r="C841" t="inlineStr">
        <is>
          <t>Föryngringsavverkning</t>
        </is>
      </c>
      <c r="D841" s="1" t="n">
        <v>44726</v>
      </c>
      <c r="E841" s="1" t="n">
        <v>46318</v>
      </c>
      <c r="F841" t="inlineStr">
        <is>
          <t>JÄMTLANDS LÄN</t>
        </is>
      </c>
      <c r="G841" t="inlineStr">
        <is>
          <t>STRÖMSUND</t>
        </is>
      </c>
      <c r="I841" t="n">
        <v>6.9</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40867-2025</t>
        </is>
      </c>
      <c r="B842" t="inlineStr">
        <is>
          <t>avverkningsanmälan</t>
        </is>
      </c>
      <c r="C842" t="inlineStr">
        <is>
          <t>Föryngringsavverkning</t>
        </is>
      </c>
      <c r="D842" s="1" t="n">
        <v>45897</v>
      </c>
      <c r="E842" s="1" t="n">
        <v>46318</v>
      </c>
      <c r="F842" t="inlineStr">
        <is>
          <t>JÄMTLANDS LÄN</t>
        </is>
      </c>
      <c r="G842" t="inlineStr">
        <is>
          <t>STRÖMSUND</t>
        </is>
      </c>
      <c r="H842" t="inlineStr">
        <is>
          <t>SCA</t>
        </is>
      </c>
      <c r="I842" t="n">
        <v>2.7</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40840-2025</t>
        </is>
      </c>
      <c r="B843" t="inlineStr">
        <is>
          <t>avverkningsanmälan</t>
        </is>
      </c>
      <c r="C843" t="inlineStr">
        <is>
          <t>Föryngringsavverkning</t>
        </is>
      </c>
      <c r="D843" s="1" t="n">
        <v>45897</v>
      </c>
      <c r="E843" s="1" t="n">
        <v>46318</v>
      </c>
      <c r="F843" t="inlineStr">
        <is>
          <t>JÄMTLANDS LÄN</t>
        </is>
      </c>
      <c r="G843" t="inlineStr">
        <is>
          <t>STRÖMSUND</t>
        </is>
      </c>
      <c r="H843" t="inlineStr">
        <is>
          <t>SCA</t>
        </is>
      </c>
      <c r="I843" t="n">
        <v>4.7</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40846-2025</t>
        </is>
      </c>
      <c r="B844" t="inlineStr">
        <is>
          <t>avverkningsanmälan</t>
        </is>
      </c>
      <c r="C844" t="inlineStr">
        <is>
          <t>Föryngringsavverkning</t>
        </is>
      </c>
      <c r="D844" s="1" t="n">
        <v>45897</v>
      </c>
      <c r="E844" s="1" t="n">
        <v>46318</v>
      </c>
      <c r="F844" t="inlineStr">
        <is>
          <t>JÄMTLANDS LÄN</t>
        </is>
      </c>
      <c r="G844" t="inlineStr">
        <is>
          <t>STRÖMSUND</t>
        </is>
      </c>
      <c r="I844" t="n">
        <v>1.8</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40901-2025</t>
        </is>
      </c>
      <c r="B845" t="inlineStr">
        <is>
          <t>avverkningsanmälan</t>
        </is>
      </c>
      <c r="C845" t="inlineStr">
        <is>
          <t>Föryngringsavverkning</t>
        </is>
      </c>
      <c r="D845" s="1" t="n">
        <v>45897</v>
      </c>
      <c r="E845" s="1" t="n">
        <v>46318</v>
      </c>
      <c r="F845" t="inlineStr">
        <is>
          <t>JÄMTLANDS LÄN</t>
        </is>
      </c>
      <c r="G845" t="inlineStr">
        <is>
          <t>STRÖMSUND</t>
        </is>
      </c>
      <c r="H845" t="inlineStr">
        <is>
          <t>SCA</t>
        </is>
      </c>
      <c r="I845" t="n">
        <v>2</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40906-2025</t>
        </is>
      </c>
      <c r="B846" t="inlineStr">
        <is>
          <t>avverkningsanmälan</t>
        </is>
      </c>
      <c r="C846" t="inlineStr">
        <is>
          <t>Föryngringsavverkning</t>
        </is>
      </c>
      <c r="D846" s="1" t="n">
        <v>45897</v>
      </c>
      <c r="E846" s="1" t="n">
        <v>46318</v>
      </c>
      <c r="F846" t="inlineStr">
        <is>
          <t>JÄMTLANDS LÄN</t>
        </is>
      </c>
      <c r="G846" t="inlineStr">
        <is>
          <t>STRÖMSUND</t>
        </is>
      </c>
      <c r="H846" t="inlineStr">
        <is>
          <t>SCA</t>
        </is>
      </c>
      <c r="I846" t="n">
        <v>5.5</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34491-2025</t>
        </is>
      </c>
      <c r="B847" t="inlineStr">
        <is>
          <t>avverkningsanmälan</t>
        </is>
      </c>
      <c r="C847" t="inlineStr">
        <is>
          <t>Föryngringsavverkning</t>
        </is>
      </c>
      <c r="D847" s="1" t="n">
        <v>45847</v>
      </c>
      <c r="E847" s="1" t="n">
        <v>46318</v>
      </c>
      <c r="F847" t="inlineStr">
        <is>
          <t>JÄMTLANDS LÄN</t>
        </is>
      </c>
      <c r="G847" t="inlineStr">
        <is>
          <t>STRÖMSUND</t>
        </is>
      </c>
      <c r="H847" t="inlineStr">
        <is>
          <t>SCA</t>
        </is>
      </c>
      <c r="I847" t="n">
        <v>2.9</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40770-2025</t>
        </is>
      </c>
      <c r="B848" t="inlineStr">
        <is>
          <t>avverkningsanmälan</t>
        </is>
      </c>
      <c r="C848" t="inlineStr">
        <is>
          <t>Föryngringsavverkning</t>
        </is>
      </c>
      <c r="D848" s="1" t="n">
        <v>45897</v>
      </c>
      <c r="E848" s="1" t="n">
        <v>46318</v>
      </c>
      <c r="F848" t="inlineStr">
        <is>
          <t>JÄMTLANDS LÄN</t>
        </is>
      </c>
      <c r="G848" t="inlineStr">
        <is>
          <t>STRÖMSUND</t>
        </is>
      </c>
      <c r="H848" t="inlineStr">
        <is>
          <t>SCA</t>
        </is>
      </c>
      <c r="I848" t="n">
        <v>1.5</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40840-2022</t>
        </is>
      </c>
      <c r="B849" t="inlineStr">
        <is>
          <t>avverkningsanmälan</t>
        </is>
      </c>
      <c r="C849" t="inlineStr">
        <is>
          <t>Avverkning för att bevara och utveckla /försöksver</t>
        </is>
      </c>
      <c r="D849" s="1" t="n">
        <v>44824</v>
      </c>
      <c r="E849" s="1" t="n">
        <v>46318</v>
      </c>
      <c r="F849" t="inlineStr">
        <is>
          <t>JÄMTLANDS LÄN</t>
        </is>
      </c>
      <c r="G849" t="inlineStr">
        <is>
          <t>STRÖMSUND</t>
        </is>
      </c>
      <c r="H849" t="inlineStr">
        <is>
          <t>SCA</t>
        </is>
      </c>
      <c r="I849" t="n">
        <v>1.9</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32324-2024</t>
        </is>
      </c>
      <c r="B850" t="inlineStr">
        <is>
          <t>avverkningsanmälan</t>
        </is>
      </c>
      <c r="C850" t="inlineStr">
        <is>
          <t>Föryngringsavverkning</t>
        </is>
      </c>
      <c r="D850" s="1" t="n">
        <v>45512</v>
      </c>
      <c r="E850" s="1" t="n">
        <v>46318</v>
      </c>
      <c r="F850" t="inlineStr">
        <is>
          <t>JÄMTLANDS LÄN</t>
        </is>
      </c>
      <c r="G850" t="inlineStr">
        <is>
          <t>STRÖMSUND</t>
        </is>
      </c>
      <c r="I850" t="n">
        <v>3.6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40891-2025</t>
        </is>
      </c>
      <c r="B851" t="inlineStr">
        <is>
          <t>avverkningsanmälan</t>
        </is>
      </c>
      <c r="C851" t="inlineStr">
        <is>
          <t>Föryngringsavverkning</t>
        </is>
      </c>
      <c r="D851" s="1" t="n">
        <v>45897</v>
      </c>
      <c r="E851" s="1" t="n">
        <v>46318</v>
      </c>
      <c r="F851" t="inlineStr">
        <is>
          <t>JÄMTLANDS LÄN</t>
        </is>
      </c>
      <c r="G851" t="inlineStr">
        <is>
          <t>STRÖMSUND</t>
        </is>
      </c>
      <c r="H851" t="inlineStr">
        <is>
          <t>Holmen skog AB</t>
        </is>
      </c>
      <c r="I851" t="n">
        <v>1.5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40960-2025</t>
        </is>
      </c>
      <c r="B852" t="inlineStr">
        <is>
          <t>avverkningsanmälan</t>
        </is>
      </c>
      <c r="C852" t="inlineStr">
        <is>
          <t>Föryngringsavverkning</t>
        </is>
      </c>
      <c r="D852" s="1" t="n">
        <v>45897</v>
      </c>
      <c r="E852" s="1" t="n">
        <v>46318</v>
      </c>
      <c r="F852" t="inlineStr">
        <is>
          <t>JÄMTLANDS LÄN</t>
        </is>
      </c>
      <c r="G852" t="inlineStr">
        <is>
          <t>STRÖMSUND</t>
        </is>
      </c>
      <c r="H852" t="inlineStr">
        <is>
          <t>SCA</t>
        </is>
      </c>
      <c r="I852" t="n">
        <v>9.4</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4315-2025</t>
        </is>
      </c>
      <c r="B853" t="inlineStr">
        <is>
          <t>avverkningsanmälan</t>
        </is>
      </c>
      <c r="C853" t="inlineStr">
        <is>
          <t>Föryngringsavverkning</t>
        </is>
      </c>
      <c r="D853" s="1" t="n">
        <v>45685</v>
      </c>
      <c r="E853" s="1" t="n">
        <v>46318</v>
      </c>
      <c r="F853" t="inlineStr">
        <is>
          <t>JÄMTLANDS LÄN</t>
        </is>
      </c>
      <c r="G853" t="inlineStr">
        <is>
          <t>STRÖMSUND</t>
        </is>
      </c>
      <c r="I853" t="n">
        <v>9.4</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25361-2024</t>
        </is>
      </c>
      <c r="B854" t="inlineStr">
        <is>
          <t>avverkningsanmälan</t>
        </is>
      </c>
      <c r="C854" t="inlineStr">
        <is>
          <t>Föryngringsavverkning</t>
        </is>
      </c>
      <c r="D854" s="1" t="n">
        <v>45462</v>
      </c>
      <c r="E854" s="1" t="n">
        <v>46318</v>
      </c>
      <c r="F854" t="inlineStr">
        <is>
          <t>JÄMTLANDS LÄN</t>
        </is>
      </c>
      <c r="G854" t="inlineStr">
        <is>
          <t>STRÖMSUND</t>
        </is>
      </c>
      <c r="H854" t="inlineStr">
        <is>
          <t>SCA</t>
        </is>
      </c>
      <c r="I854" t="n">
        <v>2</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40870-2025</t>
        </is>
      </c>
      <c r="B855" t="inlineStr">
        <is>
          <t>avverkningsanmälan</t>
        </is>
      </c>
      <c r="C855" t="inlineStr">
        <is>
          <t>Föryngringsavverkning</t>
        </is>
      </c>
      <c r="D855" s="1" t="n">
        <v>45897</v>
      </c>
      <c r="E855" s="1" t="n">
        <v>46318</v>
      </c>
      <c r="F855" t="inlineStr">
        <is>
          <t>JÄMTLANDS LÄN</t>
        </is>
      </c>
      <c r="G855" t="inlineStr">
        <is>
          <t>STRÖMSUND</t>
        </is>
      </c>
      <c r="H855" t="inlineStr">
        <is>
          <t>SCA</t>
        </is>
      </c>
      <c r="I855" t="n">
        <v>1.9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41448-2025</t>
        </is>
      </c>
      <c r="B856" t="inlineStr">
        <is>
          <t>avverkningsanmälan</t>
        </is>
      </c>
      <c r="C856" t="inlineStr">
        <is>
          <t>Föryngringsavverkning</t>
        </is>
      </c>
      <c r="D856" s="1" t="n">
        <v>45901</v>
      </c>
      <c r="E856" s="1" t="n">
        <v>46318</v>
      </c>
      <c r="F856" t="inlineStr">
        <is>
          <t>JÄMTLANDS LÄN</t>
        </is>
      </c>
      <c r="G856" t="inlineStr">
        <is>
          <t>STRÖMSUND</t>
        </is>
      </c>
      <c r="H856" t="inlineStr">
        <is>
          <t>SCA</t>
        </is>
      </c>
      <c r="I856" t="n">
        <v>3.8</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34683-2025</t>
        </is>
      </c>
      <c r="B857" t="inlineStr">
        <is>
          <t>avverkningsanmälan</t>
        </is>
      </c>
      <c r="C857" t="inlineStr">
        <is>
          <t>Föryngringsavverkning</t>
        </is>
      </c>
      <c r="D857" s="1" t="n">
        <v>45848</v>
      </c>
      <c r="E857" s="1" t="n">
        <v>46318</v>
      </c>
      <c r="F857" t="inlineStr">
        <is>
          <t>JÄMTLANDS LÄN</t>
        </is>
      </c>
      <c r="G857" t="inlineStr">
        <is>
          <t>STRÖMSUND</t>
        </is>
      </c>
      <c r="H857" t="inlineStr">
        <is>
          <t>SCA</t>
        </is>
      </c>
      <c r="I857" t="n">
        <v>12.5</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34684-2025</t>
        </is>
      </c>
      <c r="B858" t="inlineStr">
        <is>
          <t>avverkningsanmälan</t>
        </is>
      </c>
      <c r="C858" t="inlineStr">
        <is>
          <t>Föryngringsavverkning</t>
        </is>
      </c>
      <c r="D858" s="1" t="n">
        <v>45848</v>
      </c>
      <c r="E858" s="1" t="n">
        <v>46318</v>
      </c>
      <c r="F858" t="inlineStr">
        <is>
          <t>JÄMTLANDS LÄN</t>
        </is>
      </c>
      <c r="G858" t="inlineStr">
        <is>
          <t>STRÖMSUND</t>
        </is>
      </c>
      <c r="H858" t="inlineStr">
        <is>
          <t>SCA</t>
        </is>
      </c>
      <c r="I858" t="n">
        <v>1.4</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34833-2025</t>
        </is>
      </c>
      <c r="B859" t="inlineStr">
        <is>
          <t>avverkningsanmälan</t>
        </is>
      </c>
      <c r="C859" t="inlineStr">
        <is>
          <t>Föryngringsavverkning</t>
        </is>
      </c>
      <c r="D859" s="1" t="n">
        <v>45849</v>
      </c>
      <c r="E859" s="1" t="n">
        <v>46318</v>
      </c>
      <c r="F859" t="inlineStr">
        <is>
          <t>JÄMTLANDS LÄN</t>
        </is>
      </c>
      <c r="G859" t="inlineStr">
        <is>
          <t>STRÖMSUND</t>
        </is>
      </c>
      <c r="H859" t="inlineStr">
        <is>
          <t>Sveaskog</t>
        </is>
      </c>
      <c r="I859" t="n">
        <v>8.699999999999999</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34838-2025</t>
        </is>
      </c>
      <c r="B860" t="inlineStr">
        <is>
          <t>avverkningsanmälan</t>
        </is>
      </c>
      <c r="C860" t="inlineStr">
        <is>
          <t>Föryngringsavverkning</t>
        </is>
      </c>
      <c r="D860" s="1" t="n">
        <v>45849</v>
      </c>
      <c r="E860" s="1" t="n">
        <v>46318</v>
      </c>
      <c r="F860" t="inlineStr">
        <is>
          <t>JÄMTLANDS LÄN</t>
        </is>
      </c>
      <c r="G860" t="inlineStr">
        <is>
          <t>STRÖMSUND</t>
        </is>
      </c>
      <c r="H860" t="inlineStr">
        <is>
          <t>Sveaskog</t>
        </is>
      </c>
      <c r="I860" t="n">
        <v>5.2</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34685-2025</t>
        </is>
      </c>
      <c r="B861" t="inlineStr">
        <is>
          <t>avverkningsanmälan</t>
        </is>
      </c>
      <c r="C861" t="inlineStr">
        <is>
          <t>Föryngringsavverkning</t>
        </is>
      </c>
      <c r="D861" s="1" t="n">
        <v>45848</v>
      </c>
      <c r="E861" s="1" t="n">
        <v>46318</v>
      </c>
      <c r="F861" t="inlineStr">
        <is>
          <t>JÄMTLANDS LÄN</t>
        </is>
      </c>
      <c r="G861" t="inlineStr">
        <is>
          <t>STRÖMSUND</t>
        </is>
      </c>
      <c r="H861" t="inlineStr">
        <is>
          <t>SCA</t>
        </is>
      </c>
      <c r="I861" t="n">
        <v>2.2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40966-2025</t>
        </is>
      </c>
      <c r="B862" t="inlineStr">
        <is>
          <t>avverkningsanmälan</t>
        </is>
      </c>
      <c r="C862" t="inlineStr">
        <is>
          <t>Föryngringsavverkning</t>
        </is>
      </c>
      <c r="D862" s="1" t="n">
        <v>45897</v>
      </c>
      <c r="E862" s="1" t="n">
        <v>46318</v>
      </c>
      <c r="F862" t="inlineStr">
        <is>
          <t>JÄMTLANDS LÄN</t>
        </is>
      </c>
      <c r="G862" t="inlineStr">
        <is>
          <t>STRÖMSUND</t>
        </is>
      </c>
      <c r="H862" t="inlineStr">
        <is>
          <t>SCA</t>
        </is>
      </c>
      <c r="I862" t="n">
        <v>8.1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41939-2024</t>
        </is>
      </c>
      <c r="B863" t="inlineStr">
        <is>
          <t>avverkningsanmälan</t>
        </is>
      </c>
      <c r="C863" t="inlineStr">
        <is>
          <t>Föryngringsavverkning</t>
        </is>
      </c>
      <c r="D863" s="1" t="n">
        <v>45561</v>
      </c>
      <c r="E863" s="1" t="n">
        <v>46318</v>
      </c>
      <c r="F863" t="inlineStr">
        <is>
          <t>JÄMTLANDS LÄN</t>
        </is>
      </c>
      <c r="G863" t="inlineStr">
        <is>
          <t>STRÖMSUND</t>
        </is>
      </c>
      <c r="H863" t="inlineStr">
        <is>
          <t>SCA</t>
        </is>
      </c>
      <c r="I863" t="n">
        <v>3.6</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34882-2025</t>
        </is>
      </c>
      <c r="B864" t="inlineStr">
        <is>
          <t>avverkningsanmälan</t>
        </is>
      </c>
      <c r="C864" t="inlineStr">
        <is>
          <t>Avverkning för att bevara och utveckla /försöksver</t>
        </is>
      </c>
      <c r="D864" s="1" t="n">
        <v>45849</v>
      </c>
      <c r="E864" s="1" t="n">
        <v>46318</v>
      </c>
      <c r="F864" t="inlineStr">
        <is>
          <t>JÄMTLANDS LÄN</t>
        </is>
      </c>
      <c r="G864" t="inlineStr">
        <is>
          <t>STRÖMSUND</t>
        </is>
      </c>
      <c r="H864" t="inlineStr">
        <is>
          <t>SCA</t>
        </is>
      </c>
      <c r="I864" t="n">
        <v>2.6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41181-2025</t>
        </is>
      </c>
      <c r="B865" t="inlineStr">
        <is>
          <t>avverkningsanmälan</t>
        </is>
      </c>
      <c r="C865" t="inlineStr">
        <is>
          <t>Avverkning för att bevara och utveckla /försöksver</t>
        </is>
      </c>
      <c r="D865" s="1" t="n">
        <v>45898</v>
      </c>
      <c r="E865" s="1" t="n">
        <v>46318</v>
      </c>
      <c r="F865" t="inlineStr">
        <is>
          <t>JÄMTLANDS LÄN</t>
        </is>
      </c>
      <c r="G865" t="inlineStr">
        <is>
          <t>STRÖMSUND</t>
        </is>
      </c>
      <c r="H865" t="inlineStr">
        <is>
          <t>SCA</t>
        </is>
      </c>
      <c r="I865" t="n">
        <v>1.3</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34811-2025</t>
        </is>
      </c>
      <c r="B866" t="inlineStr">
        <is>
          <t>avverkningsanmälan</t>
        </is>
      </c>
      <c r="C866" t="inlineStr">
        <is>
          <t>Föryngringsavverkning</t>
        </is>
      </c>
      <c r="D866" s="1" t="n">
        <v>45849</v>
      </c>
      <c r="E866" s="1" t="n">
        <v>46318</v>
      </c>
      <c r="F866" t="inlineStr">
        <is>
          <t>JÄMTLANDS LÄN</t>
        </is>
      </c>
      <c r="G866" t="inlineStr">
        <is>
          <t>STRÖMSUND</t>
        </is>
      </c>
      <c r="I866" t="n">
        <v>2.7</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35070-2025</t>
        </is>
      </c>
      <c r="B867" t="inlineStr">
        <is>
          <t>avverkningsanmälan</t>
        </is>
      </c>
      <c r="C867" t="inlineStr">
        <is>
          <t>Föryngringsavverkning</t>
        </is>
      </c>
      <c r="D867" s="1" t="n">
        <v>45852</v>
      </c>
      <c r="E867" s="1" t="n">
        <v>46318</v>
      </c>
      <c r="F867" t="inlineStr">
        <is>
          <t>JÄMTLANDS LÄN</t>
        </is>
      </c>
      <c r="G867" t="inlineStr">
        <is>
          <t>STRÖMSUND</t>
        </is>
      </c>
      <c r="H867" t="inlineStr">
        <is>
          <t>SCA</t>
        </is>
      </c>
      <c r="I867" t="n">
        <v>3</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1546-2025</t>
        </is>
      </c>
      <c r="B868" t="inlineStr">
        <is>
          <t>avverkningsanmälan</t>
        </is>
      </c>
      <c r="C868" t="inlineStr">
        <is>
          <t>Föryngringsavverkning</t>
        </is>
      </c>
      <c r="D868" s="1" t="n">
        <v>45670</v>
      </c>
      <c r="E868" s="1" t="n">
        <v>46318</v>
      </c>
      <c r="F868" t="inlineStr">
        <is>
          <t>JÄMTLANDS LÄN</t>
        </is>
      </c>
      <c r="G868" t="inlineStr">
        <is>
          <t>STRÖMSUND</t>
        </is>
      </c>
      <c r="I868" t="n">
        <v>1.7</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57075-2024</t>
        </is>
      </c>
      <c r="B869" t="inlineStr">
        <is>
          <t>avverkningsanmälan</t>
        </is>
      </c>
      <c r="C869" t="inlineStr">
        <is>
          <t>Föryngringsavverkning</t>
        </is>
      </c>
      <c r="D869" s="1" t="n">
        <v>45629</v>
      </c>
      <c r="E869" s="1" t="n">
        <v>46318</v>
      </c>
      <c r="F869" t="inlineStr">
        <is>
          <t>JÄMTLANDS LÄN</t>
        </is>
      </c>
      <c r="G869" t="inlineStr">
        <is>
          <t>STRÖMSUND</t>
        </is>
      </c>
      <c r="H869" t="inlineStr">
        <is>
          <t>SCA</t>
        </is>
      </c>
      <c r="I869" t="n">
        <v>2.5</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41404-2025</t>
        </is>
      </c>
      <c r="B870" t="inlineStr">
        <is>
          <t>avverkningsanmälan</t>
        </is>
      </c>
      <c r="C870" t="inlineStr">
        <is>
          <t>Föryngringsavverkning</t>
        </is>
      </c>
      <c r="D870" s="1" t="n">
        <v>45901</v>
      </c>
      <c r="E870" s="1" t="n">
        <v>46318</v>
      </c>
      <c r="F870" t="inlineStr">
        <is>
          <t>JÄMTLANDS LÄN</t>
        </is>
      </c>
      <c r="G870" t="inlineStr">
        <is>
          <t>STRÖMSUND</t>
        </is>
      </c>
      <c r="H870" t="inlineStr">
        <is>
          <t>SCA</t>
        </is>
      </c>
      <c r="I870" t="n">
        <v>1.8</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41048-2025</t>
        </is>
      </c>
      <c r="B871" t="inlineStr">
        <is>
          <t>avverkningsanmälan</t>
        </is>
      </c>
      <c r="C871" t="inlineStr">
        <is>
          <t>Föryngringsavverkning</t>
        </is>
      </c>
      <c r="D871" s="1" t="n">
        <v>45898</v>
      </c>
      <c r="E871" s="1" t="n">
        <v>46318</v>
      </c>
      <c r="F871" t="inlineStr">
        <is>
          <t>JÄMTLANDS LÄN</t>
        </is>
      </c>
      <c r="G871" t="inlineStr">
        <is>
          <t>STRÖMSUND</t>
        </is>
      </c>
      <c r="I871" t="n">
        <v>7.3</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41000-2025</t>
        </is>
      </c>
      <c r="B872" t="inlineStr">
        <is>
          <t>avverkningsanmälan</t>
        </is>
      </c>
      <c r="C872" t="inlineStr">
        <is>
          <t>Föryngringsavverkning</t>
        </is>
      </c>
      <c r="D872" s="1" t="n">
        <v>45898</v>
      </c>
      <c r="E872" s="1" t="n">
        <v>46318</v>
      </c>
      <c r="F872" t="inlineStr">
        <is>
          <t>JÄMTLANDS LÄN</t>
        </is>
      </c>
      <c r="G872" t="inlineStr">
        <is>
          <t>STRÖMSUND</t>
        </is>
      </c>
      <c r="H872" t="inlineStr">
        <is>
          <t>SCA</t>
        </is>
      </c>
      <c r="I872" t="n">
        <v>0.8</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36959-2023</t>
        </is>
      </c>
      <c r="B873" t="inlineStr">
        <is>
          <t>avverkningsanmälan</t>
        </is>
      </c>
      <c r="C873" t="inlineStr">
        <is>
          <t>Föryngringsavverkning</t>
        </is>
      </c>
      <c r="D873" s="1" t="n">
        <v>45154</v>
      </c>
      <c r="E873" s="1" t="n">
        <v>46318</v>
      </c>
      <c r="F873" t="inlineStr">
        <is>
          <t>JÄMTLANDS LÄN</t>
        </is>
      </c>
      <c r="G873" t="inlineStr">
        <is>
          <t>STRÖMSUND</t>
        </is>
      </c>
      <c r="I873" t="n">
        <v>3.7</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35219-2025</t>
        </is>
      </c>
      <c r="B874" t="inlineStr">
        <is>
          <t>avverkningsanmälan</t>
        </is>
      </c>
      <c r="C874" t="inlineStr">
        <is>
          <t>Föryngringsavverkning</t>
        </is>
      </c>
      <c r="D874" s="1" t="n">
        <v>45853</v>
      </c>
      <c r="E874" s="1" t="n">
        <v>46318</v>
      </c>
      <c r="F874" t="inlineStr">
        <is>
          <t>JÄMTLANDS LÄN</t>
        </is>
      </c>
      <c r="G874" t="inlineStr">
        <is>
          <t>STRÖMSUND</t>
        </is>
      </c>
      <c r="H874" t="inlineStr">
        <is>
          <t>SCA</t>
        </is>
      </c>
      <c r="I874" t="n">
        <v>5.5</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41019-2025</t>
        </is>
      </c>
      <c r="B875" t="inlineStr">
        <is>
          <t>avverkningsanmälan</t>
        </is>
      </c>
      <c r="C875" t="inlineStr">
        <is>
          <t>Avverkning för annat ändamål</t>
        </is>
      </c>
      <c r="D875" s="1" t="n">
        <v>45898</v>
      </c>
      <c r="E875" s="1" t="n">
        <v>46318</v>
      </c>
      <c r="F875" t="inlineStr">
        <is>
          <t>JÄMTLANDS LÄN</t>
        </is>
      </c>
      <c r="G875" t="inlineStr">
        <is>
          <t>STRÖMSUND</t>
        </is>
      </c>
      <c r="H875" t="inlineStr">
        <is>
          <t>SCA</t>
        </is>
      </c>
      <c r="I875" t="n">
        <v>0.6</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41602-2025</t>
        </is>
      </c>
      <c r="B876" t="inlineStr">
        <is>
          <t>avverkningsanmälan</t>
        </is>
      </c>
      <c r="C876" t="inlineStr">
        <is>
          <t>Föryngringsavverkning</t>
        </is>
      </c>
      <c r="D876" s="1" t="n">
        <v>45901</v>
      </c>
      <c r="E876" s="1" t="n">
        <v>46318</v>
      </c>
      <c r="F876" t="inlineStr">
        <is>
          <t>JÄMTLANDS LÄN</t>
        </is>
      </c>
      <c r="G876" t="inlineStr">
        <is>
          <t>STRÖMSUND</t>
        </is>
      </c>
      <c r="H876" t="inlineStr">
        <is>
          <t>SCA</t>
        </is>
      </c>
      <c r="I876" t="n">
        <v>1.4</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27587-2024</t>
        </is>
      </c>
      <c r="B877" t="inlineStr">
        <is>
          <t>avverkningsanmälan</t>
        </is>
      </c>
      <c r="C877" t="inlineStr">
        <is>
          <t>Föryngringsavverkning</t>
        </is>
      </c>
      <c r="D877" s="1" t="n">
        <v>45474</v>
      </c>
      <c r="E877" s="1" t="n">
        <v>46318</v>
      </c>
      <c r="F877" t="inlineStr">
        <is>
          <t>JÄMTLANDS LÄN</t>
        </is>
      </c>
      <c r="G877" t="inlineStr">
        <is>
          <t>STRÖMSUND</t>
        </is>
      </c>
      <c r="I877" t="n">
        <v>2.2</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41869-2025</t>
        </is>
      </c>
      <c r="B878" t="inlineStr">
        <is>
          <t>avverkningsanmälan</t>
        </is>
      </c>
      <c r="C878" t="inlineStr">
        <is>
          <t>Föryngringsavverkning</t>
        </is>
      </c>
      <c r="D878" s="1" t="n">
        <v>45903</v>
      </c>
      <c r="E878" s="1" t="n">
        <v>46318</v>
      </c>
      <c r="F878" t="inlineStr">
        <is>
          <t>JÄMTLANDS LÄN</t>
        </is>
      </c>
      <c r="G878" t="inlineStr">
        <is>
          <t>STRÖMSUND</t>
        </is>
      </c>
      <c r="H878" t="inlineStr">
        <is>
          <t>SCA</t>
        </is>
      </c>
      <c r="I878" t="n">
        <v>2.2</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24488-2022</t>
        </is>
      </c>
      <c r="B879" t="inlineStr">
        <is>
          <t>avverkningsanmälan</t>
        </is>
      </c>
      <c r="C879" t="inlineStr">
        <is>
          <t>Föryngringsavverkning</t>
        </is>
      </c>
      <c r="D879" s="1" t="n">
        <v>44726</v>
      </c>
      <c r="E879" s="1" t="n">
        <v>46318</v>
      </c>
      <c r="F879" t="inlineStr">
        <is>
          <t>JÄMTLANDS LÄN</t>
        </is>
      </c>
      <c r="G879" t="inlineStr">
        <is>
          <t>STRÖMSUND</t>
        </is>
      </c>
      <c r="I879" t="n">
        <v>19.1</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32172-2025</t>
        </is>
      </c>
      <c r="B880" t="inlineStr">
        <is>
          <t>avverkningsanmälan</t>
        </is>
      </c>
      <c r="C880" t="inlineStr">
        <is>
          <t>Föryngringsavverkning</t>
        </is>
      </c>
      <c r="D880" s="1" t="n">
        <v>45835</v>
      </c>
      <c r="E880" s="1" t="n">
        <v>46318</v>
      </c>
      <c r="F880" t="inlineStr">
        <is>
          <t>JÄMTLANDS LÄN</t>
        </is>
      </c>
      <c r="G880" t="inlineStr">
        <is>
          <t>STRÖMSUND</t>
        </is>
      </c>
      <c r="H880" t="inlineStr">
        <is>
          <t>Övriga statliga verk och myndigheter</t>
        </is>
      </c>
      <c r="I880" t="n">
        <v>1.6</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41873-2025</t>
        </is>
      </c>
      <c r="B881" t="inlineStr">
        <is>
          <t>avverkningsanmälan</t>
        </is>
      </c>
      <c r="C881" t="inlineStr">
        <is>
          <t>Föryngringsavverkning</t>
        </is>
      </c>
      <c r="D881" s="1" t="n">
        <v>45903</v>
      </c>
      <c r="E881" s="1" t="n">
        <v>46318</v>
      </c>
      <c r="F881" t="inlineStr">
        <is>
          <t>JÄMTLANDS LÄN</t>
        </is>
      </c>
      <c r="G881" t="inlineStr">
        <is>
          <t>STRÖMSUND</t>
        </is>
      </c>
      <c r="H881" t="inlineStr">
        <is>
          <t>SCA</t>
        </is>
      </c>
      <c r="I881" t="n">
        <v>1.1</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35340-2025</t>
        </is>
      </c>
      <c r="B882" t="inlineStr">
        <is>
          <t>avverkningsanmälan</t>
        </is>
      </c>
      <c r="C882" t="inlineStr">
        <is>
          <t>Föryngringsavverkning</t>
        </is>
      </c>
      <c r="D882" s="1" t="n">
        <v>45854</v>
      </c>
      <c r="E882" s="1" t="n">
        <v>46318</v>
      </c>
      <c r="F882" t="inlineStr">
        <is>
          <t>JÄMTLANDS LÄN</t>
        </is>
      </c>
      <c r="G882" t="inlineStr">
        <is>
          <t>STRÖMSUND</t>
        </is>
      </c>
      <c r="H882" t="inlineStr">
        <is>
          <t>SCA</t>
        </is>
      </c>
      <c r="I882" t="n">
        <v>0.8</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42291-2025</t>
        </is>
      </c>
      <c r="B883" t="inlineStr">
        <is>
          <t>avverkningsanmälan</t>
        </is>
      </c>
      <c r="C883" t="inlineStr">
        <is>
          <t>Avverkning för annat ändamål</t>
        </is>
      </c>
      <c r="D883" s="1" t="n">
        <v>45903</v>
      </c>
      <c r="E883" s="1" t="n">
        <v>46318</v>
      </c>
      <c r="F883" t="inlineStr">
        <is>
          <t>JÄMTLANDS LÄN</t>
        </is>
      </c>
      <c r="G883" t="inlineStr">
        <is>
          <t>STRÖMSUND</t>
        </is>
      </c>
      <c r="H883" t="inlineStr">
        <is>
          <t>SCA</t>
        </is>
      </c>
      <c r="I883" t="n">
        <v>1.2</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35512-2025</t>
        </is>
      </c>
      <c r="B884" t="inlineStr">
        <is>
          <t>avverkningsanmälan</t>
        </is>
      </c>
      <c r="C884" t="inlineStr">
        <is>
          <t>Föryngringsavverkning</t>
        </is>
      </c>
      <c r="D884" s="1" t="n">
        <v>45856</v>
      </c>
      <c r="E884" s="1" t="n">
        <v>46318</v>
      </c>
      <c r="F884" t="inlineStr">
        <is>
          <t>JÄMTLANDS LÄN</t>
        </is>
      </c>
      <c r="G884" t="inlineStr">
        <is>
          <t>STRÖMSUND</t>
        </is>
      </c>
      <c r="H884" t="inlineStr">
        <is>
          <t>SCA</t>
        </is>
      </c>
      <c r="I884" t="n">
        <v>7.5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37632-2024</t>
        </is>
      </c>
      <c r="B885" t="inlineStr">
        <is>
          <t>avverkningsanmälan</t>
        </is>
      </c>
      <c r="C885" t="inlineStr">
        <is>
          <t>Avverkning för annat ändamål</t>
        </is>
      </c>
      <c r="D885" s="1" t="n">
        <v>45541</v>
      </c>
      <c r="E885" s="1" t="n">
        <v>46318</v>
      </c>
      <c r="F885" t="inlineStr">
        <is>
          <t>JÄMTLANDS LÄN</t>
        </is>
      </c>
      <c r="G885" t="inlineStr">
        <is>
          <t>STRÖMSUND</t>
        </is>
      </c>
      <c r="I885" t="n">
        <v>0.6</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35507-2025</t>
        </is>
      </c>
      <c r="B886" t="inlineStr">
        <is>
          <t>avverkningsanmälan</t>
        </is>
      </c>
      <c r="C886" t="inlineStr">
        <is>
          <t>Föryngringsavverkning</t>
        </is>
      </c>
      <c r="D886" s="1" t="n">
        <v>45856</v>
      </c>
      <c r="E886" s="1" t="n">
        <v>46318</v>
      </c>
      <c r="F886" t="inlineStr">
        <is>
          <t>JÄMTLANDS LÄN</t>
        </is>
      </c>
      <c r="G886" t="inlineStr">
        <is>
          <t>STRÖMSUND</t>
        </is>
      </c>
      <c r="I886" t="n">
        <v>1.1</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35663-2025</t>
        </is>
      </c>
      <c r="B887" t="inlineStr">
        <is>
          <t>avverkningsanmälan</t>
        </is>
      </c>
      <c r="C887" t="inlineStr">
        <is>
          <t>Föryngringsavverkning</t>
        </is>
      </c>
      <c r="D887" s="1" t="n">
        <v>45859</v>
      </c>
      <c r="E887" s="1" t="n">
        <v>46318</v>
      </c>
      <c r="F887" t="inlineStr">
        <is>
          <t>JÄMTLANDS LÄN</t>
        </is>
      </c>
      <c r="G887" t="inlineStr">
        <is>
          <t>STRÖMSUND</t>
        </is>
      </c>
      <c r="H887" t="inlineStr">
        <is>
          <t>SCA</t>
        </is>
      </c>
      <c r="I887" t="n">
        <v>4</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41875-2025</t>
        </is>
      </c>
      <c r="B888" t="inlineStr">
        <is>
          <t>avverkningsanmälan</t>
        </is>
      </c>
      <c r="C888" t="inlineStr">
        <is>
          <t>Föryngringsavverkning</t>
        </is>
      </c>
      <c r="D888" s="1" t="n">
        <v>45903</v>
      </c>
      <c r="E888" s="1" t="n">
        <v>46318</v>
      </c>
      <c r="F888" t="inlineStr">
        <is>
          <t>JÄMTLANDS LÄN</t>
        </is>
      </c>
      <c r="G888" t="inlineStr">
        <is>
          <t>STRÖMSUND</t>
        </is>
      </c>
      <c r="I888" t="n">
        <v>2.3</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58027-2024</t>
        </is>
      </c>
      <c r="B889" t="inlineStr">
        <is>
          <t>avverkningsanmälan</t>
        </is>
      </c>
      <c r="C889" t="inlineStr">
        <is>
          <t>Föryngringsavverkning</t>
        </is>
      </c>
      <c r="D889" s="1" t="n">
        <v>45631</v>
      </c>
      <c r="E889" s="1" t="n">
        <v>46318</v>
      </c>
      <c r="F889" t="inlineStr">
        <is>
          <t>JÄMTLANDS LÄN</t>
        </is>
      </c>
      <c r="G889" t="inlineStr">
        <is>
          <t>STRÖMSUND</t>
        </is>
      </c>
      <c r="I889" t="n">
        <v>0.5</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41816-2025</t>
        </is>
      </c>
      <c r="B890" t="inlineStr">
        <is>
          <t>avverkningsanmälan</t>
        </is>
      </c>
      <c r="C890" t="inlineStr">
        <is>
          <t>Föryngringsavverkning</t>
        </is>
      </c>
      <c r="D890" s="1" t="n">
        <v>45902</v>
      </c>
      <c r="E890" s="1" t="n">
        <v>46318</v>
      </c>
      <c r="F890" t="inlineStr">
        <is>
          <t>JÄMTLANDS LÄN</t>
        </is>
      </c>
      <c r="G890" t="inlineStr">
        <is>
          <t>STRÖMSUND</t>
        </is>
      </c>
      <c r="H890" t="inlineStr">
        <is>
          <t>SCA</t>
        </is>
      </c>
      <c r="I890" t="n">
        <v>9.199999999999999</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38373-2025</t>
        </is>
      </c>
      <c r="B891" t="inlineStr">
        <is>
          <t>avverkningsanmälan</t>
        </is>
      </c>
      <c r="C891" t="inlineStr">
        <is>
          <t>Föryngringsavverkning</t>
        </is>
      </c>
      <c r="D891" s="1" t="n">
        <v>45883</v>
      </c>
      <c r="E891" s="1" t="n">
        <v>46318</v>
      </c>
      <c r="F891" t="inlineStr">
        <is>
          <t>JÄMTLANDS LÄN</t>
        </is>
      </c>
      <c r="G891" t="inlineStr">
        <is>
          <t>STRÖMSUND</t>
        </is>
      </c>
      <c r="I891" t="n">
        <v>6.1</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42485-2025</t>
        </is>
      </c>
      <c r="B892" t="inlineStr">
        <is>
          <t>avverkningsanmälan</t>
        </is>
      </c>
      <c r="C892" t="inlineStr">
        <is>
          <t>Föryngringsavverkning</t>
        </is>
      </c>
      <c r="D892" s="1" t="n">
        <v>45905</v>
      </c>
      <c r="E892" s="1" t="n">
        <v>46318</v>
      </c>
      <c r="F892" t="inlineStr">
        <is>
          <t>JÄMTLANDS LÄN</t>
        </is>
      </c>
      <c r="G892" t="inlineStr">
        <is>
          <t>STRÖMSUND</t>
        </is>
      </c>
      <c r="H892" t="inlineStr">
        <is>
          <t>Holmen skog AB</t>
        </is>
      </c>
      <c r="I892" t="n">
        <v>4.1</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42487-2025</t>
        </is>
      </c>
      <c r="B893" t="inlineStr">
        <is>
          <t>avverkningsanmälan</t>
        </is>
      </c>
      <c r="C893" t="inlineStr">
        <is>
          <t>Föryngringsavverkning</t>
        </is>
      </c>
      <c r="D893" s="1" t="n">
        <v>45905</v>
      </c>
      <c r="E893" s="1" t="n">
        <v>46318</v>
      </c>
      <c r="F893" t="inlineStr">
        <is>
          <t>JÄMTLANDS LÄN</t>
        </is>
      </c>
      <c r="G893" t="inlineStr">
        <is>
          <t>STRÖMSUND</t>
        </is>
      </c>
      <c r="H893" t="inlineStr">
        <is>
          <t>Holmen skog AB</t>
        </is>
      </c>
      <c r="I893" t="n">
        <v>0.7</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42493-2025</t>
        </is>
      </c>
      <c r="B894" t="inlineStr">
        <is>
          <t>avverkningsanmälan</t>
        </is>
      </c>
      <c r="C894" t="inlineStr">
        <is>
          <t>Föryngringsavverkning</t>
        </is>
      </c>
      <c r="D894" s="1" t="n">
        <v>45905</v>
      </c>
      <c r="E894" s="1" t="n">
        <v>46318</v>
      </c>
      <c r="F894" t="inlineStr">
        <is>
          <t>JÄMTLANDS LÄN</t>
        </is>
      </c>
      <c r="G894" t="inlineStr">
        <is>
          <t>STRÖMSUND</t>
        </is>
      </c>
      <c r="H894" t="inlineStr">
        <is>
          <t>Holmen skog AB</t>
        </is>
      </c>
      <c r="I894" t="n">
        <v>1.5</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35661-2025</t>
        </is>
      </c>
      <c r="B895" t="inlineStr">
        <is>
          <t>avverkningsanmälan</t>
        </is>
      </c>
      <c r="C895" t="inlineStr">
        <is>
          <t>Föryngringsavverkning</t>
        </is>
      </c>
      <c r="D895" s="1" t="n">
        <v>45859</v>
      </c>
      <c r="E895" s="1" t="n">
        <v>46318</v>
      </c>
      <c r="F895" t="inlineStr">
        <is>
          <t>JÄMTLANDS LÄN</t>
        </is>
      </c>
      <c r="G895" t="inlineStr">
        <is>
          <t>STRÖMSUND</t>
        </is>
      </c>
      <c r="H895" t="inlineStr">
        <is>
          <t>SCA</t>
        </is>
      </c>
      <c r="I895" t="n">
        <v>2.5</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22003-2025</t>
        </is>
      </c>
      <c r="B896" t="inlineStr">
        <is>
          <t>avverkningsanmälan</t>
        </is>
      </c>
      <c r="C896" t="inlineStr">
        <is>
          <t>Föryngringsavverkning</t>
        </is>
      </c>
      <c r="D896" s="1" t="n">
        <v>45784</v>
      </c>
      <c r="E896" s="1" t="n">
        <v>46318</v>
      </c>
      <c r="F896" t="inlineStr">
        <is>
          <t>JÄMTLANDS LÄN</t>
        </is>
      </c>
      <c r="G896" t="inlineStr">
        <is>
          <t>STRÖMSUND</t>
        </is>
      </c>
      <c r="I896" t="n">
        <v>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44618-2024</t>
        </is>
      </c>
      <c r="B897" t="inlineStr">
        <is>
          <t>avverkningsanmälan</t>
        </is>
      </c>
      <c r="C897" t="inlineStr">
        <is>
          <t>Föryngringsavverkning</t>
        </is>
      </c>
      <c r="D897" s="1" t="n">
        <v>45574</v>
      </c>
      <c r="E897" s="1" t="n">
        <v>46318</v>
      </c>
      <c r="F897" t="inlineStr">
        <is>
          <t>JÄMTLANDS LÄN</t>
        </is>
      </c>
      <c r="G897" t="inlineStr">
        <is>
          <t>STRÖMSUND</t>
        </is>
      </c>
      <c r="H897" t="inlineStr">
        <is>
          <t>SCA</t>
        </is>
      </c>
      <c r="I897" t="n">
        <v>6.4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32907-2023</t>
        </is>
      </c>
      <c r="B898" t="inlineStr">
        <is>
          <t>avverkningsanmälan</t>
        </is>
      </c>
      <c r="C898" t="inlineStr">
        <is>
          <t>Avverkning för att bevara och utveckla /försöksver</t>
        </is>
      </c>
      <c r="D898" s="1" t="n">
        <v>45124</v>
      </c>
      <c r="E898" s="1" t="n">
        <v>46318</v>
      </c>
      <c r="F898" t="inlineStr">
        <is>
          <t>JÄMTLANDS LÄN</t>
        </is>
      </c>
      <c r="G898" t="inlineStr">
        <is>
          <t>STRÖMSUND</t>
        </is>
      </c>
      <c r="H898" t="inlineStr">
        <is>
          <t>SCA</t>
        </is>
      </c>
      <c r="I898" t="n">
        <v>1.8</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53241-2024</t>
        </is>
      </c>
      <c r="B899" t="inlineStr">
        <is>
          <t>avverkningsanmälan</t>
        </is>
      </c>
      <c r="C899" t="inlineStr">
        <is>
          <t>Föryngringsavverkning</t>
        </is>
      </c>
      <c r="D899" s="1" t="n">
        <v>45613</v>
      </c>
      <c r="E899" s="1" t="n">
        <v>46318</v>
      </c>
      <c r="F899" t="inlineStr">
        <is>
          <t>JÄMTLANDS LÄN</t>
        </is>
      </c>
      <c r="G899" t="inlineStr">
        <is>
          <t>STRÖMSUND</t>
        </is>
      </c>
      <c r="I899" t="n">
        <v>14.2</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35657-2025</t>
        </is>
      </c>
      <c r="B900" t="inlineStr">
        <is>
          <t>avverkningsanmälan</t>
        </is>
      </c>
      <c r="C900" t="inlineStr">
        <is>
          <t>Föryngringsavverkning</t>
        </is>
      </c>
      <c r="D900" s="1" t="n">
        <v>45859</v>
      </c>
      <c r="E900" s="1" t="n">
        <v>46318</v>
      </c>
      <c r="F900" t="inlineStr">
        <is>
          <t>JÄMTLANDS LÄN</t>
        </is>
      </c>
      <c r="G900" t="inlineStr">
        <is>
          <t>STRÖMSUND</t>
        </is>
      </c>
      <c r="H900" t="inlineStr">
        <is>
          <t>SCA</t>
        </is>
      </c>
      <c r="I900" t="n">
        <v>1.8</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35874-2025</t>
        </is>
      </c>
      <c r="B901" t="inlineStr">
        <is>
          <t>avverkningsanmälan</t>
        </is>
      </c>
      <c r="C901" t="inlineStr">
        <is>
          <t>Föryngringsavverkning</t>
        </is>
      </c>
      <c r="D901" s="1" t="n">
        <v>45862</v>
      </c>
      <c r="E901" s="1" t="n">
        <v>46318</v>
      </c>
      <c r="F901" t="inlineStr">
        <is>
          <t>JÄMTLANDS LÄN</t>
        </is>
      </c>
      <c r="G901" t="inlineStr">
        <is>
          <t>STRÖMSUND</t>
        </is>
      </c>
      <c r="I901" t="n">
        <v>6.6</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36247-2025</t>
        </is>
      </c>
      <c r="B902" t="inlineStr">
        <is>
          <t>avverkningsanmälan</t>
        </is>
      </c>
      <c r="C902" t="inlineStr">
        <is>
          <t>Föryngringsavverkning</t>
        </is>
      </c>
      <c r="D902" s="1" t="n">
        <v>45867</v>
      </c>
      <c r="E902" s="1" t="n">
        <v>46318</v>
      </c>
      <c r="F902" t="inlineStr">
        <is>
          <t>JÄMTLANDS LÄN</t>
        </is>
      </c>
      <c r="G902" t="inlineStr">
        <is>
          <t>STRÖMSUND</t>
        </is>
      </c>
      <c r="I902" t="n">
        <v>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42709-2025</t>
        </is>
      </c>
      <c r="B903" t="inlineStr">
        <is>
          <t>avverkningsanmälan</t>
        </is>
      </c>
      <c r="C903" t="inlineStr">
        <is>
          <t>Föryngringsavverkning</t>
        </is>
      </c>
      <c r="D903" s="1" t="n">
        <v>45908</v>
      </c>
      <c r="E903" s="1" t="n">
        <v>46318</v>
      </c>
      <c r="F903" t="inlineStr">
        <is>
          <t>JÄMTLANDS LÄN</t>
        </is>
      </c>
      <c r="G903" t="inlineStr">
        <is>
          <t>STRÖMSUND</t>
        </is>
      </c>
      <c r="I903" t="n">
        <v>4.2</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36025-2025</t>
        </is>
      </c>
      <c r="B904" t="inlineStr">
        <is>
          <t>avverkningsanmälan</t>
        </is>
      </c>
      <c r="C904" t="inlineStr">
        <is>
          <t>Föryngringsavverkning</t>
        </is>
      </c>
      <c r="D904" s="1" t="n">
        <v>45864</v>
      </c>
      <c r="E904" s="1" t="n">
        <v>46318</v>
      </c>
      <c r="F904" t="inlineStr">
        <is>
          <t>JÄMTLANDS LÄN</t>
        </is>
      </c>
      <c r="G904" t="inlineStr">
        <is>
          <t>STRÖMSUND</t>
        </is>
      </c>
      <c r="H904" t="inlineStr">
        <is>
          <t>SCA</t>
        </is>
      </c>
      <c r="I904" t="n">
        <v>7.2</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36110-2025</t>
        </is>
      </c>
      <c r="B905" t="inlineStr">
        <is>
          <t>avverkningsanmälan</t>
        </is>
      </c>
      <c r="C905" t="inlineStr">
        <is>
          <t>Föryngringsavverkning</t>
        </is>
      </c>
      <c r="D905" s="1" t="n">
        <v>45866</v>
      </c>
      <c r="E905" s="1" t="n">
        <v>46318</v>
      </c>
      <c r="F905" t="inlineStr">
        <is>
          <t>JÄMTLANDS LÄN</t>
        </is>
      </c>
      <c r="G905" t="inlineStr">
        <is>
          <t>STRÖMSUND</t>
        </is>
      </c>
      <c r="H905" t="inlineStr">
        <is>
          <t>SCA</t>
        </is>
      </c>
      <c r="I905" t="n">
        <v>5.8</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36238-2025</t>
        </is>
      </c>
      <c r="B906" t="inlineStr">
        <is>
          <t>avverkningsanmälan</t>
        </is>
      </c>
      <c r="C906" t="inlineStr">
        <is>
          <t>Avverkning för att bevara och utveckla /försöksver</t>
        </is>
      </c>
      <c r="D906" s="1" t="n">
        <v>45867</v>
      </c>
      <c r="E906" s="1" t="n">
        <v>46318</v>
      </c>
      <c r="F906" t="inlineStr">
        <is>
          <t>JÄMTLANDS LÄN</t>
        </is>
      </c>
      <c r="G906" t="inlineStr">
        <is>
          <t>STRÖMSUND</t>
        </is>
      </c>
      <c r="H906" t="inlineStr">
        <is>
          <t>SCA</t>
        </is>
      </c>
      <c r="I906" t="n">
        <v>1.3</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36239-2025</t>
        </is>
      </c>
      <c r="B907" t="inlineStr">
        <is>
          <t>avverkningsanmälan</t>
        </is>
      </c>
      <c r="C907" t="inlineStr">
        <is>
          <t>Avverkning för att bevara och utveckla /försöksver</t>
        </is>
      </c>
      <c r="D907" s="1" t="n">
        <v>45867</v>
      </c>
      <c r="E907" s="1" t="n">
        <v>46318</v>
      </c>
      <c r="F907" t="inlineStr">
        <is>
          <t>JÄMTLANDS LÄN</t>
        </is>
      </c>
      <c r="G907" t="inlineStr">
        <is>
          <t>STRÖMSUND</t>
        </is>
      </c>
      <c r="H907" t="inlineStr">
        <is>
          <t>SCA</t>
        </is>
      </c>
      <c r="I907" t="n">
        <v>2.2</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43481-2025</t>
        </is>
      </c>
      <c r="B908" t="inlineStr">
        <is>
          <t>avverkningsanmälan</t>
        </is>
      </c>
      <c r="C908" t="inlineStr">
        <is>
          <t>Föryngringsavverkning</t>
        </is>
      </c>
      <c r="D908" s="1" t="n">
        <v>45911</v>
      </c>
      <c r="E908" s="1" t="n">
        <v>46318</v>
      </c>
      <c r="F908" t="inlineStr">
        <is>
          <t>JÄMTLANDS LÄN</t>
        </is>
      </c>
      <c r="G908" t="inlineStr">
        <is>
          <t>STRÖMSUND</t>
        </is>
      </c>
      <c r="H908" t="inlineStr">
        <is>
          <t>Holmen skog AB</t>
        </is>
      </c>
      <c r="I908" t="n">
        <v>12.3</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43521-2025</t>
        </is>
      </c>
      <c r="B909" t="inlineStr">
        <is>
          <t>avverkningsanmälan</t>
        </is>
      </c>
      <c r="C909" t="inlineStr">
        <is>
          <t>Föryngringsavverkning</t>
        </is>
      </c>
      <c r="D909" s="1" t="n">
        <v>45911</v>
      </c>
      <c r="E909" s="1" t="n">
        <v>46318</v>
      </c>
      <c r="F909" t="inlineStr">
        <is>
          <t>JÄMTLANDS LÄN</t>
        </is>
      </c>
      <c r="G909" t="inlineStr">
        <is>
          <t>STRÖMSUND</t>
        </is>
      </c>
      <c r="H909" t="inlineStr">
        <is>
          <t>Holmen skog AB</t>
        </is>
      </c>
      <c r="I909" t="n">
        <v>3.1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43563-2025</t>
        </is>
      </c>
      <c r="B910" t="inlineStr">
        <is>
          <t>avverkningsanmälan</t>
        </is>
      </c>
      <c r="C910" t="inlineStr">
        <is>
          <t>Föryngringsavverkning</t>
        </is>
      </c>
      <c r="D910" s="1" t="n">
        <v>45911</v>
      </c>
      <c r="E910" s="1" t="n">
        <v>46318</v>
      </c>
      <c r="F910" t="inlineStr">
        <is>
          <t>JÄMTLANDS LÄN</t>
        </is>
      </c>
      <c r="G910" t="inlineStr">
        <is>
          <t>STRÖMSUND</t>
        </is>
      </c>
      <c r="H910" t="inlineStr">
        <is>
          <t>Holmen skog AB</t>
        </is>
      </c>
      <c r="I910" t="n">
        <v>1.2</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43388-2025</t>
        </is>
      </c>
      <c r="B911" t="inlineStr">
        <is>
          <t>avverkningsanmälan</t>
        </is>
      </c>
      <c r="C911" t="inlineStr">
        <is>
          <t>Föryngringsavverkning</t>
        </is>
      </c>
      <c r="D911" s="1" t="n">
        <v>45911</v>
      </c>
      <c r="E911" s="1" t="n">
        <v>46318</v>
      </c>
      <c r="F911" t="inlineStr">
        <is>
          <t>JÄMTLANDS LÄN</t>
        </is>
      </c>
      <c r="G911" t="inlineStr">
        <is>
          <t>STRÖMSUND</t>
        </is>
      </c>
      <c r="H911" t="inlineStr">
        <is>
          <t>SCA</t>
        </is>
      </c>
      <c r="I911" t="n">
        <v>5.5</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36430-2025</t>
        </is>
      </c>
      <c r="B912" t="inlineStr">
        <is>
          <t>avverkningsanmälan</t>
        </is>
      </c>
      <c r="C912" t="inlineStr">
        <is>
          <t>Föryngringsavverkning</t>
        </is>
      </c>
      <c r="D912" s="1" t="n">
        <v>45869</v>
      </c>
      <c r="E912" s="1" t="n">
        <v>46318</v>
      </c>
      <c r="F912" t="inlineStr">
        <is>
          <t>JÄMTLANDS LÄN</t>
        </is>
      </c>
      <c r="G912" t="inlineStr">
        <is>
          <t>STRÖMSUND</t>
        </is>
      </c>
      <c r="H912" t="inlineStr">
        <is>
          <t>SCA</t>
        </is>
      </c>
      <c r="I912" t="n">
        <v>6.3</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36428-2025</t>
        </is>
      </c>
      <c r="B913" t="inlineStr">
        <is>
          <t>avverkningsanmälan</t>
        </is>
      </c>
      <c r="C913" t="inlineStr">
        <is>
          <t>Föryngringsavverkning</t>
        </is>
      </c>
      <c r="D913" s="1" t="n">
        <v>45869</v>
      </c>
      <c r="E913" s="1" t="n">
        <v>46318</v>
      </c>
      <c r="F913" t="inlineStr">
        <is>
          <t>JÄMTLANDS LÄN</t>
        </is>
      </c>
      <c r="G913" t="inlineStr">
        <is>
          <t>STRÖMSUND</t>
        </is>
      </c>
      <c r="H913" t="inlineStr">
        <is>
          <t>SCA</t>
        </is>
      </c>
      <c r="I913" t="n">
        <v>3</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43288-2025</t>
        </is>
      </c>
      <c r="B914" t="inlineStr">
        <is>
          <t>avverkningsanmälan</t>
        </is>
      </c>
      <c r="C914" t="inlineStr">
        <is>
          <t>Föryngringsavverkning</t>
        </is>
      </c>
      <c r="D914" s="1" t="n">
        <v>45910</v>
      </c>
      <c r="E914" s="1" t="n">
        <v>46318</v>
      </c>
      <c r="F914" t="inlineStr">
        <is>
          <t>JÄMTLANDS LÄN</t>
        </is>
      </c>
      <c r="G914" t="inlineStr">
        <is>
          <t>STRÖMSUND</t>
        </is>
      </c>
      <c r="H914" t="inlineStr">
        <is>
          <t>SCA</t>
        </is>
      </c>
      <c r="I914" t="n">
        <v>3.1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36378-2025</t>
        </is>
      </c>
      <c r="B915" t="inlineStr">
        <is>
          <t>avverkningsanmälan</t>
        </is>
      </c>
      <c r="C915" t="inlineStr">
        <is>
          <t>Föryngringsavverkning</t>
        </is>
      </c>
      <c r="D915" s="1" t="n">
        <v>45868</v>
      </c>
      <c r="E915" s="1" t="n">
        <v>46318</v>
      </c>
      <c r="F915" t="inlineStr">
        <is>
          <t>JÄMTLANDS LÄN</t>
        </is>
      </c>
      <c r="G915" t="inlineStr">
        <is>
          <t>STRÖMSUND</t>
        </is>
      </c>
      <c r="I915" t="n">
        <v>0.2</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36379-2025</t>
        </is>
      </c>
      <c r="B916" t="inlineStr">
        <is>
          <t>avverkningsanmälan</t>
        </is>
      </c>
      <c r="C916" t="inlineStr">
        <is>
          <t>Föryngringsavverkning</t>
        </is>
      </c>
      <c r="D916" s="1" t="n">
        <v>45868</v>
      </c>
      <c r="E916" s="1" t="n">
        <v>46318</v>
      </c>
      <c r="F916" t="inlineStr">
        <is>
          <t>JÄMTLANDS LÄN</t>
        </is>
      </c>
      <c r="G916" t="inlineStr">
        <is>
          <t>STRÖMSUND</t>
        </is>
      </c>
      <c r="I916" t="n">
        <v>0.3</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36380-2025</t>
        </is>
      </c>
      <c r="B917" t="inlineStr">
        <is>
          <t>avverkningsanmälan</t>
        </is>
      </c>
      <c r="C917" t="inlineStr">
        <is>
          <t>Föryngringsavverkning</t>
        </is>
      </c>
      <c r="D917" s="1" t="n">
        <v>45868</v>
      </c>
      <c r="E917" s="1" t="n">
        <v>46318</v>
      </c>
      <c r="F917" t="inlineStr">
        <is>
          <t>JÄMTLANDS LÄN</t>
        </is>
      </c>
      <c r="G917" t="inlineStr">
        <is>
          <t>STRÖMSUND</t>
        </is>
      </c>
      <c r="I917" t="n">
        <v>3.8</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43500-2025</t>
        </is>
      </c>
      <c r="B918" t="inlineStr">
        <is>
          <t>avverkningsanmälan</t>
        </is>
      </c>
      <c r="C918" t="inlineStr">
        <is>
          <t>Föryngringsavverkning</t>
        </is>
      </c>
      <c r="D918" s="1" t="n">
        <v>45911</v>
      </c>
      <c r="E918" s="1" t="n">
        <v>46318</v>
      </c>
      <c r="F918" t="inlineStr">
        <is>
          <t>JÄMTLANDS LÄN</t>
        </is>
      </c>
      <c r="G918" t="inlineStr">
        <is>
          <t>STRÖMSUND</t>
        </is>
      </c>
      <c r="H918" t="inlineStr">
        <is>
          <t>Holmen skog AB</t>
        </is>
      </c>
      <c r="I918" t="n">
        <v>8.699999999999999</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43239-2025</t>
        </is>
      </c>
      <c r="B919" t="inlineStr">
        <is>
          <t>avverkningsanmälan</t>
        </is>
      </c>
      <c r="C919" t="inlineStr">
        <is>
          <t>Föryngringsavverkning</t>
        </is>
      </c>
      <c r="D919" s="1" t="n">
        <v>45910</v>
      </c>
      <c r="E919" s="1" t="n">
        <v>46318</v>
      </c>
      <c r="F919" t="inlineStr">
        <is>
          <t>JÄMTLANDS LÄN</t>
        </is>
      </c>
      <c r="G919" t="inlineStr">
        <is>
          <t>STRÖMSUND</t>
        </is>
      </c>
      <c r="I919" t="n">
        <v>1.5</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43363-2025</t>
        </is>
      </c>
      <c r="B920" t="inlineStr">
        <is>
          <t>avverkningsanmälan</t>
        </is>
      </c>
      <c r="C920" t="inlineStr">
        <is>
          <t>Föryngringsavverkning</t>
        </is>
      </c>
      <c r="D920" s="1" t="n">
        <v>45911</v>
      </c>
      <c r="E920" s="1" t="n">
        <v>46318</v>
      </c>
      <c r="F920" t="inlineStr">
        <is>
          <t>JÄMTLANDS LÄN</t>
        </is>
      </c>
      <c r="G920" t="inlineStr">
        <is>
          <t>STRÖMSUND</t>
        </is>
      </c>
      <c r="H920" t="inlineStr">
        <is>
          <t>SCA</t>
        </is>
      </c>
      <c r="I920" t="n">
        <v>1.1</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43534-2025</t>
        </is>
      </c>
      <c r="B921" t="inlineStr">
        <is>
          <t>avverkningsanmälan</t>
        </is>
      </c>
      <c r="C921" t="inlineStr">
        <is>
          <t>Föryngringsavverkning</t>
        </is>
      </c>
      <c r="D921" s="1" t="n">
        <v>45911</v>
      </c>
      <c r="E921" s="1" t="n">
        <v>46318</v>
      </c>
      <c r="F921" t="inlineStr">
        <is>
          <t>JÄMTLANDS LÄN</t>
        </is>
      </c>
      <c r="G921" t="inlineStr">
        <is>
          <t>STRÖMSUND</t>
        </is>
      </c>
      <c r="H921" t="inlineStr">
        <is>
          <t>Holmen skog AB</t>
        </is>
      </c>
      <c r="I921" t="n">
        <v>3.3</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44037-2025</t>
        </is>
      </c>
      <c r="B922" t="inlineStr">
        <is>
          <t>avverkningsanmälan</t>
        </is>
      </c>
      <c r="C922" t="inlineStr">
        <is>
          <t>Föryngringsavverkning</t>
        </is>
      </c>
      <c r="D922" s="1" t="n">
        <v>45915</v>
      </c>
      <c r="E922" s="1" t="n">
        <v>46318</v>
      </c>
      <c r="F922" t="inlineStr">
        <is>
          <t>JÄMTLANDS LÄN</t>
        </is>
      </c>
      <c r="G922" t="inlineStr">
        <is>
          <t>STRÖMSUND</t>
        </is>
      </c>
      <c r="H922" t="inlineStr">
        <is>
          <t>SCA</t>
        </is>
      </c>
      <c r="I922" t="n">
        <v>3.4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43777-2025</t>
        </is>
      </c>
      <c r="B923" t="inlineStr">
        <is>
          <t>avverkningsanmälan</t>
        </is>
      </c>
      <c r="C923" t="inlineStr">
        <is>
          <t>Föryngringsavverkning</t>
        </is>
      </c>
      <c r="D923" s="1" t="n">
        <v>45912</v>
      </c>
      <c r="E923" s="1" t="n">
        <v>46318</v>
      </c>
      <c r="F923" t="inlineStr">
        <is>
          <t>JÄMTLANDS LÄN</t>
        </is>
      </c>
      <c r="G923" t="inlineStr">
        <is>
          <t>STRÖMSUND</t>
        </is>
      </c>
      <c r="H923" t="inlineStr">
        <is>
          <t>SCA</t>
        </is>
      </c>
      <c r="I923" t="n">
        <v>3.9</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44191-2025</t>
        </is>
      </c>
      <c r="B924" t="inlineStr">
        <is>
          <t>avverkningsanmälan</t>
        </is>
      </c>
      <c r="C924" t="inlineStr">
        <is>
          <t>Föryngringsavverkning</t>
        </is>
      </c>
      <c r="D924" s="1" t="n">
        <v>45915</v>
      </c>
      <c r="E924" s="1" t="n">
        <v>46318</v>
      </c>
      <c r="F924" t="inlineStr">
        <is>
          <t>JÄMTLANDS LÄN</t>
        </is>
      </c>
      <c r="G924" t="inlineStr">
        <is>
          <t>STRÖMSUND</t>
        </is>
      </c>
      <c r="H924" t="inlineStr">
        <is>
          <t>SCA</t>
        </is>
      </c>
      <c r="I924" t="n">
        <v>3.5</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33453-2023</t>
        </is>
      </c>
      <c r="B925" t="inlineStr">
        <is>
          <t>avverkningsanmälan</t>
        </is>
      </c>
      <c r="C925" t="inlineStr">
        <is>
          <t>Avverkning för att bevara och utveckla /försöksver</t>
        </is>
      </c>
      <c r="D925" s="1" t="n">
        <v>45130</v>
      </c>
      <c r="E925" s="1" t="n">
        <v>46318</v>
      </c>
      <c r="F925" t="inlineStr">
        <is>
          <t>JÄMTLANDS LÄN</t>
        </is>
      </c>
      <c r="G925" t="inlineStr">
        <is>
          <t>STRÖMSUND</t>
        </is>
      </c>
      <c r="H925" t="inlineStr">
        <is>
          <t>SCA</t>
        </is>
      </c>
      <c r="I925" t="n">
        <v>3.5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44250-2025</t>
        </is>
      </c>
      <c r="B926" t="inlineStr">
        <is>
          <t>avverkningsanmälan</t>
        </is>
      </c>
      <c r="C926" t="inlineStr">
        <is>
          <t>Föryngringsavverkning</t>
        </is>
      </c>
      <c r="D926" s="1" t="n">
        <v>45915</v>
      </c>
      <c r="E926" s="1" t="n">
        <v>46318</v>
      </c>
      <c r="F926" t="inlineStr">
        <is>
          <t>JÄMTLANDS LÄN</t>
        </is>
      </c>
      <c r="G926" t="inlineStr">
        <is>
          <t>STRÖMSUND</t>
        </is>
      </c>
      <c r="H926" t="inlineStr">
        <is>
          <t>SCA</t>
        </is>
      </c>
      <c r="I926" t="n">
        <v>1.1</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36502-2023</t>
        </is>
      </c>
      <c r="B927" t="inlineStr">
        <is>
          <t>avverkningsanmälan</t>
        </is>
      </c>
      <c r="C927" t="inlineStr">
        <is>
          <t>Föryngringsavverkning</t>
        </is>
      </c>
      <c r="D927" s="1" t="n">
        <v>45152</v>
      </c>
      <c r="E927" s="1" t="n">
        <v>46318</v>
      </c>
      <c r="F927" t="inlineStr">
        <is>
          <t>JÄMTLANDS LÄN</t>
        </is>
      </c>
      <c r="G927" t="inlineStr">
        <is>
          <t>STRÖMSUND</t>
        </is>
      </c>
      <c r="H927" t="inlineStr">
        <is>
          <t>SCA</t>
        </is>
      </c>
      <c r="I927" t="n">
        <v>2.6</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44280-2025</t>
        </is>
      </c>
      <c r="B928" t="inlineStr">
        <is>
          <t>avverkningsanmälan</t>
        </is>
      </c>
      <c r="C928" t="inlineStr">
        <is>
          <t>Föryngringsavverkning</t>
        </is>
      </c>
      <c r="D928" s="1" t="n">
        <v>45916</v>
      </c>
      <c r="E928" s="1" t="n">
        <v>46318</v>
      </c>
      <c r="F928" t="inlineStr">
        <is>
          <t>JÄMTLANDS LÄN</t>
        </is>
      </c>
      <c r="G928" t="inlineStr">
        <is>
          <t>STRÖMSUND</t>
        </is>
      </c>
      <c r="H928" t="inlineStr">
        <is>
          <t>SCA</t>
        </is>
      </c>
      <c r="I928" t="n">
        <v>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44442-2025</t>
        </is>
      </c>
      <c r="B929" t="inlineStr">
        <is>
          <t>avverkningsanmälan</t>
        </is>
      </c>
      <c r="C929" t="inlineStr">
        <is>
          <t>Föryngringsavverkning</t>
        </is>
      </c>
      <c r="D929" s="1" t="n">
        <v>45916</v>
      </c>
      <c r="E929" s="1" t="n">
        <v>46318</v>
      </c>
      <c r="F929" t="inlineStr">
        <is>
          <t>JÄMTLANDS LÄN</t>
        </is>
      </c>
      <c r="G929" t="inlineStr">
        <is>
          <t>STRÖMSUND</t>
        </is>
      </c>
      <c r="H929" t="inlineStr">
        <is>
          <t>SCA</t>
        </is>
      </c>
      <c r="I929" t="n">
        <v>1.1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44514-2025</t>
        </is>
      </c>
      <c r="B930" t="inlineStr">
        <is>
          <t>avverkningsanmälan</t>
        </is>
      </c>
      <c r="C930" t="inlineStr">
        <is>
          <t>Föryngringsavverkning</t>
        </is>
      </c>
      <c r="D930" s="1" t="n">
        <v>45916</v>
      </c>
      <c r="E930" s="1" t="n">
        <v>46318</v>
      </c>
      <c r="F930" t="inlineStr">
        <is>
          <t>JÄMTLANDS LÄN</t>
        </is>
      </c>
      <c r="G930" t="inlineStr">
        <is>
          <t>STRÖMSUND</t>
        </is>
      </c>
      <c r="H930" t="inlineStr">
        <is>
          <t>SCA</t>
        </is>
      </c>
      <c r="I930" t="n">
        <v>2.6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24073-2023</t>
        </is>
      </c>
      <c r="B931" t="inlineStr">
        <is>
          <t>avverkningsanmälan</t>
        </is>
      </c>
      <c r="C931" t="inlineStr">
        <is>
          <t>Föryngringsavverkning</t>
        </is>
      </c>
      <c r="D931" s="1" t="n">
        <v>45078</v>
      </c>
      <c r="E931" s="1" t="n">
        <v>46318</v>
      </c>
      <c r="F931" t="inlineStr">
        <is>
          <t>JÄMTLANDS LÄN</t>
        </is>
      </c>
      <c r="G931" t="inlineStr">
        <is>
          <t>STRÖMSUND</t>
        </is>
      </c>
      <c r="H931" t="inlineStr">
        <is>
          <t>SCA</t>
        </is>
      </c>
      <c r="I931" t="n">
        <v>9.9</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44356-2025</t>
        </is>
      </c>
      <c r="B932" t="inlineStr">
        <is>
          <t>avverkningsanmälan</t>
        </is>
      </c>
      <c r="C932" t="inlineStr">
        <is>
          <t>Föryngringsavverkning</t>
        </is>
      </c>
      <c r="D932" s="1" t="n">
        <v>45916</v>
      </c>
      <c r="E932" s="1" t="n">
        <v>46318</v>
      </c>
      <c r="F932" t="inlineStr">
        <is>
          <t>JÄMTLANDS LÄN</t>
        </is>
      </c>
      <c r="G932" t="inlineStr">
        <is>
          <t>STRÖMSUND</t>
        </is>
      </c>
      <c r="H932" t="inlineStr">
        <is>
          <t>SCA</t>
        </is>
      </c>
      <c r="I932" t="n">
        <v>2.1</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37202-2025</t>
        </is>
      </c>
      <c r="B933" t="inlineStr">
        <is>
          <t>avverkningsanmälan</t>
        </is>
      </c>
      <c r="C933" t="inlineStr">
        <is>
          <t>Föryngringsavverkning</t>
        </is>
      </c>
      <c r="D933" s="1" t="n">
        <v>45875</v>
      </c>
      <c r="E933" s="1" t="n">
        <v>46318</v>
      </c>
      <c r="F933" t="inlineStr">
        <is>
          <t>JÄMTLANDS LÄN</t>
        </is>
      </c>
      <c r="G933" t="inlineStr">
        <is>
          <t>STRÖMSUND</t>
        </is>
      </c>
      <c r="H933" t="inlineStr">
        <is>
          <t>SCA</t>
        </is>
      </c>
      <c r="I933" t="n">
        <v>5.7</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36892-2025</t>
        </is>
      </c>
      <c r="B934" t="inlineStr">
        <is>
          <t>avverkningsanmälan</t>
        </is>
      </c>
      <c r="C934" t="inlineStr">
        <is>
          <t>Avverkning för att bevara och utveckla /försöksver</t>
        </is>
      </c>
      <c r="D934" s="1" t="n">
        <v>45874</v>
      </c>
      <c r="E934" s="1" t="n">
        <v>46318</v>
      </c>
      <c r="F934" t="inlineStr">
        <is>
          <t>JÄMTLANDS LÄN</t>
        </is>
      </c>
      <c r="G934" t="inlineStr">
        <is>
          <t>STRÖMSUND</t>
        </is>
      </c>
      <c r="H934" t="inlineStr">
        <is>
          <t>SCA</t>
        </is>
      </c>
      <c r="I934" t="n">
        <v>2.7</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36870-2025</t>
        </is>
      </c>
      <c r="B935" t="inlineStr">
        <is>
          <t>avverkningsanmälan</t>
        </is>
      </c>
      <c r="C935" t="inlineStr">
        <is>
          <t>Avverkning för att bevara och utveckla /försöksver</t>
        </is>
      </c>
      <c r="D935" s="1" t="n">
        <v>45874</v>
      </c>
      <c r="E935" s="1" t="n">
        <v>46318</v>
      </c>
      <c r="F935" t="inlineStr">
        <is>
          <t>JÄMTLANDS LÄN</t>
        </is>
      </c>
      <c r="G935" t="inlineStr">
        <is>
          <t>STRÖMSUND</t>
        </is>
      </c>
      <c r="H935" t="inlineStr">
        <is>
          <t>SCA</t>
        </is>
      </c>
      <c r="I935" t="n">
        <v>2.3</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45235-2025</t>
        </is>
      </c>
      <c r="B936" t="inlineStr">
        <is>
          <t>avverkningsanmälan</t>
        </is>
      </c>
      <c r="C936" t="inlineStr">
        <is>
          <t>Föryngringsavverkning</t>
        </is>
      </c>
      <c r="D936" s="1" t="n">
        <v>45919</v>
      </c>
      <c r="E936" s="1" t="n">
        <v>46318</v>
      </c>
      <c r="F936" t="inlineStr">
        <is>
          <t>JÄMTLANDS LÄN</t>
        </is>
      </c>
      <c r="G936" t="inlineStr">
        <is>
          <t>STRÖMSUND</t>
        </is>
      </c>
      <c r="I936" t="n">
        <v>2.3</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37097-2025</t>
        </is>
      </c>
      <c r="B937" t="inlineStr">
        <is>
          <t>avverkningsanmälan</t>
        </is>
      </c>
      <c r="C937" t="inlineStr">
        <is>
          <t>Avverkning för att bevara och utveckla /försöksver</t>
        </is>
      </c>
      <c r="D937" s="1" t="n">
        <v>45875</v>
      </c>
      <c r="E937" s="1" t="n">
        <v>46318</v>
      </c>
      <c r="F937" t="inlineStr">
        <is>
          <t>JÄMTLANDS LÄN</t>
        </is>
      </c>
      <c r="G937" t="inlineStr">
        <is>
          <t>STRÖMSUND</t>
        </is>
      </c>
      <c r="H937" t="inlineStr">
        <is>
          <t>SCA</t>
        </is>
      </c>
      <c r="I937" t="n">
        <v>1</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45258-2025</t>
        </is>
      </c>
      <c r="B938" t="inlineStr">
        <is>
          <t>avverkningsanmälan</t>
        </is>
      </c>
      <c r="C938" t="inlineStr">
        <is>
          <t>Föryngringsavverkning</t>
        </is>
      </c>
      <c r="D938" s="1" t="n">
        <v>45919</v>
      </c>
      <c r="E938" s="1" t="n">
        <v>46318</v>
      </c>
      <c r="F938" t="inlineStr">
        <is>
          <t>JÄMTLANDS LÄN</t>
        </is>
      </c>
      <c r="G938" t="inlineStr">
        <is>
          <t>STRÖMSUND</t>
        </is>
      </c>
      <c r="I938" t="n">
        <v>13.7</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37096-2025</t>
        </is>
      </c>
      <c r="B939" t="inlineStr">
        <is>
          <t>avverkningsanmälan</t>
        </is>
      </c>
      <c r="C939" t="inlineStr">
        <is>
          <t>Föryngringsavverkning</t>
        </is>
      </c>
      <c r="D939" s="1" t="n">
        <v>45875</v>
      </c>
      <c r="E939" s="1" t="n">
        <v>46318</v>
      </c>
      <c r="F939" t="inlineStr">
        <is>
          <t>JÄMTLANDS LÄN</t>
        </is>
      </c>
      <c r="G939" t="inlineStr">
        <is>
          <t>STRÖMSUND</t>
        </is>
      </c>
      <c r="H939" t="inlineStr">
        <is>
          <t>SCA</t>
        </is>
      </c>
      <c r="I939" t="n">
        <v>3.2</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40451-2024</t>
        </is>
      </c>
      <c r="B940" t="inlineStr">
        <is>
          <t>avverkningsanmälan</t>
        </is>
      </c>
      <c r="C940" t="inlineStr">
        <is>
          <t>Avverkning för att bevara och utveckla /försöksver</t>
        </is>
      </c>
      <c r="D940" s="1" t="n">
        <v>45555</v>
      </c>
      <c r="E940" s="1" t="n">
        <v>46318</v>
      </c>
      <c r="F940" t="inlineStr">
        <is>
          <t>JÄMTLANDS LÄN</t>
        </is>
      </c>
      <c r="G940" t="inlineStr">
        <is>
          <t>STRÖMSUND</t>
        </is>
      </c>
      <c r="H940" t="inlineStr">
        <is>
          <t>SCA</t>
        </is>
      </c>
      <c r="I940" t="n">
        <v>1.4</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37291-2025</t>
        </is>
      </c>
      <c r="B941" t="inlineStr">
        <is>
          <t>avverkningsanmälan</t>
        </is>
      </c>
      <c r="C941" t="inlineStr">
        <is>
          <t>Avverkning för att bevara och utveckla /försöksver</t>
        </is>
      </c>
      <c r="D941" s="1" t="n">
        <v>45876</v>
      </c>
      <c r="E941" s="1" t="n">
        <v>46318</v>
      </c>
      <c r="F941" t="inlineStr">
        <is>
          <t>JÄMTLANDS LÄN</t>
        </is>
      </c>
      <c r="G941" t="inlineStr">
        <is>
          <t>STRÖMSUND</t>
        </is>
      </c>
      <c r="H941" t="inlineStr">
        <is>
          <t>SCA</t>
        </is>
      </c>
      <c r="I941" t="n">
        <v>2.1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37452-2025</t>
        </is>
      </c>
      <c r="B942" t="inlineStr">
        <is>
          <t>avverkningsanmälan</t>
        </is>
      </c>
      <c r="C942" t="inlineStr">
        <is>
          <t>Föryngringsavverkning</t>
        </is>
      </c>
      <c r="D942" s="1" t="n">
        <v>45877</v>
      </c>
      <c r="E942" s="1" t="n">
        <v>46318</v>
      </c>
      <c r="F942" t="inlineStr">
        <is>
          <t>JÄMTLANDS LÄN</t>
        </is>
      </c>
      <c r="G942" t="inlineStr">
        <is>
          <t>STRÖMSUND</t>
        </is>
      </c>
      <c r="H942" t="inlineStr">
        <is>
          <t>Holmen skog AB</t>
        </is>
      </c>
      <c r="I942" t="n">
        <v>4.3</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37430-2025</t>
        </is>
      </c>
      <c r="B943" t="inlineStr">
        <is>
          <t>avverkningsanmälan</t>
        </is>
      </c>
      <c r="C943" t="inlineStr">
        <is>
          <t>Föryngringsavverkning</t>
        </is>
      </c>
      <c r="D943" s="1" t="n">
        <v>45877</v>
      </c>
      <c r="E943" s="1" t="n">
        <v>46318</v>
      </c>
      <c r="F943" t="inlineStr">
        <is>
          <t>JÄMTLANDS LÄN</t>
        </is>
      </c>
      <c r="G943" t="inlineStr">
        <is>
          <t>STRÖMSUND</t>
        </is>
      </c>
      <c r="H943" t="inlineStr">
        <is>
          <t>Holmen skog AB</t>
        </is>
      </c>
      <c r="I943" t="n">
        <v>15.1</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37462-2025</t>
        </is>
      </c>
      <c r="B944" t="inlineStr">
        <is>
          <t>avverkningsanmälan</t>
        </is>
      </c>
      <c r="C944" t="inlineStr">
        <is>
          <t>Föryngringsavverkning</t>
        </is>
      </c>
      <c r="D944" s="1" t="n">
        <v>45877</v>
      </c>
      <c r="E944" s="1" t="n">
        <v>46318</v>
      </c>
      <c r="F944" t="inlineStr">
        <is>
          <t>JÄMTLANDS LÄN</t>
        </is>
      </c>
      <c r="G944" t="inlineStr">
        <is>
          <t>STRÖMSUND</t>
        </is>
      </c>
      <c r="H944" t="inlineStr">
        <is>
          <t>SCA</t>
        </is>
      </c>
      <c r="I944" t="n">
        <v>4.9</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37395-2025</t>
        </is>
      </c>
      <c r="B945" t="inlineStr">
        <is>
          <t>avverkningsanmälan</t>
        </is>
      </c>
      <c r="C945" t="inlineStr">
        <is>
          <t>Föryngringsavverkning</t>
        </is>
      </c>
      <c r="D945" s="1" t="n">
        <v>45877</v>
      </c>
      <c r="E945" s="1" t="n">
        <v>46318</v>
      </c>
      <c r="F945" t="inlineStr">
        <is>
          <t>JÄMTLANDS LÄN</t>
        </is>
      </c>
      <c r="G945" t="inlineStr">
        <is>
          <t>STRÖMSUND</t>
        </is>
      </c>
      <c r="H945" t="inlineStr">
        <is>
          <t>SCA</t>
        </is>
      </c>
      <c r="I945" t="n">
        <v>12.1</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45089-2025</t>
        </is>
      </c>
      <c r="B946" t="inlineStr">
        <is>
          <t>avverkningsanmälan</t>
        </is>
      </c>
      <c r="C946" t="inlineStr">
        <is>
          <t>Föryngringsavverkning</t>
        </is>
      </c>
      <c r="D946" s="1" t="n">
        <v>45919</v>
      </c>
      <c r="E946" s="1" t="n">
        <v>46318</v>
      </c>
      <c r="F946" t="inlineStr">
        <is>
          <t>JÄMTLANDS LÄN</t>
        </is>
      </c>
      <c r="G946" t="inlineStr">
        <is>
          <t>STRÖMSUND</t>
        </is>
      </c>
      <c r="H946" t="inlineStr">
        <is>
          <t>Holmen skog AB</t>
        </is>
      </c>
      <c r="I946" t="n">
        <v>0.6</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26665-2023</t>
        </is>
      </c>
      <c r="B947" t="inlineStr">
        <is>
          <t>avverkningsanmälan</t>
        </is>
      </c>
      <c r="C947" t="inlineStr">
        <is>
          <t>Föryngringsavverkning</t>
        </is>
      </c>
      <c r="D947" s="1" t="n">
        <v>45092</v>
      </c>
      <c r="E947" s="1" t="n">
        <v>46318</v>
      </c>
      <c r="F947" t="inlineStr">
        <is>
          <t>JÄMTLANDS LÄN</t>
        </is>
      </c>
      <c r="G947" t="inlineStr">
        <is>
          <t>STRÖMSUND</t>
        </is>
      </c>
      <c r="H947" t="inlineStr">
        <is>
          <t>SCA</t>
        </is>
      </c>
      <c r="I947" t="n">
        <v>1.9</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26666-2023</t>
        </is>
      </c>
      <c r="B948" t="inlineStr">
        <is>
          <t>avverkningsanmälan</t>
        </is>
      </c>
      <c r="C948" t="inlineStr">
        <is>
          <t>Föryngringsavverkning</t>
        </is>
      </c>
      <c r="D948" s="1" t="n">
        <v>45092</v>
      </c>
      <c r="E948" s="1" t="n">
        <v>46318</v>
      </c>
      <c r="F948" t="inlineStr">
        <is>
          <t>JÄMTLANDS LÄN</t>
        </is>
      </c>
      <c r="G948" t="inlineStr">
        <is>
          <t>STRÖMSUND</t>
        </is>
      </c>
      <c r="H948" t="inlineStr">
        <is>
          <t>SCA</t>
        </is>
      </c>
      <c r="I948" t="n">
        <v>2.1</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45522-2025</t>
        </is>
      </c>
      <c r="B949" t="inlineStr">
        <is>
          <t>avverkningsanmälan</t>
        </is>
      </c>
      <c r="C949" t="inlineStr">
        <is>
          <t>Föryngringsavverkning</t>
        </is>
      </c>
      <c r="D949" s="1" t="n">
        <v>45922</v>
      </c>
      <c r="E949" s="1" t="n">
        <v>46318</v>
      </c>
      <c r="F949" t="inlineStr">
        <is>
          <t>JÄMTLANDS LÄN</t>
        </is>
      </c>
      <c r="G949" t="inlineStr">
        <is>
          <t>STRÖMSUND</t>
        </is>
      </c>
      <c r="H949" t="inlineStr">
        <is>
          <t>SCA</t>
        </is>
      </c>
      <c r="I949" t="n">
        <v>5.1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37305-2025</t>
        </is>
      </c>
      <c r="B950" t="inlineStr">
        <is>
          <t>avverkningsanmälan</t>
        </is>
      </c>
      <c r="C950" t="inlineStr">
        <is>
          <t>Föryngringsavverkning</t>
        </is>
      </c>
      <c r="D950" s="1" t="n">
        <v>45876</v>
      </c>
      <c r="E950" s="1" t="n">
        <v>46318</v>
      </c>
      <c r="F950" t="inlineStr">
        <is>
          <t>JÄMTLANDS LÄN</t>
        </is>
      </c>
      <c r="G950" t="inlineStr">
        <is>
          <t>STRÖMSUND</t>
        </is>
      </c>
      <c r="H950" t="inlineStr">
        <is>
          <t>SCA</t>
        </is>
      </c>
      <c r="I950" t="n">
        <v>8.6</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57549-2023</t>
        </is>
      </c>
      <c r="B951" t="inlineStr">
        <is>
          <t>avverkningsanmälan</t>
        </is>
      </c>
      <c r="C951" t="inlineStr">
        <is>
          <t>Föryngringsavverkning</t>
        </is>
      </c>
      <c r="D951" s="1" t="n">
        <v>45246</v>
      </c>
      <c r="E951" s="1" t="n">
        <v>46318</v>
      </c>
      <c r="F951" t="inlineStr">
        <is>
          <t>JÄMTLANDS LÄN</t>
        </is>
      </c>
      <c r="G951" t="inlineStr">
        <is>
          <t>STRÖMSUND</t>
        </is>
      </c>
      <c r="I951" t="n">
        <v>0.7</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45844-2025</t>
        </is>
      </c>
      <c r="B952" t="inlineStr">
        <is>
          <t>avverkningsanmälan</t>
        </is>
      </c>
      <c r="C952" t="inlineStr">
        <is>
          <t>Föryngringsavverkning</t>
        </is>
      </c>
      <c r="D952" s="1" t="n">
        <v>45923</v>
      </c>
      <c r="E952" s="1" t="n">
        <v>46318</v>
      </c>
      <c r="F952" t="inlineStr">
        <is>
          <t>JÄMTLANDS LÄN</t>
        </is>
      </c>
      <c r="G952" t="inlineStr">
        <is>
          <t>STRÖMSUND</t>
        </is>
      </c>
      <c r="I952" t="n">
        <v>3.7</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35010-2025</t>
        </is>
      </c>
      <c r="B953" t="inlineStr">
        <is>
          <t>avverkningsanmälan</t>
        </is>
      </c>
      <c r="C953" t="inlineStr">
        <is>
          <t>Föryngringsavverkning</t>
        </is>
      </c>
      <c r="D953" s="1" t="n">
        <v>45851</v>
      </c>
      <c r="E953" s="1" t="n">
        <v>46318</v>
      </c>
      <c r="F953" t="inlineStr">
        <is>
          <t>JÄMTLANDS LÄN</t>
        </is>
      </c>
      <c r="G953" t="inlineStr">
        <is>
          <t>STRÖMSUND</t>
        </is>
      </c>
      <c r="H953" t="inlineStr">
        <is>
          <t>SCA</t>
        </is>
      </c>
      <c r="I953" t="n">
        <v>5.4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37619-2025</t>
        </is>
      </c>
      <c r="B954" t="inlineStr">
        <is>
          <t>avverkningsanmälan</t>
        </is>
      </c>
      <c r="C954" t="inlineStr">
        <is>
          <t>Föryngringsavverkning</t>
        </is>
      </c>
      <c r="D954" s="1" t="n">
        <v>45880</v>
      </c>
      <c r="E954" s="1" t="n">
        <v>46318</v>
      </c>
      <c r="F954" t="inlineStr">
        <is>
          <t>JÄMTLANDS LÄN</t>
        </is>
      </c>
      <c r="G954" t="inlineStr">
        <is>
          <t>STRÖMSUND</t>
        </is>
      </c>
      <c r="H954" t="inlineStr">
        <is>
          <t>SCA</t>
        </is>
      </c>
      <c r="I954" t="n">
        <v>10</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52211-2024</t>
        </is>
      </c>
      <c r="B955" t="inlineStr">
        <is>
          <t>avverkningsanmälan</t>
        </is>
      </c>
      <c r="C955" t="inlineStr">
        <is>
          <t>Föryngringsavverkning</t>
        </is>
      </c>
      <c r="D955" s="1" t="n">
        <v>45608</v>
      </c>
      <c r="E955" s="1" t="n">
        <v>46318</v>
      </c>
      <c r="F955" t="inlineStr">
        <is>
          <t>JÄMTLANDS LÄN</t>
        </is>
      </c>
      <c r="G955" t="inlineStr">
        <is>
          <t>STRÖMSUND</t>
        </is>
      </c>
      <c r="H955" t="inlineStr">
        <is>
          <t>SCA</t>
        </is>
      </c>
      <c r="I955" t="n">
        <v>9</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46342-2022</t>
        </is>
      </c>
      <c r="B956" t="inlineStr">
        <is>
          <t>avverkningsanmälan</t>
        </is>
      </c>
      <c r="C956" t="inlineStr">
        <is>
          <t>Föryngringsavverkning</t>
        </is>
      </c>
      <c r="D956" s="1" t="n">
        <v>44847</v>
      </c>
      <c r="E956" s="1" t="n">
        <v>46318</v>
      </c>
      <c r="F956" t="inlineStr">
        <is>
          <t>JÄMTLANDS LÄN</t>
        </is>
      </c>
      <c r="G956" t="inlineStr">
        <is>
          <t>STRÖMSUND</t>
        </is>
      </c>
      <c r="H956" t="inlineStr">
        <is>
          <t>SCA</t>
        </is>
      </c>
      <c r="I956" t="n">
        <v>2.3</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45335-2025</t>
        </is>
      </c>
      <c r="B957" t="inlineStr">
        <is>
          <t>avverkningsanmälan</t>
        </is>
      </c>
      <c r="C957" t="inlineStr">
        <is>
          <t>Föryngringsavverkning</t>
        </is>
      </c>
      <c r="D957" s="1" t="n">
        <v>45922</v>
      </c>
      <c r="E957" s="1" t="n">
        <v>46318</v>
      </c>
      <c r="F957" t="inlineStr">
        <is>
          <t>JÄMTLANDS LÄN</t>
        </is>
      </c>
      <c r="G957" t="inlineStr">
        <is>
          <t>STRÖMSUND</t>
        </is>
      </c>
      <c r="I957" t="n">
        <v>2.5</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45663-2025</t>
        </is>
      </c>
      <c r="B958" t="inlineStr">
        <is>
          <t>avverkningsanmälan</t>
        </is>
      </c>
      <c r="C958" t="inlineStr">
        <is>
          <t>Föryngringsavverkning</t>
        </is>
      </c>
      <c r="D958" s="1" t="n">
        <v>45923</v>
      </c>
      <c r="E958" s="1" t="n">
        <v>46318</v>
      </c>
      <c r="F958" t="inlineStr">
        <is>
          <t>JÄMTLANDS LÄN</t>
        </is>
      </c>
      <c r="G958" t="inlineStr">
        <is>
          <t>STRÖMSUND</t>
        </is>
      </c>
      <c r="I958" t="n">
        <v>1.6</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51757-2024</t>
        </is>
      </c>
      <c r="B959" t="inlineStr">
        <is>
          <t>avverkningsanmälan</t>
        </is>
      </c>
      <c r="C959" t="inlineStr">
        <is>
          <t>Föryngringsavverkning</t>
        </is>
      </c>
      <c r="D959" s="1" t="n">
        <v>45607</v>
      </c>
      <c r="E959" s="1" t="n">
        <v>46318</v>
      </c>
      <c r="F959" t="inlineStr">
        <is>
          <t>JÄMTLANDS LÄN</t>
        </is>
      </c>
      <c r="G959" t="inlineStr">
        <is>
          <t>STRÖMSUND</t>
        </is>
      </c>
      <c r="H959" t="inlineStr">
        <is>
          <t>Kommuner</t>
        </is>
      </c>
      <c r="I959" t="n">
        <v>5.3</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38149-2025</t>
        </is>
      </c>
      <c r="B960" t="inlineStr">
        <is>
          <t>avverkningsanmälan</t>
        </is>
      </c>
      <c r="C960" t="inlineStr">
        <is>
          <t>Föryngringsavverkning</t>
        </is>
      </c>
      <c r="D960" s="1" t="n">
        <v>45882</v>
      </c>
      <c r="E960" s="1" t="n">
        <v>46318</v>
      </c>
      <c r="F960" t="inlineStr">
        <is>
          <t>JÄMTLANDS LÄN</t>
        </is>
      </c>
      <c r="G960" t="inlineStr">
        <is>
          <t>STRÖMSUND</t>
        </is>
      </c>
      <c r="H960" t="inlineStr">
        <is>
          <t>SCA</t>
        </is>
      </c>
      <c r="I960" t="n">
        <v>9.9</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38323-2025</t>
        </is>
      </c>
      <c r="B961" t="inlineStr">
        <is>
          <t>avverkningsanmälan</t>
        </is>
      </c>
      <c r="C961" t="inlineStr">
        <is>
          <t>Avverkning för att bevara och utveckla /försöksver</t>
        </is>
      </c>
      <c r="D961" s="1" t="n">
        <v>45883</v>
      </c>
      <c r="E961" s="1" t="n">
        <v>46318</v>
      </c>
      <c r="F961" t="inlineStr">
        <is>
          <t>JÄMTLANDS LÄN</t>
        </is>
      </c>
      <c r="G961" t="inlineStr">
        <is>
          <t>STRÖMSUND</t>
        </is>
      </c>
      <c r="H961" t="inlineStr">
        <is>
          <t>SCA</t>
        </is>
      </c>
      <c r="I961" t="n">
        <v>5.1</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38331-2025</t>
        </is>
      </c>
      <c r="B962" t="inlineStr">
        <is>
          <t>avverkningsanmälan</t>
        </is>
      </c>
      <c r="C962" t="inlineStr">
        <is>
          <t>Föryngringsavverkning</t>
        </is>
      </c>
      <c r="D962" s="1" t="n">
        <v>45883</v>
      </c>
      <c r="E962" s="1" t="n">
        <v>46318</v>
      </c>
      <c r="F962" t="inlineStr">
        <is>
          <t>JÄMTLANDS LÄN</t>
        </is>
      </c>
      <c r="G962" t="inlineStr">
        <is>
          <t>STRÖMSUND</t>
        </is>
      </c>
      <c r="H962" t="inlineStr">
        <is>
          <t>SCA</t>
        </is>
      </c>
      <c r="I962" t="n">
        <v>1.4</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37947-2025</t>
        </is>
      </c>
      <c r="B963" t="inlineStr">
        <is>
          <t>avverkningsanmälan</t>
        </is>
      </c>
      <c r="C963" t="inlineStr">
        <is>
          <t>Föryngringsavverkning</t>
        </is>
      </c>
      <c r="D963" s="1" t="n">
        <v>45881</v>
      </c>
      <c r="E963" s="1" t="n">
        <v>46318</v>
      </c>
      <c r="F963" t="inlineStr">
        <is>
          <t>JÄMTLANDS LÄN</t>
        </is>
      </c>
      <c r="G963" t="inlineStr">
        <is>
          <t>STRÖMSUND</t>
        </is>
      </c>
      <c r="H963" t="inlineStr">
        <is>
          <t>SCA</t>
        </is>
      </c>
      <c r="I963" t="n">
        <v>1.5</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46001-2025</t>
        </is>
      </c>
      <c r="B964" t="inlineStr">
        <is>
          <t>avverkningsanmälan</t>
        </is>
      </c>
      <c r="C964" t="inlineStr">
        <is>
          <t>Föryngringsavverkning</t>
        </is>
      </c>
      <c r="D964" s="1" t="n">
        <v>45924</v>
      </c>
      <c r="E964" s="1" t="n">
        <v>46318</v>
      </c>
      <c r="F964" t="inlineStr">
        <is>
          <t>JÄMTLANDS LÄN</t>
        </is>
      </c>
      <c r="G964" t="inlineStr">
        <is>
          <t>STRÖMSUND</t>
        </is>
      </c>
      <c r="H964" t="inlineStr">
        <is>
          <t>SCA</t>
        </is>
      </c>
      <c r="I964" t="n">
        <v>2.9</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46265-2025</t>
        </is>
      </c>
      <c r="B965" t="inlineStr">
        <is>
          <t>avverkningsanmälan</t>
        </is>
      </c>
      <c r="C965" t="inlineStr">
        <is>
          <t>Föryngringsavverkning</t>
        </is>
      </c>
      <c r="D965" s="1" t="n">
        <v>45925</v>
      </c>
      <c r="E965" s="1" t="n">
        <v>46318</v>
      </c>
      <c r="F965" t="inlineStr">
        <is>
          <t>JÄMTLANDS LÄN</t>
        </is>
      </c>
      <c r="G965" t="inlineStr">
        <is>
          <t>STRÖMSUND</t>
        </is>
      </c>
      <c r="I965" t="n">
        <v>3.4</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46191-2025</t>
        </is>
      </c>
      <c r="B966" t="inlineStr">
        <is>
          <t>avverkningsanmälan</t>
        </is>
      </c>
      <c r="C966" t="inlineStr">
        <is>
          <t>Föryngringsavverkning</t>
        </is>
      </c>
      <c r="D966" s="1" t="n">
        <v>45924</v>
      </c>
      <c r="E966" s="1" t="n">
        <v>46318</v>
      </c>
      <c r="F966" t="inlineStr">
        <is>
          <t>JÄMTLANDS LÄN</t>
        </is>
      </c>
      <c r="G966" t="inlineStr">
        <is>
          <t>STRÖMSUND</t>
        </is>
      </c>
      <c r="H966" t="inlineStr">
        <is>
          <t>SCA</t>
        </is>
      </c>
      <c r="I966" t="n">
        <v>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46479-2025</t>
        </is>
      </c>
      <c r="B967" t="inlineStr">
        <is>
          <t>avverkningsanmälan</t>
        </is>
      </c>
      <c r="C967" t="inlineStr">
        <is>
          <t>Föryngringsavverkning</t>
        </is>
      </c>
      <c r="D967" s="1" t="n">
        <v>45925</v>
      </c>
      <c r="E967" s="1" t="n">
        <v>46318</v>
      </c>
      <c r="F967" t="inlineStr">
        <is>
          <t>JÄMTLANDS LÄN</t>
        </is>
      </c>
      <c r="G967" t="inlineStr">
        <is>
          <t>STRÖMSUND</t>
        </is>
      </c>
      <c r="H967" t="inlineStr">
        <is>
          <t>SCA</t>
        </is>
      </c>
      <c r="I967" t="n">
        <v>2.3</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63054-2023</t>
        </is>
      </c>
      <c r="B968" t="inlineStr">
        <is>
          <t>avverkningsanmälan</t>
        </is>
      </c>
      <c r="C968" t="inlineStr">
        <is>
          <t>Föryngringsavverkning</t>
        </is>
      </c>
      <c r="D968" s="1" t="n">
        <v>45272</v>
      </c>
      <c r="E968" s="1" t="n">
        <v>46318</v>
      </c>
      <c r="F968" t="inlineStr">
        <is>
          <t>JÄMTLANDS LÄN</t>
        </is>
      </c>
      <c r="G968" t="inlineStr">
        <is>
          <t>STRÖMSUND</t>
        </is>
      </c>
      <c r="I968" t="n">
        <v>1.9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46355-2025</t>
        </is>
      </c>
      <c r="B969" t="inlineStr">
        <is>
          <t>avverkningsanmälan</t>
        </is>
      </c>
      <c r="C969" t="inlineStr">
        <is>
          <t>Föryngringsavverkning</t>
        </is>
      </c>
      <c r="D969" s="1" t="n">
        <v>45925</v>
      </c>
      <c r="E969" s="1" t="n">
        <v>46318</v>
      </c>
      <c r="F969" t="inlineStr">
        <is>
          <t>JÄMTLANDS LÄN</t>
        </is>
      </c>
      <c r="G969" t="inlineStr">
        <is>
          <t>STRÖMSUND</t>
        </is>
      </c>
      <c r="H969" t="inlineStr">
        <is>
          <t>SCA</t>
        </is>
      </c>
      <c r="I969" t="n">
        <v>1.7</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53217-2024</t>
        </is>
      </c>
      <c r="B970" t="inlineStr">
        <is>
          <t>avverkningsanmälan</t>
        </is>
      </c>
      <c r="C970" t="inlineStr">
        <is>
          <t>Föryngringsavverkning</t>
        </is>
      </c>
      <c r="D970" s="1" t="n">
        <v>45612</v>
      </c>
      <c r="E970" s="1" t="n">
        <v>46318</v>
      </c>
      <c r="F970" t="inlineStr">
        <is>
          <t>JÄMTLANDS LÄN</t>
        </is>
      </c>
      <c r="G970" t="inlineStr">
        <is>
          <t>STRÖMSUND</t>
        </is>
      </c>
      <c r="I970" t="n">
        <v>27.9</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8050-2025</t>
        </is>
      </c>
      <c r="B971" t="inlineStr">
        <is>
          <t>avverkningsanmälan</t>
        </is>
      </c>
      <c r="C971" t="inlineStr">
        <is>
          <t>Föryngringsavverkning</t>
        </is>
      </c>
      <c r="D971" s="1" t="n">
        <v>45706</v>
      </c>
      <c r="E971" s="1" t="n">
        <v>46318</v>
      </c>
      <c r="F971" t="inlineStr">
        <is>
          <t>JÄMTLANDS LÄN</t>
        </is>
      </c>
      <c r="G971" t="inlineStr">
        <is>
          <t>STRÖMSUND</t>
        </is>
      </c>
      <c r="I971" t="n">
        <v>1.2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38221-2025</t>
        </is>
      </c>
      <c r="B972" t="inlineStr">
        <is>
          <t>avverkningsanmälan</t>
        </is>
      </c>
      <c r="C972" t="inlineStr">
        <is>
          <t>Föryngringsavverkning</t>
        </is>
      </c>
      <c r="D972" s="1" t="n">
        <v>45883</v>
      </c>
      <c r="E972" s="1" t="n">
        <v>46318</v>
      </c>
      <c r="F972" t="inlineStr">
        <is>
          <t>JÄMTLANDS LÄN</t>
        </is>
      </c>
      <c r="G972" t="inlineStr">
        <is>
          <t>STRÖMSUND</t>
        </is>
      </c>
      <c r="H972" t="inlineStr">
        <is>
          <t>SCA</t>
        </is>
      </c>
      <c r="I972" t="n">
        <v>4.2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38115-2025</t>
        </is>
      </c>
      <c r="B973" t="inlineStr">
        <is>
          <t>avverkningsanmälan</t>
        </is>
      </c>
      <c r="C973" t="inlineStr">
        <is>
          <t>Föryngringsavverkning</t>
        </is>
      </c>
      <c r="D973" s="1" t="n">
        <v>45882</v>
      </c>
      <c r="E973" s="1" t="n">
        <v>46318</v>
      </c>
      <c r="F973" t="inlineStr">
        <is>
          <t>JÄMTLANDS LÄN</t>
        </is>
      </c>
      <c r="G973" t="inlineStr">
        <is>
          <t>STRÖMSUND</t>
        </is>
      </c>
      <c r="H973" t="inlineStr">
        <is>
          <t>SCA</t>
        </is>
      </c>
      <c r="I973" t="n">
        <v>9.5</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37946-2025</t>
        </is>
      </c>
      <c r="B974" t="inlineStr">
        <is>
          <t>avverkningsanmälan</t>
        </is>
      </c>
      <c r="C974" t="inlineStr">
        <is>
          <t>Föryngringsavverkning</t>
        </is>
      </c>
      <c r="D974" s="1" t="n">
        <v>45881</v>
      </c>
      <c r="E974" s="1" t="n">
        <v>46318</v>
      </c>
      <c r="F974" t="inlineStr">
        <is>
          <t>JÄMTLANDS LÄN</t>
        </is>
      </c>
      <c r="G974" t="inlineStr">
        <is>
          <t>STRÖMSUND</t>
        </is>
      </c>
      <c r="H974" t="inlineStr">
        <is>
          <t>SCA</t>
        </is>
      </c>
      <c r="I974" t="n">
        <v>3.4</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46546-2025</t>
        </is>
      </c>
      <c r="B975" t="inlineStr">
        <is>
          <t>avverkningsanmälan</t>
        </is>
      </c>
      <c r="C975" t="inlineStr">
        <is>
          <t>Föryngringsavverkning</t>
        </is>
      </c>
      <c r="D975" s="1" t="n">
        <v>45926</v>
      </c>
      <c r="E975" s="1" t="n">
        <v>46318</v>
      </c>
      <c r="F975" t="inlineStr">
        <is>
          <t>JÄMTLANDS LÄN</t>
        </is>
      </c>
      <c r="G975" t="inlineStr">
        <is>
          <t>STRÖMSUND</t>
        </is>
      </c>
      <c r="H975" t="inlineStr">
        <is>
          <t>SCA</t>
        </is>
      </c>
      <c r="I975" t="n">
        <v>9.4</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46687-2025</t>
        </is>
      </c>
      <c r="B976" t="inlineStr">
        <is>
          <t>avverkningsanmälan</t>
        </is>
      </c>
      <c r="C976" t="inlineStr">
        <is>
          <t>Föryngringsavverkning</t>
        </is>
      </c>
      <c r="D976" s="1" t="n">
        <v>45926</v>
      </c>
      <c r="E976" s="1" t="n">
        <v>46318</v>
      </c>
      <c r="F976" t="inlineStr">
        <is>
          <t>JÄMTLANDS LÄN</t>
        </is>
      </c>
      <c r="G976" t="inlineStr">
        <is>
          <t>STRÖMSUND</t>
        </is>
      </c>
      <c r="H976" t="inlineStr">
        <is>
          <t>SCA</t>
        </is>
      </c>
      <c r="I976" t="n">
        <v>4.7</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46566-2025</t>
        </is>
      </c>
      <c r="B977" t="inlineStr">
        <is>
          <t>avverkningsanmälan</t>
        </is>
      </c>
      <c r="C977" t="inlineStr">
        <is>
          <t>Föryngringsavverkning</t>
        </is>
      </c>
      <c r="D977" s="1" t="n">
        <v>45926</v>
      </c>
      <c r="E977" s="1" t="n">
        <v>46318</v>
      </c>
      <c r="F977" t="inlineStr">
        <is>
          <t>JÄMTLANDS LÄN</t>
        </is>
      </c>
      <c r="G977" t="inlineStr">
        <is>
          <t>STRÖMSUND</t>
        </is>
      </c>
      <c r="I977" t="n">
        <v>1.6</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46567-2025</t>
        </is>
      </c>
      <c r="B978" t="inlineStr">
        <is>
          <t>avverkningsanmälan</t>
        </is>
      </c>
      <c r="C978" t="inlineStr">
        <is>
          <t>Föryngringsavverkning</t>
        </is>
      </c>
      <c r="D978" s="1" t="n">
        <v>45926</v>
      </c>
      <c r="E978" s="1" t="n">
        <v>46318</v>
      </c>
      <c r="F978" t="inlineStr">
        <is>
          <t>JÄMTLANDS LÄN</t>
        </is>
      </c>
      <c r="G978" t="inlineStr">
        <is>
          <t>STRÖMSUND</t>
        </is>
      </c>
      <c r="I978" t="n">
        <v>1.6</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57021-2022</t>
        </is>
      </c>
      <c r="B979" t="inlineStr">
        <is>
          <t>avverkningsanmälan</t>
        </is>
      </c>
      <c r="C979" t="inlineStr">
        <is>
          <t>Föryngringsavverkning</t>
        </is>
      </c>
      <c r="D979" s="1" t="n">
        <v>44894</v>
      </c>
      <c r="E979" s="1" t="n">
        <v>46318</v>
      </c>
      <c r="F979" t="inlineStr">
        <is>
          <t>JÄMTLANDS LÄN</t>
        </is>
      </c>
      <c r="G979" t="inlineStr">
        <is>
          <t>STRÖMSUND</t>
        </is>
      </c>
      <c r="I979" t="n">
        <v>3.4</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57022-2022</t>
        </is>
      </c>
      <c r="B980" t="inlineStr">
        <is>
          <t>avverkningsanmälan</t>
        </is>
      </c>
      <c r="C980" t="inlineStr">
        <is>
          <t>Föryngringsavverkning</t>
        </is>
      </c>
      <c r="D980" s="1" t="n">
        <v>44894</v>
      </c>
      <c r="E980" s="1" t="n">
        <v>46318</v>
      </c>
      <c r="F980" t="inlineStr">
        <is>
          <t>JÄMTLANDS LÄN</t>
        </is>
      </c>
      <c r="G980" t="inlineStr">
        <is>
          <t>STRÖMSUND</t>
        </is>
      </c>
      <c r="H980" t="inlineStr">
        <is>
          <t>SCA</t>
        </is>
      </c>
      <c r="I980" t="n">
        <v>1.9</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46688-2025</t>
        </is>
      </c>
      <c r="B981" t="inlineStr">
        <is>
          <t>avverkningsanmälan</t>
        </is>
      </c>
      <c r="C981" t="inlineStr">
        <is>
          <t>Föryngringsavverkning</t>
        </is>
      </c>
      <c r="D981" s="1" t="n">
        <v>45926</v>
      </c>
      <c r="E981" s="1" t="n">
        <v>46318</v>
      </c>
      <c r="F981" t="inlineStr">
        <is>
          <t>JÄMTLANDS LÄN</t>
        </is>
      </c>
      <c r="G981" t="inlineStr">
        <is>
          <t>STRÖMSUND</t>
        </is>
      </c>
      <c r="H981" t="inlineStr">
        <is>
          <t>SCA</t>
        </is>
      </c>
      <c r="I981" t="n">
        <v>0.4</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46543-2025</t>
        </is>
      </c>
      <c r="B982" t="inlineStr">
        <is>
          <t>avverkningsanmälan</t>
        </is>
      </c>
      <c r="C982" t="inlineStr">
        <is>
          <t>Föryngringsavverkning</t>
        </is>
      </c>
      <c r="D982" s="1" t="n">
        <v>45926</v>
      </c>
      <c r="E982" s="1" t="n">
        <v>46318</v>
      </c>
      <c r="F982" t="inlineStr">
        <is>
          <t>JÄMTLANDS LÄN</t>
        </is>
      </c>
      <c r="G982" t="inlineStr">
        <is>
          <t>STRÖMSUND</t>
        </is>
      </c>
      <c r="I982" t="n">
        <v>2</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57476-2023</t>
        </is>
      </c>
      <c r="B983" t="inlineStr">
        <is>
          <t>avverkningsanmälan</t>
        </is>
      </c>
      <c r="C983" t="inlineStr">
        <is>
          <t>Föryngringsavverkning</t>
        </is>
      </c>
      <c r="D983" s="1" t="n">
        <v>45240</v>
      </c>
      <c r="E983" s="1" t="n">
        <v>46318</v>
      </c>
      <c r="F983" t="inlineStr">
        <is>
          <t>JÄMTLANDS LÄN</t>
        </is>
      </c>
      <c r="G983" t="inlineStr">
        <is>
          <t>STRÖMSUND</t>
        </is>
      </c>
      <c r="I983" t="n">
        <v>5.7</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47121-2025</t>
        </is>
      </c>
      <c r="B984" t="inlineStr">
        <is>
          <t>avverkningsanmälan</t>
        </is>
      </c>
      <c r="C984" t="inlineStr">
        <is>
          <t>Föryngringsavverkning</t>
        </is>
      </c>
      <c r="D984" s="1" t="n">
        <v>45929</v>
      </c>
      <c r="E984" s="1" t="n">
        <v>46318</v>
      </c>
      <c r="F984" t="inlineStr">
        <is>
          <t>JÄMTLANDS LÄN</t>
        </is>
      </c>
      <c r="G984" t="inlineStr">
        <is>
          <t>STRÖMSUND</t>
        </is>
      </c>
      <c r="I984" t="n">
        <v>2.8</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52153-2024</t>
        </is>
      </c>
      <c r="B985" t="inlineStr">
        <is>
          <t>avverkningsanmälan</t>
        </is>
      </c>
      <c r="C985" t="inlineStr">
        <is>
          <t>Föryngringsavverkning</t>
        </is>
      </c>
      <c r="D985" s="1" t="n">
        <v>45608</v>
      </c>
      <c r="E985" s="1" t="n">
        <v>46318</v>
      </c>
      <c r="F985" t="inlineStr">
        <is>
          <t>JÄMTLANDS LÄN</t>
        </is>
      </c>
      <c r="G985" t="inlineStr">
        <is>
          <t>STRÖMSUND</t>
        </is>
      </c>
      <c r="H985" t="inlineStr">
        <is>
          <t>SCA</t>
        </is>
      </c>
      <c r="I985" t="n">
        <v>11.4</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26665-2024</t>
        </is>
      </c>
      <c r="B986" t="inlineStr">
        <is>
          <t>avverkningsanmälan</t>
        </is>
      </c>
      <c r="C986" t="inlineStr">
        <is>
          <t>Avverkning för annat ändamål</t>
        </is>
      </c>
      <c r="D986" s="1" t="n">
        <v>45469</v>
      </c>
      <c r="E986" s="1" t="n">
        <v>46318</v>
      </c>
      <c r="F986" t="inlineStr">
        <is>
          <t>JÄMTLANDS LÄN</t>
        </is>
      </c>
      <c r="G986" t="inlineStr">
        <is>
          <t>STRÖMSUND</t>
        </is>
      </c>
      <c r="H986" t="inlineStr">
        <is>
          <t>SCA</t>
        </is>
      </c>
      <c r="I986" t="n">
        <v>1.7</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39939-2024</t>
        </is>
      </c>
      <c r="B987" t="inlineStr">
        <is>
          <t>avverkningsanmälan</t>
        </is>
      </c>
      <c r="C987" t="inlineStr">
        <is>
          <t>Föryngringsavverkning</t>
        </is>
      </c>
      <c r="D987" s="1" t="n">
        <v>45553</v>
      </c>
      <c r="E987" s="1" t="n">
        <v>46318</v>
      </c>
      <c r="F987" t="inlineStr">
        <is>
          <t>JÄMTLANDS LÄN</t>
        </is>
      </c>
      <c r="G987" t="inlineStr">
        <is>
          <t>STRÖMSUND</t>
        </is>
      </c>
      <c r="H987" t="inlineStr">
        <is>
          <t>Kyrkan</t>
        </is>
      </c>
      <c r="I987" t="n">
        <v>0.6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53328-2024</t>
        </is>
      </c>
      <c r="B988" t="inlineStr">
        <is>
          <t>avverkningsanmälan</t>
        </is>
      </c>
      <c r="C988" t="inlineStr">
        <is>
          <t>Föryngringsavverkning</t>
        </is>
      </c>
      <c r="D988" s="1" t="n">
        <v>45614</v>
      </c>
      <c r="E988" s="1" t="n">
        <v>46318</v>
      </c>
      <c r="F988" t="inlineStr">
        <is>
          <t>JÄMTLANDS LÄN</t>
        </is>
      </c>
      <c r="G988" t="inlineStr">
        <is>
          <t>STRÖMSUND</t>
        </is>
      </c>
      <c r="I988" t="n">
        <v>1.9</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47526-2025</t>
        </is>
      </c>
      <c r="B989" t="inlineStr">
        <is>
          <t>avverkningsanmälan</t>
        </is>
      </c>
      <c r="C989" t="inlineStr">
        <is>
          <t>Föryngringsavverkning</t>
        </is>
      </c>
      <c r="D989" s="1" t="n">
        <v>45931</v>
      </c>
      <c r="E989" s="1" t="n">
        <v>46318</v>
      </c>
      <c r="F989" t="inlineStr">
        <is>
          <t>JÄMTLANDS LÄN</t>
        </is>
      </c>
      <c r="G989" t="inlineStr">
        <is>
          <t>STRÖMSUND</t>
        </is>
      </c>
      <c r="H989" t="inlineStr">
        <is>
          <t>SCA</t>
        </is>
      </c>
      <c r="I989" t="n">
        <v>1.5</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49861-2023</t>
        </is>
      </c>
      <c r="B990" t="inlineStr">
        <is>
          <t>avverkningsanmälan</t>
        </is>
      </c>
      <c r="C990" t="inlineStr">
        <is>
          <t>Föryngringsavverkning</t>
        </is>
      </c>
      <c r="D990" s="1" t="n">
        <v>45212</v>
      </c>
      <c r="E990" s="1" t="n">
        <v>46318</v>
      </c>
      <c r="F990" t="inlineStr">
        <is>
          <t>JÄMTLANDS LÄN</t>
        </is>
      </c>
      <c r="G990" t="inlineStr">
        <is>
          <t>STRÖMSUND</t>
        </is>
      </c>
      <c r="H990" t="inlineStr">
        <is>
          <t>SCA</t>
        </is>
      </c>
      <c r="I990" t="n">
        <v>7.2</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14975-2023</t>
        </is>
      </c>
      <c r="B991" t="inlineStr">
        <is>
          <t>avverkningsanmälan</t>
        </is>
      </c>
      <c r="C991" t="inlineStr">
        <is>
          <t>Föryngringsavverkning</t>
        </is>
      </c>
      <c r="D991" s="1" t="n">
        <v>45013</v>
      </c>
      <c r="E991" s="1" t="n">
        <v>46318</v>
      </c>
      <c r="F991" t="inlineStr">
        <is>
          <t>JÄMTLANDS LÄN</t>
        </is>
      </c>
      <c r="G991" t="inlineStr">
        <is>
          <t>STRÖMSUND</t>
        </is>
      </c>
      <c r="I991" t="n">
        <v>10.6</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47194-2025</t>
        </is>
      </c>
      <c r="B992" t="inlineStr">
        <is>
          <t>avverkningsanmälan</t>
        </is>
      </c>
      <c r="C992" t="inlineStr">
        <is>
          <t>Föryngringsavverkning</t>
        </is>
      </c>
      <c r="D992" s="1" t="n">
        <v>45930</v>
      </c>
      <c r="E992" s="1" t="n">
        <v>46318</v>
      </c>
      <c r="F992" t="inlineStr">
        <is>
          <t>JÄMTLANDS LÄN</t>
        </is>
      </c>
      <c r="G992" t="inlineStr">
        <is>
          <t>STRÖMSUND</t>
        </is>
      </c>
      <c r="I992" t="n">
        <v>3.9</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47547-2025</t>
        </is>
      </c>
      <c r="B993" t="inlineStr">
        <is>
          <t>avverkningsanmälan</t>
        </is>
      </c>
      <c r="C993" t="inlineStr">
        <is>
          <t>Föryngringsavverkning</t>
        </is>
      </c>
      <c r="D993" s="1" t="n">
        <v>45931</v>
      </c>
      <c r="E993" s="1" t="n">
        <v>46318</v>
      </c>
      <c r="F993" t="inlineStr">
        <is>
          <t>JÄMTLANDS LÄN</t>
        </is>
      </c>
      <c r="G993" t="inlineStr">
        <is>
          <t>STRÖMSUND</t>
        </is>
      </c>
      <c r="H993" t="inlineStr">
        <is>
          <t>SCA</t>
        </is>
      </c>
      <c r="I993" t="n">
        <v>1</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52158-2024</t>
        </is>
      </c>
      <c r="B994" t="inlineStr">
        <is>
          <t>avverkningsanmälan</t>
        </is>
      </c>
      <c r="C994" t="inlineStr">
        <is>
          <t>Föryngringsavverkning</t>
        </is>
      </c>
      <c r="D994" s="1" t="n">
        <v>45608</v>
      </c>
      <c r="E994" s="1" t="n">
        <v>46318</v>
      </c>
      <c r="F994" t="inlineStr">
        <is>
          <t>JÄMTLANDS LÄN</t>
        </is>
      </c>
      <c r="G994" t="inlineStr">
        <is>
          <t>STRÖMSUND</t>
        </is>
      </c>
      <c r="H994" t="inlineStr">
        <is>
          <t>SCA</t>
        </is>
      </c>
      <c r="I994" t="n">
        <v>9</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55161-2024</t>
        </is>
      </c>
      <c r="B995" t="inlineStr">
        <is>
          <t>avverkningsanmälan</t>
        </is>
      </c>
      <c r="C995" t="inlineStr">
        <is>
          <t>Föryngringsavverkning</t>
        </is>
      </c>
      <c r="D995" s="1" t="n">
        <v>45621</v>
      </c>
      <c r="E995" s="1" t="n">
        <v>46318</v>
      </c>
      <c r="F995" t="inlineStr">
        <is>
          <t>JÄMTLANDS LÄN</t>
        </is>
      </c>
      <c r="G995" t="inlineStr">
        <is>
          <t>STRÖMSUND</t>
        </is>
      </c>
      <c r="I995" t="n">
        <v>1.3</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47528-2025</t>
        </is>
      </c>
      <c r="B996" t="inlineStr">
        <is>
          <t>avverkningsanmälan</t>
        </is>
      </c>
      <c r="C996" t="inlineStr">
        <is>
          <t>Föryngringsavverkning</t>
        </is>
      </c>
      <c r="D996" s="1" t="n">
        <v>45931</v>
      </c>
      <c r="E996" s="1" t="n">
        <v>46318</v>
      </c>
      <c r="F996" t="inlineStr">
        <is>
          <t>JÄMTLANDS LÄN</t>
        </is>
      </c>
      <c r="G996" t="inlineStr">
        <is>
          <t>STRÖMSUND</t>
        </is>
      </c>
      <c r="H996" t="inlineStr">
        <is>
          <t>SCA</t>
        </is>
      </c>
      <c r="I996" t="n">
        <v>3</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47663-2025</t>
        </is>
      </c>
      <c r="B997" t="inlineStr">
        <is>
          <t>avverkningsanmälan</t>
        </is>
      </c>
      <c r="C997" t="inlineStr">
        <is>
          <t>Föryngringsavverkning</t>
        </is>
      </c>
      <c r="D997" s="1" t="n">
        <v>45931</v>
      </c>
      <c r="E997" s="1" t="n">
        <v>46318</v>
      </c>
      <c r="F997" t="inlineStr">
        <is>
          <t>JÄMTLANDS LÄN</t>
        </is>
      </c>
      <c r="G997" t="inlineStr">
        <is>
          <t>STRÖMSUND</t>
        </is>
      </c>
      <c r="H997" t="inlineStr">
        <is>
          <t>Holmen skog AB</t>
        </is>
      </c>
      <c r="I997" t="n">
        <v>8.699999999999999</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47535-2025</t>
        </is>
      </c>
      <c r="B998" t="inlineStr">
        <is>
          <t>avverkningsanmälan</t>
        </is>
      </c>
      <c r="C998" t="inlineStr">
        <is>
          <t>Föryngringsavverkning</t>
        </is>
      </c>
      <c r="D998" s="1" t="n">
        <v>45931</v>
      </c>
      <c r="E998" s="1" t="n">
        <v>46318</v>
      </c>
      <c r="F998" t="inlineStr">
        <is>
          <t>JÄMTLANDS LÄN</t>
        </is>
      </c>
      <c r="G998" t="inlineStr">
        <is>
          <t>STRÖMSUND</t>
        </is>
      </c>
      <c r="H998" t="inlineStr">
        <is>
          <t>SCA</t>
        </is>
      </c>
      <c r="I998" t="n">
        <v>6.2</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47525-2025</t>
        </is>
      </c>
      <c r="B999" t="inlineStr">
        <is>
          <t>avverkningsanmälan</t>
        </is>
      </c>
      <c r="C999" t="inlineStr">
        <is>
          <t>Föryngringsavverkning</t>
        </is>
      </c>
      <c r="D999" s="1" t="n">
        <v>45931</v>
      </c>
      <c r="E999" s="1" t="n">
        <v>46318</v>
      </c>
      <c r="F999" t="inlineStr">
        <is>
          <t>JÄMTLANDS LÄN</t>
        </is>
      </c>
      <c r="G999" t="inlineStr">
        <is>
          <t>STRÖMSUND</t>
        </is>
      </c>
      <c r="H999" t="inlineStr">
        <is>
          <t>SCA</t>
        </is>
      </c>
      <c r="I999" t="n">
        <v>2.4</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29276-2022</t>
        </is>
      </c>
      <c r="B1000" t="inlineStr">
        <is>
          <t>avverkningsanmälan</t>
        </is>
      </c>
      <c r="C1000" t="inlineStr">
        <is>
          <t>Föryngringsavverkning</t>
        </is>
      </c>
      <c r="D1000" s="1" t="n">
        <v>44750</v>
      </c>
      <c r="E1000" s="1" t="n">
        <v>46318</v>
      </c>
      <c r="F1000" t="inlineStr">
        <is>
          <t>JÄMTLANDS LÄN</t>
        </is>
      </c>
      <c r="G1000" t="inlineStr">
        <is>
          <t>STRÖMSUND</t>
        </is>
      </c>
      <c r="I1000" t="n">
        <v>18.8</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57002-2022</t>
        </is>
      </c>
      <c r="B1001" t="inlineStr">
        <is>
          <t>avverkningsanmälan</t>
        </is>
      </c>
      <c r="C1001" t="inlineStr">
        <is>
          <t>Föryngringsavverkning</t>
        </is>
      </c>
      <c r="D1001" s="1" t="n">
        <v>44894</v>
      </c>
      <c r="E1001" s="1" t="n">
        <v>46318</v>
      </c>
      <c r="F1001" t="inlineStr">
        <is>
          <t>JÄMTLANDS LÄN</t>
        </is>
      </c>
      <c r="G1001" t="inlineStr">
        <is>
          <t>STRÖMSUND</t>
        </is>
      </c>
      <c r="H1001" t="inlineStr">
        <is>
          <t>SCA</t>
        </is>
      </c>
      <c r="I1001" t="n">
        <v>4</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48116-2025</t>
        </is>
      </c>
      <c r="B1002" t="inlineStr">
        <is>
          <t>avverkningsanmälan</t>
        </is>
      </c>
      <c r="C1002" t="inlineStr">
        <is>
          <t>Föryngringsavverkning</t>
        </is>
      </c>
      <c r="D1002" s="1" t="n">
        <v>45933</v>
      </c>
      <c r="E1002" s="1" t="n">
        <v>46318</v>
      </c>
      <c r="F1002" t="inlineStr">
        <is>
          <t>JÄMTLANDS LÄN</t>
        </is>
      </c>
      <c r="G1002" t="inlineStr">
        <is>
          <t>STRÖMSUND</t>
        </is>
      </c>
      <c r="I1002" t="n">
        <v>1.2</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48133-2025</t>
        </is>
      </c>
      <c r="B1003" t="inlineStr">
        <is>
          <t>avverkningsanmälan</t>
        </is>
      </c>
      <c r="C1003" t="inlineStr">
        <is>
          <t>Föryngringsavverkning</t>
        </is>
      </c>
      <c r="D1003" s="1" t="n">
        <v>45933</v>
      </c>
      <c r="E1003" s="1" t="n">
        <v>46318</v>
      </c>
      <c r="F1003" t="inlineStr">
        <is>
          <t>JÄMTLANDS LÄN</t>
        </is>
      </c>
      <c r="G1003" t="inlineStr">
        <is>
          <t>STRÖMSUND</t>
        </is>
      </c>
      <c r="I1003" t="n">
        <v>2.1</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54965-2024</t>
        </is>
      </c>
      <c r="B1004" t="inlineStr">
        <is>
          <t>avverkningsanmälan</t>
        </is>
      </c>
      <c r="C1004" t="inlineStr">
        <is>
          <t>Föryngringsavverkning</t>
        </is>
      </c>
      <c r="D1004" s="1" t="n">
        <v>45620</v>
      </c>
      <c r="E1004" s="1" t="n">
        <v>46318</v>
      </c>
      <c r="F1004" t="inlineStr">
        <is>
          <t>JÄMTLANDS LÄN</t>
        </is>
      </c>
      <c r="G1004" t="inlineStr">
        <is>
          <t>STRÖMSUND</t>
        </is>
      </c>
      <c r="H1004" t="inlineStr">
        <is>
          <t>SCA</t>
        </is>
      </c>
      <c r="I1004" t="n">
        <v>0.6</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48071-2025</t>
        </is>
      </c>
      <c r="B1005" t="inlineStr">
        <is>
          <t>avverkningsanmälan</t>
        </is>
      </c>
      <c r="C1005" t="inlineStr">
        <is>
          <t>Föryngringsavverkning</t>
        </is>
      </c>
      <c r="D1005" s="1" t="n">
        <v>45932</v>
      </c>
      <c r="E1005" s="1" t="n">
        <v>46318</v>
      </c>
      <c r="F1005" t="inlineStr">
        <is>
          <t>JÄMTLANDS LÄN</t>
        </is>
      </c>
      <c r="G1005" t="inlineStr">
        <is>
          <t>STRÖMSUND</t>
        </is>
      </c>
      <c r="H1005" t="inlineStr">
        <is>
          <t>SCA</t>
        </is>
      </c>
      <c r="I1005" t="n">
        <v>6.5</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48164-2025</t>
        </is>
      </c>
      <c r="B1006" t="inlineStr">
        <is>
          <t>avverkningsanmälan</t>
        </is>
      </c>
      <c r="C1006" t="inlineStr">
        <is>
          <t>Föryngringsavverkning</t>
        </is>
      </c>
      <c r="D1006" s="1" t="n">
        <v>45933</v>
      </c>
      <c r="E1006" s="1" t="n">
        <v>46318</v>
      </c>
      <c r="F1006" t="inlineStr">
        <is>
          <t>JÄMTLANDS LÄN</t>
        </is>
      </c>
      <c r="G1006" t="inlineStr">
        <is>
          <t>STRÖMSUND</t>
        </is>
      </c>
      <c r="H1006" t="inlineStr">
        <is>
          <t>SCA</t>
        </is>
      </c>
      <c r="I1006" t="n">
        <v>1.9</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60334-2023</t>
        </is>
      </c>
      <c r="B1007" t="inlineStr">
        <is>
          <t>avverkningsanmälan</t>
        </is>
      </c>
      <c r="C1007" t="inlineStr">
        <is>
          <t>Föryngringsavverkning</t>
        </is>
      </c>
      <c r="D1007" s="1" t="n">
        <v>45258</v>
      </c>
      <c r="E1007" s="1" t="n">
        <v>46318</v>
      </c>
      <c r="F1007" t="inlineStr">
        <is>
          <t>JÄMTLANDS LÄN</t>
        </is>
      </c>
      <c r="G1007" t="inlineStr">
        <is>
          <t>STRÖMSUND</t>
        </is>
      </c>
      <c r="H1007" t="inlineStr">
        <is>
          <t>SCA</t>
        </is>
      </c>
      <c r="I1007" t="n">
        <v>5.3</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48060-2025</t>
        </is>
      </c>
      <c r="B1008" t="inlineStr">
        <is>
          <t>avverkningsanmälan</t>
        </is>
      </c>
      <c r="C1008" t="inlineStr">
        <is>
          <t>Föryngringsavverkning</t>
        </is>
      </c>
      <c r="D1008" s="1" t="n">
        <v>45932</v>
      </c>
      <c r="E1008" s="1" t="n">
        <v>46318</v>
      </c>
      <c r="F1008" t="inlineStr">
        <is>
          <t>JÄMTLANDS LÄN</t>
        </is>
      </c>
      <c r="G1008" t="inlineStr">
        <is>
          <t>STRÖMSUND</t>
        </is>
      </c>
      <c r="I1008" t="n">
        <v>23.2</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48124-2025</t>
        </is>
      </c>
      <c r="B1009" t="inlineStr">
        <is>
          <t>avverkningsanmälan</t>
        </is>
      </c>
      <c r="C1009" t="inlineStr">
        <is>
          <t>Föryngringsavverkning</t>
        </is>
      </c>
      <c r="D1009" s="1" t="n">
        <v>45933</v>
      </c>
      <c r="E1009" s="1" t="n">
        <v>46318</v>
      </c>
      <c r="F1009" t="inlineStr">
        <is>
          <t>JÄMTLANDS LÄN</t>
        </is>
      </c>
      <c r="G1009" t="inlineStr">
        <is>
          <t>STRÖMSUND</t>
        </is>
      </c>
      <c r="I1009" t="n">
        <v>6.2</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48139-2025</t>
        </is>
      </c>
      <c r="B1010" t="inlineStr">
        <is>
          <t>avverkningsanmälan</t>
        </is>
      </c>
      <c r="C1010" t="inlineStr">
        <is>
          <t>Föryngringsavverkning</t>
        </is>
      </c>
      <c r="D1010" s="1" t="n">
        <v>45933</v>
      </c>
      <c r="E1010" s="1" t="n">
        <v>46318</v>
      </c>
      <c r="F1010" t="inlineStr">
        <is>
          <t>JÄMTLANDS LÄN</t>
        </is>
      </c>
      <c r="G1010" t="inlineStr">
        <is>
          <t>STRÖMSUND</t>
        </is>
      </c>
      <c r="H1010" t="inlineStr">
        <is>
          <t>SCA</t>
        </is>
      </c>
      <c r="I1010" t="n">
        <v>7</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48144-2025</t>
        </is>
      </c>
      <c r="B1011" t="inlineStr">
        <is>
          <t>avverkningsanmälan</t>
        </is>
      </c>
      <c r="C1011" t="inlineStr">
        <is>
          <t>Föryngringsavverkning</t>
        </is>
      </c>
      <c r="D1011" s="1" t="n">
        <v>45933</v>
      </c>
      <c r="E1011" s="1" t="n">
        <v>46318</v>
      </c>
      <c r="F1011" t="inlineStr">
        <is>
          <t>JÄMTLANDS LÄN</t>
        </is>
      </c>
      <c r="G1011" t="inlineStr">
        <is>
          <t>STRÖMSUND</t>
        </is>
      </c>
      <c r="I1011" t="n">
        <v>5.5</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47818-2025</t>
        </is>
      </c>
      <c r="B1012" t="inlineStr">
        <is>
          <t>avverkningsanmälan</t>
        </is>
      </c>
      <c r="C1012" t="inlineStr">
        <is>
          <t>Föryngringsavverkning</t>
        </is>
      </c>
      <c r="D1012" s="1" t="n">
        <v>45932</v>
      </c>
      <c r="E1012" s="1" t="n">
        <v>46318</v>
      </c>
      <c r="F1012" t="inlineStr">
        <is>
          <t>JÄMTLANDS LÄN</t>
        </is>
      </c>
      <c r="G1012" t="inlineStr">
        <is>
          <t>STRÖMSUND</t>
        </is>
      </c>
      <c r="H1012" t="inlineStr">
        <is>
          <t>Holmen skog AB</t>
        </is>
      </c>
      <c r="I1012" t="n">
        <v>3.1</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48068-2025</t>
        </is>
      </c>
      <c r="B1013" t="inlineStr">
        <is>
          <t>avverkningsanmälan</t>
        </is>
      </c>
      <c r="C1013" t="inlineStr">
        <is>
          <t>Föryngringsavverkning</t>
        </is>
      </c>
      <c r="D1013" s="1" t="n">
        <v>45932</v>
      </c>
      <c r="E1013" s="1" t="n">
        <v>46318</v>
      </c>
      <c r="F1013" t="inlineStr">
        <is>
          <t>JÄMTLANDS LÄN</t>
        </is>
      </c>
      <c r="G1013" t="inlineStr">
        <is>
          <t>STRÖMSUND</t>
        </is>
      </c>
      <c r="H1013" t="inlineStr">
        <is>
          <t>SCA</t>
        </is>
      </c>
      <c r="I1013" t="n">
        <v>1.8</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53556-2024</t>
        </is>
      </c>
      <c r="B1014" t="inlineStr">
        <is>
          <t>avverkningsanmälan</t>
        </is>
      </c>
      <c r="C1014" t="inlineStr">
        <is>
          <t>Föryngringsavverkning</t>
        </is>
      </c>
      <c r="D1014" s="1" t="n">
        <v>45608</v>
      </c>
      <c r="E1014" s="1" t="n">
        <v>46318</v>
      </c>
      <c r="F1014" t="inlineStr">
        <is>
          <t>JÄMTLANDS LÄN</t>
        </is>
      </c>
      <c r="G1014" t="inlineStr">
        <is>
          <t>STRÖMSUND</t>
        </is>
      </c>
      <c r="I1014" t="n">
        <v>1.3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48529-2025</t>
        </is>
      </c>
      <c r="B1015" t="inlineStr">
        <is>
          <t>avverkningsanmälan</t>
        </is>
      </c>
      <c r="C1015" t="inlineStr">
        <is>
          <t>Föryngringsavverkning</t>
        </is>
      </c>
      <c r="D1015" s="1" t="n">
        <v>45936</v>
      </c>
      <c r="E1015" s="1" t="n">
        <v>46318</v>
      </c>
      <c r="F1015" t="inlineStr">
        <is>
          <t>JÄMTLANDS LÄN</t>
        </is>
      </c>
      <c r="G1015" t="inlineStr">
        <is>
          <t>STRÖMSUND</t>
        </is>
      </c>
      <c r="H1015" t="inlineStr">
        <is>
          <t>SCA</t>
        </is>
      </c>
      <c r="I1015" t="n">
        <v>3.2</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22966-2022</t>
        </is>
      </c>
      <c r="B1016" t="inlineStr">
        <is>
          <t>avverkningsanmälan</t>
        </is>
      </c>
      <c r="C1016" t="inlineStr">
        <is>
          <t>Föryngringsavverkning</t>
        </is>
      </c>
      <c r="D1016" s="1" t="n">
        <v>44715</v>
      </c>
      <c r="E1016" s="1" t="n">
        <v>46318</v>
      </c>
      <c r="F1016" t="inlineStr">
        <is>
          <t>JÄMTLANDS LÄN</t>
        </is>
      </c>
      <c r="G1016" t="inlineStr">
        <is>
          <t>STRÖMSUND</t>
        </is>
      </c>
      <c r="H1016" t="inlineStr">
        <is>
          <t>SCA</t>
        </is>
      </c>
      <c r="I1016" t="n">
        <v>2.4</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48552-2025</t>
        </is>
      </c>
      <c r="B1017" t="inlineStr">
        <is>
          <t>avverkningsanmälan</t>
        </is>
      </c>
      <c r="C1017" t="inlineStr">
        <is>
          <t>Föryngringsavverkning</t>
        </is>
      </c>
      <c r="D1017" s="1" t="n">
        <v>45936</v>
      </c>
      <c r="E1017" s="1" t="n">
        <v>46318</v>
      </c>
      <c r="F1017" t="inlineStr">
        <is>
          <t>JÄMTLANDS LÄN</t>
        </is>
      </c>
      <c r="G1017" t="inlineStr">
        <is>
          <t>STRÖMSUND</t>
        </is>
      </c>
      <c r="H1017" t="inlineStr">
        <is>
          <t>SCA</t>
        </is>
      </c>
      <c r="I1017" t="n">
        <v>20.4</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53795-2024</t>
        </is>
      </c>
      <c r="B1018" t="inlineStr">
        <is>
          <t>avverkningsanmälan</t>
        </is>
      </c>
      <c r="C1018" t="inlineStr">
        <is>
          <t>Avverkning för annat ändamål</t>
        </is>
      </c>
      <c r="D1018" s="1" t="n">
        <v>45615</v>
      </c>
      <c r="E1018" s="1" t="n">
        <v>46318</v>
      </c>
      <c r="F1018" t="inlineStr">
        <is>
          <t>JÄMTLANDS LÄN</t>
        </is>
      </c>
      <c r="G1018" t="inlineStr">
        <is>
          <t>STRÖMSUND</t>
        </is>
      </c>
      <c r="I1018" t="n">
        <v>3.3</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5948-2025</t>
        </is>
      </c>
      <c r="B1019" t="inlineStr">
        <is>
          <t>avverkningsanmälan</t>
        </is>
      </c>
      <c r="C1019" t="inlineStr">
        <is>
          <t>Föryngringsavverkning</t>
        </is>
      </c>
      <c r="D1019" s="1" t="n">
        <v>45695</v>
      </c>
      <c r="E1019" s="1" t="n">
        <v>46318</v>
      </c>
      <c r="F1019" t="inlineStr">
        <is>
          <t>JÄMTLANDS LÄN</t>
        </is>
      </c>
      <c r="G1019" t="inlineStr">
        <is>
          <t>STRÖMSUND</t>
        </is>
      </c>
      <c r="I1019" t="n">
        <v>2</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40-2025</t>
        </is>
      </c>
      <c r="B1020" t="inlineStr">
        <is>
          <t>avverkningsanmälan</t>
        </is>
      </c>
      <c r="C1020" t="inlineStr">
        <is>
          <t>Föryngringsavverkning</t>
        </is>
      </c>
      <c r="D1020" s="1" t="n">
        <v>45659</v>
      </c>
      <c r="E1020" s="1" t="n">
        <v>46318</v>
      </c>
      <c r="F1020" t="inlineStr">
        <is>
          <t>JÄMTLANDS LÄN</t>
        </is>
      </c>
      <c r="G1020" t="inlineStr">
        <is>
          <t>STRÖMSUND</t>
        </is>
      </c>
      <c r="H1020" t="inlineStr">
        <is>
          <t>SCA</t>
        </is>
      </c>
      <c r="I1020" t="n">
        <v>3.2</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7112-2024</t>
        </is>
      </c>
      <c r="B1021" t="inlineStr">
        <is>
          <t>avverkningsanmälan</t>
        </is>
      </c>
      <c r="C1021" t="inlineStr">
        <is>
          <t>Föryngringsavverkning</t>
        </is>
      </c>
      <c r="D1021" s="1" t="n">
        <v>45343</v>
      </c>
      <c r="E1021" s="1" t="n">
        <v>46318</v>
      </c>
      <c r="F1021" t="inlineStr">
        <is>
          <t>JÄMTLANDS LÄN</t>
        </is>
      </c>
      <c r="G1021" t="inlineStr">
        <is>
          <t>STRÖMSUND</t>
        </is>
      </c>
      <c r="H1021" t="inlineStr">
        <is>
          <t>SCA</t>
        </is>
      </c>
      <c r="I1021" t="n">
        <v>6.5</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53873-2024</t>
        </is>
      </c>
      <c r="B1022" t="inlineStr">
        <is>
          <t>avverkningsanmälan</t>
        </is>
      </c>
      <c r="C1022" t="inlineStr">
        <is>
          <t>Föryngringsavverkning</t>
        </is>
      </c>
      <c r="D1022" s="1" t="n">
        <v>45615</v>
      </c>
      <c r="E1022" s="1" t="n">
        <v>46318</v>
      </c>
      <c r="F1022" t="inlineStr">
        <is>
          <t>JÄMTLANDS LÄN</t>
        </is>
      </c>
      <c r="G1022" t="inlineStr">
        <is>
          <t>STRÖMSUND</t>
        </is>
      </c>
      <c r="I1022" t="n">
        <v>2.3</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30352-2024</t>
        </is>
      </c>
      <c r="B1023" t="inlineStr">
        <is>
          <t>avverkningsanmälan</t>
        </is>
      </c>
      <c r="C1023" t="inlineStr">
        <is>
          <t>Avverkning för att bevara och utveckla /försöksver</t>
        </is>
      </c>
      <c r="D1023" s="1" t="n">
        <v>45490</v>
      </c>
      <c r="E1023" s="1" t="n">
        <v>46318</v>
      </c>
      <c r="F1023" t="inlineStr">
        <is>
          <t>JÄMTLANDS LÄN</t>
        </is>
      </c>
      <c r="G1023" t="inlineStr">
        <is>
          <t>STRÖMSUND</t>
        </is>
      </c>
      <c r="H1023" t="inlineStr">
        <is>
          <t>SCA</t>
        </is>
      </c>
      <c r="I1023" t="n">
        <v>5.3</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48830-2025</t>
        </is>
      </c>
      <c r="B1024" t="inlineStr">
        <is>
          <t>avverkningsanmälan</t>
        </is>
      </c>
      <c r="C1024" t="inlineStr">
        <is>
          <t>Föryngringsavverkning</t>
        </is>
      </c>
      <c r="D1024" s="1" t="n">
        <v>45937</v>
      </c>
      <c r="E1024" s="1" t="n">
        <v>46318</v>
      </c>
      <c r="F1024" t="inlineStr">
        <is>
          <t>JÄMTLANDS LÄN</t>
        </is>
      </c>
      <c r="G1024" t="inlineStr">
        <is>
          <t>STRÖMSUND</t>
        </is>
      </c>
      <c r="H1024" t="inlineStr">
        <is>
          <t>SCA</t>
        </is>
      </c>
      <c r="I1024" t="n">
        <v>2.8</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48902-2025</t>
        </is>
      </c>
      <c r="B1025" t="inlineStr">
        <is>
          <t>avverkningsanmälan</t>
        </is>
      </c>
      <c r="C1025" t="inlineStr">
        <is>
          <t>Föryngringsavverkning</t>
        </is>
      </c>
      <c r="D1025" s="1" t="n">
        <v>45937</v>
      </c>
      <c r="E1025" s="1" t="n">
        <v>46318</v>
      </c>
      <c r="F1025" t="inlineStr">
        <is>
          <t>JÄMTLANDS LÄN</t>
        </is>
      </c>
      <c r="G1025" t="inlineStr">
        <is>
          <t>STRÖMSUND</t>
        </is>
      </c>
      <c r="H1025" t="inlineStr">
        <is>
          <t>Sveaskog</t>
        </is>
      </c>
      <c r="I1025" t="n">
        <v>5.1</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24831-2023</t>
        </is>
      </c>
      <c r="B1026" t="inlineStr">
        <is>
          <t>avverkningsanmälan</t>
        </is>
      </c>
      <c r="C1026" t="inlineStr">
        <is>
          <t>Föryngringsavverkning</t>
        </is>
      </c>
      <c r="D1026" s="1" t="n">
        <v>45084</v>
      </c>
      <c r="E1026" s="1" t="n">
        <v>46318</v>
      </c>
      <c r="F1026" t="inlineStr">
        <is>
          <t>JÄMTLANDS LÄN</t>
        </is>
      </c>
      <c r="G1026" t="inlineStr">
        <is>
          <t>STRÖMSUND</t>
        </is>
      </c>
      <c r="I1026" t="n">
        <v>5</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21551-2024</t>
        </is>
      </c>
      <c r="B1027" t="inlineStr">
        <is>
          <t>avverkningsanmälan</t>
        </is>
      </c>
      <c r="C1027" t="inlineStr">
        <is>
          <t>Föryngringsavverkning</t>
        </is>
      </c>
      <c r="D1027" s="1" t="n">
        <v>45441</v>
      </c>
      <c r="E1027" s="1" t="n">
        <v>46318</v>
      </c>
      <c r="F1027" t="inlineStr">
        <is>
          <t>JÄMTLANDS LÄN</t>
        </is>
      </c>
      <c r="G1027" t="inlineStr">
        <is>
          <t>STRÖMSUND</t>
        </is>
      </c>
      <c r="H1027" t="inlineStr">
        <is>
          <t>Holmen skog AB</t>
        </is>
      </c>
      <c r="I1027" t="n">
        <v>1</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70079-2021</t>
        </is>
      </c>
      <c r="B1028" t="inlineStr">
        <is>
          <t>avverkningsanmälan</t>
        </is>
      </c>
      <c r="C1028" t="inlineStr">
        <is>
          <t>Föryngringsavverkning</t>
        </is>
      </c>
      <c r="D1028" s="1" t="n">
        <v>44533</v>
      </c>
      <c r="E1028" s="1" t="n">
        <v>46318</v>
      </c>
      <c r="F1028" t="inlineStr">
        <is>
          <t>JÄMTLANDS LÄN</t>
        </is>
      </c>
      <c r="G1028" t="inlineStr">
        <is>
          <t>STRÖMSUND</t>
        </is>
      </c>
      <c r="H1028" t="inlineStr">
        <is>
          <t>Holmen skog AB</t>
        </is>
      </c>
      <c r="I1028" t="n">
        <v>1.6</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33299-2024</t>
        </is>
      </c>
      <c r="B1029" t="inlineStr">
        <is>
          <t>avverkningsanmälan</t>
        </is>
      </c>
      <c r="C1029" t="inlineStr">
        <is>
          <t>Föryngringsavverkning</t>
        </is>
      </c>
      <c r="D1029" s="1" t="n">
        <v>45518</v>
      </c>
      <c r="E1029" s="1" t="n">
        <v>46318</v>
      </c>
      <c r="F1029" t="inlineStr">
        <is>
          <t>JÄMTLANDS LÄN</t>
        </is>
      </c>
      <c r="G1029" t="inlineStr">
        <is>
          <t>STRÖMSUND</t>
        </is>
      </c>
      <c r="H1029" t="inlineStr">
        <is>
          <t>SCA</t>
        </is>
      </c>
      <c r="I1029" t="n">
        <v>1.2</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49253-2025</t>
        </is>
      </c>
      <c r="B1030" t="inlineStr">
        <is>
          <t>avverkningsanmälan</t>
        </is>
      </c>
      <c r="C1030" t="inlineStr">
        <is>
          <t>Föryngringsavverkning</t>
        </is>
      </c>
      <c r="D1030" s="1" t="n">
        <v>45938</v>
      </c>
      <c r="E1030" s="1" t="n">
        <v>46318</v>
      </c>
      <c r="F1030" t="inlineStr">
        <is>
          <t>JÄMTLANDS LÄN</t>
        </is>
      </c>
      <c r="G1030" t="inlineStr">
        <is>
          <t>STRÖMSUND</t>
        </is>
      </c>
      <c r="H1030" t="inlineStr">
        <is>
          <t>SCA</t>
        </is>
      </c>
      <c r="I1030" t="n">
        <v>3.9</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48939-2025</t>
        </is>
      </c>
      <c r="B1031" t="inlineStr">
        <is>
          <t>avverkningsanmälan</t>
        </is>
      </c>
      <c r="C1031" t="inlineStr">
        <is>
          <t>Föryngringsavverkning</t>
        </is>
      </c>
      <c r="D1031" s="1" t="n">
        <v>45937</v>
      </c>
      <c r="E1031" s="1" t="n">
        <v>46318</v>
      </c>
      <c r="F1031" t="inlineStr">
        <is>
          <t>JÄMTLANDS LÄN</t>
        </is>
      </c>
      <c r="G1031" t="inlineStr">
        <is>
          <t>STRÖMSUND</t>
        </is>
      </c>
      <c r="H1031" t="inlineStr">
        <is>
          <t>SCA</t>
        </is>
      </c>
      <c r="I1031" t="n">
        <v>4</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47320-2022</t>
        </is>
      </c>
      <c r="B1032" t="inlineStr">
        <is>
          <t>avverkningsanmälan</t>
        </is>
      </c>
      <c r="C1032" t="inlineStr">
        <is>
          <t>Föryngringsavverkning</t>
        </is>
      </c>
      <c r="D1032" s="1" t="n">
        <v>44846</v>
      </c>
      <c r="E1032" s="1" t="n">
        <v>46318</v>
      </c>
      <c r="F1032" t="inlineStr">
        <is>
          <t>JÄMTLANDS LÄN</t>
        </is>
      </c>
      <c r="G1032" t="inlineStr">
        <is>
          <t>STRÖMSUND</t>
        </is>
      </c>
      <c r="I1032" t="n">
        <v>6.5</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48889-2025</t>
        </is>
      </c>
      <c r="B1033" t="inlineStr">
        <is>
          <t>avverkningsanmälan</t>
        </is>
      </c>
      <c r="C1033" t="inlineStr">
        <is>
          <t>Föryngringsavverkning</t>
        </is>
      </c>
      <c r="D1033" s="1" t="n">
        <v>45937</v>
      </c>
      <c r="E1033" s="1" t="n">
        <v>46318</v>
      </c>
      <c r="F1033" t="inlineStr">
        <is>
          <t>JÄMTLANDS LÄN</t>
        </is>
      </c>
      <c r="G1033" t="inlineStr">
        <is>
          <t>STRÖMSUND</t>
        </is>
      </c>
      <c r="H1033" t="inlineStr">
        <is>
          <t>SCA</t>
        </is>
      </c>
      <c r="I1033" t="n">
        <v>7.5</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26734-2022</t>
        </is>
      </c>
      <c r="B1034" t="inlineStr">
        <is>
          <t>avverkningsanmälan</t>
        </is>
      </c>
      <c r="C1034" t="inlineStr">
        <is>
          <t>Föryngringsavverkning</t>
        </is>
      </c>
      <c r="D1034" s="1" t="n">
        <v>44739</v>
      </c>
      <c r="E1034" s="1" t="n">
        <v>46318</v>
      </c>
      <c r="F1034" t="inlineStr">
        <is>
          <t>JÄMTLANDS LÄN</t>
        </is>
      </c>
      <c r="G1034" t="inlineStr">
        <is>
          <t>STRÖMSUND</t>
        </is>
      </c>
      <c r="H1034" t="inlineStr">
        <is>
          <t>SCA</t>
        </is>
      </c>
      <c r="I1034" t="n">
        <v>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47248-2022</t>
        </is>
      </c>
      <c r="B1035" t="inlineStr">
        <is>
          <t>avverkningsanmälan</t>
        </is>
      </c>
      <c r="C1035" t="inlineStr">
        <is>
          <t>Föryngringsavverkning</t>
        </is>
      </c>
      <c r="D1035" s="1" t="n">
        <v>44852</v>
      </c>
      <c r="E1035" s="1" t="n">
        <v>46318</v>
      </c>
      <c r="F1035" t="inlineStr">
        <is>
          <t>JÄMTLANDS LÄN</t>
        </is>
      </c>
      <c r="G1035" t="inlineStr">
        <is>
          <t>STRÖMSUND</t>
        </is>
      </c>
      <c r="I1035" t="n">
        <v>0.9</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32883-2023</t>
        </is>
      </c>
      <c r="B1036" t="inlineStr">
        <is>
          <t>avverkningsanmälan</t>
        </is>
      </c>
      <c r="C1036" t="inlineStr">
        <is>
          <t>Föryngringsavverkning</t>
        </is>
      </c>
      <c r="D1036" s="1" t="n">
        <v>45112</v>
      </c>
      <c r="E1036" s="1" t="n">
        <v>46318</v>
      </c>
      <c r="F1036" t="inlineStr">
        <is>
          <t>JÄMTLANDS LÄN</t>
        </is>
      </c>
      <c r="G1036" t="inlineStr">
        <is>
          <t>STRÖMSUND</t>
        </is>
      </c>
      <c r="H1036" t="inlineStr">
        <is>
          <t>Kommuner</t>
        </is>
      </c>
      <c r="I1036" t="n">
        <v>1.4</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47966-2025</t>
        </is>
      </c>
      <c r="B1037" t="inlineStr">
        <is>
          <t>avverkningsanmälan</t>
        </is>
      </c>
      <c r="C1037" t="inlineStr">
        <is>
          <t>Föryngringsavverkning</t>
        </is>
      </c>
      <c r="D1037" s="1" t="n">
        <v>45932</v>
      </c>
      <c r="E1037" s="1" t="n">
        <v>46318</v>
      </c>
      <c r="F1037" t="inlineStr">
        <is>
          <t>JÄMTLANDS LÄN</t>
        </is>
      </c>
      <c r="G1037" t="inlineStr">
        <is>
          <t>STRÖMSUND</t>
        </is>
      </c>
      <c r="I1037" t="n">
        <v>1</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829-2022</t>
        </is>
      </c>
      <c r="B1038" t="inlineStr">
        <is>
          <t>avverkningsanmälan</t>
        </is>
      </c>
      <c r="C1038" t="inlineStr">
        <is>
          <t>Föryngringsavverkning</t>
        </is>
      </c>
      <c r="D1038" s="1" t="n">
        <v>44568</v>
      </c>
      <c r="E1038" s="1" t="n">
        <v>46318</v>
      </c>
      <c r="F1038" t="inlineStr">
        <is>
          <t>JÄMTLANDS LÄN</t>
        </is>
      </c>
      <c r="G1038" t="inlineStr">
        <is>
          <t>STRÖMSUND</t>
        </is>
      </c>
      <c r="I1038" t="n">
        <v>2.5</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49375-2025</t>
        </is>
      </c>
      <c r="B1039" t="inlineStr">
        <is>
          <t>avverkningsanmälan</t>
        </is>
      </c>
      <c r="C1039" t="inlineStr">
        <is>
          <t>Föryngringsavverkning</t>
        </is>
      </c>
      <c r="D1039" s="1" t="n">
        <v>45938</v>
      </c>
      <c r="E1039" s="1" t="n">
        <v>46318</v>
      </c>
      <c r="F1039" t="inlineStr">
        <is>
          <t>JÄMTLANDS LÄN</t>
        </is>
      </c>
      <c r="G1039" t="inlineStr">
        <is>
          <t>STRÖMSUND</t>
        </is>
      </c>
      <c r="H1039" t="inlineStr">
        <is>
          <t>SCA</t>
        </is>
      </c>
      <c r="I1039" t="n">
        <v>6.2</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59358-2023</t>
        </is>
      </c>
      <c r="B1040" t="inlineStr">
        <is>
          <t>avverkningsanmälan</t>
        </is>
      </c>
      <c r="C1040" t="inlineStr">
        <is>
          <t>Avverkning för att bevara och utveckla /försöksver</t>
        </is>
      </c>
      <c r="D1040" s="1" t="n">
        <v>45253</v>
      </c>
      <c r="E1040" s="1" t="n">
        <v>46318</v>
      </c>
      <c r="F1040" t="inlineStr">
        <is>
          <t>JÄMTLANDS LÄN</t>
        </is>
      </c>
      <c r="G1040" t="inlineStr">
        <is>
          <t>STRÖMSUND</t>
        </is>
      </c>
      <c r="H1040" t="inlineStr">
        <is>
          <t>Holmen skog AB</t>
        </is>
      </c>
      <c r="I1040" t="n">
        <v>0.7</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2109-2024</t>
        </is>
      </c>
      <c r="B1041" t="inlineStr">
        <is>
          <t>avverkningsanmälan</t>
        </is>
      </c>
      <c r="C1041" t="inlineStr">
        <is>
          <t>Föryngringsavverkning</t>
        </is>
      </c>
      <c r="D1041" s="1" t="n">
        <v>45309</v>
      </c>
      <c r="E1041" s="1" t="n">
        <v>46318</v>
      </c>
      <c r="F1041" t="inlineStr">
        <is>
          <t>JÄMTLANDS LÄN</t>
        </is>
      </c>
      <c r="G1041" t="inlineStr">
        <is>
          <t>STRÖMSUND</t>
        </is>
      </c>
      <c r="I1041" t="n">
        <v>23.5</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9678-2023</t>
        </is>
      </c>
      <c r="B1042" t="inlineStr">
        <is>
          <t>avverkningsanmälan</t>
        </is>
      </c>
      <c r="C1042" t="inlineStr">
        <is>
          <t>Föryngringsavverkning</t>
        </is>
      </c>
      <c r="D1042" s="1" t="n">
        <v>44984</v>
      </c>
      <c r="E1042" s="1" t="n">
        <v>46318</v>
      </c>
      <c r="F1042" t="inlineStr">
        <is>
          <t>JÄMTLANDS LÄN</t>
        </is>
      </c>
      <c r="G1042" t="inlineStr">
        <is>
          <t>STRÖMSUND</t>
        </is>
      </c>
      <c r="I1042" t="n">
        <v>1.9</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20366-2026</t>
        </is>
      </c>
      <c r="B1043" t="inlineStr">
        <is>
          <t>avverkningsanmälan</t>
        </is>
      </c>
      <c r="C1043" t="inlineStr">
        <is>
          <t>Föryngringsavverkning</t>
        </is>
      </c>
      <c r="D1043" s="1" t="n">
        <v>46139</v>
      </c>
      <c r="E1043" s="1" t="n">
        <v>46318</v>
      </c>
      <c r="F1043" t="inlineStr">
        <is>
          <t>JÄMTLANDS LÄN</t>
        </is>
      </c>
      <c r="G1043" t="inlineStr">
        <is>
          <t>STRÖMSUND</t>
        </is>
      </c>
      <c r="H1043" t="inlineStr">
        <is>
          <t>SCA</t>
        </is>
      </c>
      <c r="I1043" t="n">
        <v>2.8</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49049-2025</t>
        </is>
      </c>
      <c r="B1044" t="inlineStr">
        <is>
          <t>avverkningsanmälan</t>
        </is>
      </c>
      <c r="C1044" t="inlineStr">
        <is>
          <t>Föryngringsavverkning</t>
        </is>
      </c>
      <c r="D1044" s="1" t="n">
        <v>45937</v>
      </c>
      <c r="E1044" s="1" t="n">
        <v>46318</v>
      </c>
      <c r="F1044" t="inlineStr">
        <is>
          <t>JÄMTLANDS LÄN</t>
        </is>
      </c>
      <c r="G1044" t="inlineStr">
        <is>
          <t>STRÖMSUND</t>
        </is>
      </c>
      <c r="I1044" t="n">
        <v>2.7</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54063-2023</t>
        </is>
      </c>
      <c r="B1045" t="inlineStr">
        <is>
          <t>avverkningsanmälan</t>
        </is>
      </c>
      <c r="C1045" t="inlineStr">
        <is>
          <t>Föryngringsavverkning</t>
        </is>
      </c>
      <c r="D1045" s="1" t="n">
        <v>45231</v>
      </c>
      <c r="E1045" s="1" t="n">
        <v>46318</v>
      </c>
      <c r="F1045" t="inlineStr">
        <is>
          <t>JÄMTLANDS LÄN</t>
        </is>
      </c>
      <c r="G1045" t="inlineStr">
        <is>
          <t>STRÖMSUND</t>
        </is>
      </c>
      <c r="H1045" t="inlineStr">
        <is>
          <t>SCA</t>
        </is>
      </c>
      <c r="I1045" t="n">
        <v>10.6</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49195-2025</t>
        </is>
      </c>
      <c r="B1046" t="inlineStr">
        <is>
          <t>avverkningsanmälan</t>
        </is>
      </c>
      <c r="C1046" t="inlineStr">
        <is>
          <t>Föryngringsavverkning</t>
        </is>
      </c>
      <c r="D1046" s="1" t="n">
        <v>45938</v>
      </c>
      <c r="E1046" s="1" t="n">
        <v>46318</v>
      </c>
      <c r="F1046" t="inlineStr">
        <is>
          <t>JÄMTLANDS LÄN</t>
        </is>
      </c>
      <c r="G1046" t="inlineStr">
        <is>
          <t>STRÖMSUND</t>
        </is>
      </c>
      <c r="H1046" t="inlineStr">
        <is>
          <t>SCA</t>
        </is>
      </c>
      <c r="I1046" t="n">
        <v>3.6</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49252-2025</t>
        </is>
      </c>
      <c r="B1047" t="inlineStr">
        <is>
          <t>avverkningsanmälan</t>
        </is>
      </c>
      <c r="C1047" t="inlineStr">
        <is>
          <t>Föryngringsavverkning</t>
        </is>
      </c>
      <c r="D1047" s="1" t="n">
        <v>45938</v>
      </c>
      <c r="E1047" s="1" t="n">
        <v>46318</v>
      </c>
      <c r="F1047" t="inlineStr">
        <is>
          <t>JÄMTLANDS LÄN</t>
        </is>
      </c>
      <c r="G1047" t="inlineStr">
        <is>
          <t>STRÖMSUND</t>
        </is>
      </c>
      <c r="H1047" t="inlineStr">
        <is>
          <t>SCA</t>
        </is>
      </c>
      <c r="I1047" t="n">
        <v>3</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51450-2022</t>
        </is>
      </c>
      <c r="B1048" t="inlineStr">
        <is>
          <t>avverkningsanmälan</t>
        </is>
      </c>
      <c r="C1048" t="inlineStr">
        <is>
          <t>Föryngringsavverkning</t>
        </is>
      </c>
      <c r="D1048" s="1" t="n">
        <v>44869</v>
      </c>
      <c r="E1048" s="1" t="n">
        <v>46318</v>
      </c>
      <c r="F1048" t="inlineStr">
        <is>
          <t>JÄMTLANDS LÄN</t>
        </is>
      </c>
      <c r="G1048" t="inlineStr">
        <is>
          <t>STRÖMSUND</t>
        </is>
      </c>
      <c r="H1048" t="inlineStr">
        <is>
          <t>Holmen skog AB</t>
        </is>
      </c>
      <c r="I1048" t="n">
        <v>2.8</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51786-2023</t>
        </is>
      </c>
      <c r="B1049" t="inlineStr">
        <is>
          <t>avverkningsanmälan</t>
        </is>
      </c>
      <c r="C1049" t="inlineStr">
        <is>
          <t>Föryngringsavverkning</t>
        </is>
      </c>
      <c r="D1049" s="1" t="n">
        <v>45222</v>
      </c>
      <c r="E1049" s="1" t="n">
        <v>46318</v>
      </c>
      <c r="F1049" t="inlineStr">
        <is>
          <t>JÄMTLANDS LÄN</t>
        </is>
      </c>
      <c r="G1049" t="inlineStr">
        <is>
          <t>STRÖMSUND</t>
        </is>
      </c>
      <c r="H1049" t="inlineStr">
        <is>
          <t>Holmen skog AB</t>
        </is>
      </c>
      <c r="I1049" t="n">
        <v>2.5</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49792-2025</t>
        </is>
      </c>
      <c r="B1050" t="inlineStr">
        <is>
          <t>avverkningsanmälan</t>
        </is>
      </c>
      <c r="C1050" t="inlineStr">
        <is>
          <t>Föryngringsavverkning</t>
        </is>
      </c>
      <c r="D1050" s="1" t="n">
        <v>45940</v>
      </c>
      <c r="E1050" s="1" t="n">
        <v>46318</v>
      </c>
      <c r="F1050" t="inlineStr">
        <is>
          <t>JÄMTLANDS LÄN</t>
        </is>
      </c>
      <c r="G1050" t="inlineStr">
        <is>
          <t>STRÖMSUND</t>
        </is>
      </c>
      <c r="H1050" t="inlineStr">
        <is>
          <t>SCA</t>
        </is>
      </c>
      <c r="I1050" t="n">
        <v>1.5</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50121-2025</t>
        </is>
      </c>
      <c r="B1051" t="inlineStr">
        <is>
          <t>avverkningsanmälan</t>
        </is>
      </c>
      <c r="C1051" t="inlineStr">
        <is>
          <t>Föryngringsavverkning</t>
        </is>
      </c>
      <c r="D1051" s="1" t="n">
        <v>45943</v>
      </c>
      <c r="E1051" s="1" t="n">
        <v>46318</v>
      </c>
      <c r="F1051" t="inlineStr">
        <is>
          <t>JÄMTLANDS LÄN</t>
        </is>
      </c>
      <c r="G1051" t="inlineStr">
        <is>
          <t>STRÖMSUND</t>
        </is>
      </c>
      <c r="H1051" t="inlineStr">
        <is>
          <t>Holmen skog AB</t>
        </is>
      </c>
      <c r="I1051" t="n">
        <v>7.7</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48543-2022</t>
        </is>
      </c>
      <c r="B1052" t="inlineStr">
        <is>
          <t>avverkningsanmälan</t>
        </is>
      </c>
      <c r="C1052" t="inlineStr">
        <is>
          <t>Föryngringsavverkning</t>
        </is>
      </c>
      <c r="D1052" s="1" t="n">
        <v>44858</v>
      </c>
      <c r="E1052" s="1" t="n">
        <v>46318</v>
      </c>
      <c r="F1052" t="inlineStr">
        <is>
          <t>JÄMTLANDS LÄN</t>
        </is>
      </c>
      <c r="G1052" t="inlineStr">
        <is>
          <t>STRÖMSUND</t>
        </is>
      </c>
      <c r="H1052" t="inlineStr">
        <is>
          <t>SCA</t>
        </is>
      </c>
      <c r="I1052" t="n">
        <v>4.9</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50088-2025</t>
        </is>
      </c>
      <c r="B1053" t="inlineStr">
        <is>
          <t>avverkningsanmälan</t>
        </is>
      </c>
      <c r="C1053" t="inlineStr">
        <is>
          <t>Föryngringsavverkning</t>
        </is>
      </c>
      <c r="D1053" s="1" t="n">
        <v>45943</v>
      </c>
      <c r="E1053" s="1" t="n">
        <v>46318</v>
      </c>
      <c r="F1053" t="inlineStr">
        <is>
          <t>JÄMTLANDS LÄN</t>
        </is>
      </c>
      <c r="G1053" t="inlineStr">
        <is>
          <t>STRÖMSUND</t>
        </is>
      </c>
      <c r="H1053" t="inlineStr">
        <is>
          <t>Holmen skog AB</t>
        </is>
      </c>
      <c r="I1053" t="n">
        <v>6.9</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49796-2025</t>
        </is>
      </c>
      <c r="B1054" t="inlineStr">
        <is>
          <t>avverkningsanmälan</t>
        </is>
      </c>
      <c r="C1054" t="inlineStr">
        <is>
          <t>Föryngringsavverkning</t>
        </is>
      </c>
      <c r="D1054" s="1" t="n">
        <v>45940</v>
      </c>
      <c r="E1054" s="1" t="n">
        <v>46318</v>
      </c>
      <c r="F1054" t="inlineStr">
        <is>
          <t>JÄMTLANDS LÄN</t>
        </is>
      </c>
      <c r="G1054" t="inlineStr">
        <is>
          <t>STRÖMSUND</t>
        </is>
      </c>
      <c r="I1054" t="n">
        <v>1</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49798-2025</t>
        </is>
      </c>
      <c r="B1055" t="inlineStr">
        <is>
          <t>avverkningsanmälan</t>
        </is>
      </c>
      <c r="C1055" t="inlineStr">
        <is>
          <t>Föryngringsavverkning</t>
        </is>
      </c>
      <c r="D1055" s="1" t="n">
        <v>45940</v>
      </c>
      <c r="E1055" s="1" t="n">
        <v>46318</v>
      </c>
      <c r="F1055" t="inlineStr">
        <is>
          <t>JÄMTLANDS LÄN</t>
        </is>
      </c>
      <c r="G1055" t="inlineStr">
        <is>
          <t>STRÖMSUND</t>
        </is>
      </c>
      <c r="H1055" t="inlineStr">
        <is>
          <t>SCA</t>
        </is>
      </c>
      <c r="I1055" t="n">
        <v>2.8</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60905-2024</t>
        </is>
      </c>
      <c r="B1056" t="inlineStr">
        <is>
          <t>avverkningsanmälan</t>
        </is>
      </c>
      <c r="C1056" t="inlineStr">
        <is>
          <t>Föryngringsavverkning</t>
        </is>
      </c>
      <c r="D1056" s="1" t="n">
        <v>45644</v>
      </c>
      <c r="E1056" s="1" t="n">
        <v>46318</v>
      </c>
      <c r="F1056" t="inlineStr">
        <is>
          <t>JÄMTLANDS LÄN</t>
        </is>
      </c>
      <c r="G1056" t="inlineStr">
        <is>
          <t>STRÖMSUND</t>
        </is>
      </c>
      <c r="I1056" t="n">
        <v>8</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4045-2023</t>
        </is>
      </c>
      <c r="B1057" t="inlineStr">
        <is>
          <t>avverkningsanmälan</t>
        </is>
      </c>
      <c r="C1057" t="inlineStr">
        <is>
          <t>Föryngringsavverkning</t>
        </is>
      </c>
      <c r="D1057" s="1" t="n">
        <v>44952</v>
      </c>
      <c r="E1057" s="1" t="n">
        <v>46318</v>
      </c>
      <c r="F1057" t="inlineStr">
        <is>
          <t>JÄMTLANDS LÄN</t>
        </is>
      </c>
      <c r="G1057" t="inlineStr">
        <is>
          <t>STRÖMSUND</t>
        </is>
      </c>
      <c r="I1057" t="n">
        <v>16</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49790-2025</t>
        </is>
      </c>
      <c r="B1058" t="inlineStr">
        <is>
          <t>avverkningsanmälan</t>
        </is>
      </c>
      <c r="C1058" t="inlineStr">
        <is>
          <t>Föryngringsavverkning</t>
        </is>
      </c>
      <c r="D1058" s="1" t="n">
        <v>45940</v>
      </c>
      <c r="E1058" s="1" t="n">
        <v>46318</v>
      </c>
      <c r="F1058" t="inlineStr">
        <is>
          <t>JÄMTLANDS LÄN</t>
        </is>
      </c>
      <c r="G1058" t="inlineStr">
        <is>
          <t>STRÖMSUND</t>
        </is>
      </c>
      <c r="H1058" t="inlineStr">
        <is>
          <t>SCA</t>
        </is>
      </c>
      <c r="I1058" t="n">
        <v>6.4</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34920-2022</t>
        </is>
      </c>
      <c r="B1059" t="inlineStr">
        <is>
          <t>avverkningsanmälan</t>
        </is>
      </c>
      <c r="C1059" t="inlineStr">
        <is>
          <t>Föryngringsavverkning</t>
        </is>
      </c>
      <c r="D1059" s="1" t="n">
        <v>44796</v>
      </c>
      <c r="E1059" s="1" t="n">
        <v>46318</v>
      </c>
      <c r="F1059" t="inlineStr">
        <is>
          <t>JÄMTLANDS LÄN</t>
        </is>
      </c>
      <c r="G1059" t="inlineStr">
        <is>
          <t>STRÖMSUND</t>
        </is>
      </c>
      <c r="I1059" t="n">
        <v>1.8</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48564-2022</t>
        </is>
      </c>
      <c r="B1060" t="inlineStr">
        <is>
          <t>avverkningsanmälan</t>
        </is>
      </c>
      <c r="C1060" t="inlineStr">
        <is>
          <t>Föryngringsavverkning</t>
        </is>
      </c>
      <c r="D1060" s="1" t="n">
        <v>44854</v>
      </c>
      <c r="E1060" s="1" t="n">
        <v>46318</v>
      </c>
      <c r="F1060" t="inlineStr">
        <is>
          <t>JÄMTLANDS LÄN</t>
        </is>
      </c>
      <c r="G1060" t="inlineStr">
        <is>
          <t>STRÖMSUND</t>
        </is>
      </c>
      <c r="I1060" t="n">
        <v>10.2</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50585-2025</t>
        </is>
      </c>
      <c r="B1061" t="inlineStr">
        <is>
          <t>avverkningsanmälan</t>
        </is>
      </c>
      <c r="C1061" t="inlineStr">
        <is>
          <t>Föryngringsavverkning</t>
        </is>
      </c>
      <c r="D1061" s="1" t="n">
        <v>45945</v>
      </c>
      <c r="E1061" s="1" t="n">
        <v>46318</v>
      </c>
      <c r="F1061" t="inlineStr">
        <is>
          <t>JÄMTLANDS LÄN</t>
        </is>
      </c>
      <c r="G1061" t="inlineStr">
        <is>
          <t>STRÖMSUND</t>
        </is>
      </c>
      <c r="H1061" t="inlineStr">
        <is>
          <t>SCA</t>
        </is>
      </c>
      <c r="I1061" t="n">
        <v>31.8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50276-2025</t>
        </is>
      </c>
      <c r="B1062" t="inlineStr">
        <is>
          <t>avverkningsanmälan</t>
        </is>
      </c>
      <c r="C1062" t="inlineStr">
        <is>
          <t>Föryngringsavverkning</t>
        </is>
      </c>
      <c r="D1062" s="1" t="n">
        <v>45944</v>
      </c>
      <c r="E1062" s="1" t="n">
        <v>46318</v>
      </c>
      <c r="F1062" t="inlineStr">
        <is>
          <t>JÄMTLANDS LÄN</t>
        </is>
      </c>
      <c r="G1062" t="inlineStr">
        <is>
          <t>STRÖMSUND</t>
        </is>
      </c>
      <c r="I1062" t="n">
        <v>1.2</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24965-2022</t>
        </is>
      </c>
      <c r="B1063" t="inlineStr">
        <is>
          <t>avverkningsanmälan</t>
        </is>
      </c>
      <c r="C1063" t="inlineStr">
        <is>
          <t>Föryngringsavverkning</t>
        </is>
      </c>
      <c r="D1063" s="1" t="n">
        <v>44728</v>
      </c>
      <c r="E1063" s="1" t="n">
        <v>46318</v>
      </c>
      <c r="F1063" t="inlineStr">
        <is>
          <t>JÄMTLANDS LÄN</t>
        </is>
      </c>
      <c r="G1063" t="inlineStr">
        <is>
          <t>STRÖMSUND</t>
        </is>
      </c>
      <c r="I1063" t="n">
        <v>20.5</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50287-2025</t>
        </is>
      </c>
      <c r="B1064" t="inlineStr">
        <is>
          <t>avverkningsanmälan</t>
        </is>
      </c>
      <c r="C1064" t="inlineStr">
        <is>
          <t>Föryngringsavverkning</t>
        </is>
      </c>
      <c r="D1064" s="1" t="n">
        <v>45944</v>
      </c>
      <c r="E1064" s="1" t="n">
        <v>46318</v>
      </c>
      <c r="F1064" t="inlineStr">
        <is>
          <t>JÄMTLANDS LÄN</t>
        </is>
      </c>
      <c r="G1064" t="inlineStr">
        <is>
          <t>STRÖMSUND</t>
        </is>
      </c>
      <c r="I1064" t="n">
        <v>2.6</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50598-2025</t>
        </is>
      </c>
      <c r="B1065" t="inlineStr">
        <is>
          <t>avverkningsanmälan</t>
        </is>
      </c>
      <c r="C1065" t="inlineStr">
        <is>
          <t>Föryngringsavverkning</t>
        </is>
      </c>
      <c r="D1065" s="1" t="n">
        <v>45944</v>
      </c>
      <c r="E1065" s="1" t="n">
        <v>46318</v>
      </c>
      <c r="F1065" t="inlineStr">
        <is>
          <t>JÄMTLANDS LÄN</t>
        </is>
      </c>
      <c r="G1065" t="inlineStr">
        <is>
          <t>STRÖMSUND</t>
        </is>
      </c>
      <c r="I1065" t="n">
        <v>9.699999999999999</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10144-2022</t>
        </is>
      </c>
      <c r="B1066" t="inlineStr">
        <is>
          <t>avverkningsanmälan</t>
        </is>
      </c>
      <c r="C1066" t="inlineStr">
        <is>
          <t>Föryngringsavverkning</t>
        </is>
      </c>
      <c r="D1066" s="1" t="n">
        <v>44621</v>
      </c>
      <c r="E1066" s="1" t="n">
        <v>46318</v>
      </c>
      <c r="F1066" t="inlineStr">
        <is>
          <t>JÄMTLANDS LÄN</t>
        </is>
      </c>
      <c r="G1066" t="inlineStr">
        <is>
          <t>STRÖMSUND</t>
        </is>
      </c>
      <c r="H1066" t="inlineStr">
        <is>
          <t>SCA</t>
        </is>
      </c>
      <c r="I1066" t="n">
        <v>7.3</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50280-2025</t>
        </is>
      </c>
      <c r="B1067" t="inlineStr">
        <is>
          <t>avverkningsanmälan</t>
        </is>
      </c>
      <c r="C1067" t="inlineStr">
        <is>
          <t>Föryngringsavverkning</t>
        </is>
      </c>
      <c r="D1067" s="1" t="n">
        <v>45944</v>
      </c>
      <c r="E1067" s="1" t="n">
        <v>46318</v>
      </c>
      <c r="F1067" t="inlineStr">
        <is>
          <t>JÄMTLANDS LÄN</t>
        </is>
      </c>
      <c r="G1067" t="inlineStr">
        <is>
          <t>STRÖMSUND</t>
        </is>
      </c>
      <c r="I1067" t="n">
        <v>3</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21146-2023</t>
        </is>
      </c>
      <c r="B1068" t="inlineStr">
        <is>
          <t>avverkningsanmälan</t>
        </is>
      </c>
      <c r="C1068" t="inlineStr">
        <is>
          <t>Föryngringsavverkning</t>
        </is>
      </c>
      <c r="D1068" s="1" t="n">
        <v>45057</v>
      </c>
      <c r="E1068" s="1" t="n">
        <v>46318</v>
      </c>
      <c r="F1068" t="inlineStr">
        <is>
          <t>JÄMTLANDS LÄN</t>
        </is>
      </c>
      <c r="G1068" t="inlineStr">
        <is>
          <t>STRÖMSUND</t>
        </is>
      </c>
      <c r="I1068" t="n">
        <v>2.6</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58025-2022</t>
        </is>
      </c>
      <c r="B1069" t="inlineStr">
        <is>
          <t>avverkningsanmälan</t>
        </is>
      </c>
      <c r="C1069" t="inlineStr">
        <is>
          <t>Föryngringsavverkning</t>
        </is>
      </c>
      <c r="D1069" s="1" t="n">
        <v>44893</v>
      </c>
      <c r="E1069" s="1" t="n">
        <v>46318</v>
      </c>
      <c r="F1069" t="inlineStr">
        <is>
          <t>JÄMTLANDS LÄN</t>
        </is>
      </c>
      <c r="G1069" t="inlineStr">
        <is>
          <t>STRÖMSUND</t>
        </is>
      </c>
      <c r="I1069" t="n">
        <v>8.5</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35423-2024</t>
        </is>
      </c>
      <c r="B1070" t="inlineStr">
        <is>
          <t>avverkningsanmälan</t>
        </is>
      </c>
      <c r="C1070" t="inlineStr">
        <is>
          <t>Avverkning för annat ändamål</t>
        </is>
      </c>
      <c r="D1070" s="1" t="n">
        <v>45531</v>
      </c>
      <c r="E1070" s="1" t="n">
        <v>46318</v>
      </c>
      <c r="F1070" t="inlineStr">
        <is>
          <t>JÄMTLANDS LÄN</t>
        </is>
      </c>
      <c r="G1070" t="inlineStr">
        <is>
          <t>STRÖMSUND</t>
        </is>
      </c>
      <c r="H1070" t="inlineStr">
        <is>
          <t>SCA</t>
        </is>
      </c>
      <c r="I1070" t="n">
        <v>1.7</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50887-2025</t>
        </is>
      </c>
      <c r="B1071" t="inlineStr">
        <is>
          <t>avverkningsanmälan</t>
        </is>
      </c>
      <c r="C1071" t="inlineStr">
        <is>
          <t>Föryngringsavverkning</t>
        </is>
      </c>
      <c r="D1071" s="1" t="n">
        <v>45946</v>
      </c>
      <c r="E1071" s="1" t="n">
        <v>46318</v>
      </c>
      <c r="F1071" t="inlineStr">
        <is>
          <t>JÄMTLANDS LÄN</t>
        </is>
      </c>
      <c r="G1071" t="inlineStr">
        <is>
          <t>STRÖMSUND</t>
        </is>
      </c>
      <c r="H1071" t="inlineStr">
        <is>
          <t>SCA</t>
        </is>
      </c>
      <c r="I1071" t="n">
        <v>2.2</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35244-2024</t>
        </is>
      </c>
      <c r="B1072" t="inlineStr">
        <is>
          <t>avverkningsanmälan</t>
        </is>
      </c>
      <c r="C1072" t="inlineStr">
        <is>
          <t>Föryngringsavverkning</t>
        </is>
      </c>
      <c r="D1072" s="1" t="n">
        <v>45530</v>
      </c>
      <c r="E1072" s="1" t="n">
        <v>46318</v>
      </c>
      <c r="F1072" t="inlineStr">
        <is>
          <t>JÄMTLANDS LÄN</t>
        </is>
      </c>
      <c r="G1072" t="inlineStr">
        <is>
          <t>STRÖMSUND</t>
        </is>
      </c>
      <c r="I1072" t="n">
        <v>1.4</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21192-2022</t>
        </is>
      </c>
      <c r="B1073" t="inlineStr">
        <is>
          <t>avverkningsanmälan</t>
        </is>
      </c>
      <c r="C1073" t="inlineStr">
        <is>
          <t>Föryngringsavverkning</t>
        </is>
      </c>
      <c r="D1073" s="1" t="n">
        <v>44704</v>
      </c>
      <c r="E1073" s="1" t="n">
        <v>46318</v>
      </c>
      <c r="F1073" t="inlineStr">
        <is>
          <t>JÄMTLANDS LÄN</t>
        </is>
      </c>
      <c r="G1073" t="inlineStr">
        <is>
          <t>STRÖMSUND</t>
        </is>
      </c>
      <c r="H1073" t="inlineStr">
        <is>
          <t>SCA</t>
        </is>
      </c>
      <c r="I1073" t="n">
        <v>1.7</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32107-2024</t>
        </is>
      </c>
      <c r="B1074" t="inlineStr">
        <is>
          <t>avverkningsanmälan</t>
        </is>
      </c>
      <c r="C1074" t="inlineStr">
        <is>
          <t>Föryngringsavverkning</t>
        </is>
      </c>
      <c r="D1074" s="1" t="n">
        <v>45511</v>
      </c>
      <c r="E1074" s="1" t="n">
        <v>46318</v>
      </c>
      <c r="F1074" t="inlineStr">
        <is>
          <t>JÄMTLANDS LÄN</t>
        </is>
      </c>
      <c r="G1074" t="inlineStr">
        <is>
          <t>STRÖMSUND</t>
        </is>
      </c>
      <c r="I1074" t="n">
        <v>3.3</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9318-2025</t>
        </is>
      </c>
      <c r="B1075" t="inlineStr">
        <is>
          <t>avverkningsanmälan</t>
        </is>
      </c>
      <c r="C1075" t="inlineStr">
        <is>
          <t>Föryngringsavverkning</t>
        </is>
      </c>
      <c r="D1075" s="1" t="n">
        <v>45714</v>
      </c>
      <c r="E1075" s="1" t="n">
        <v>46318</v>
      </c>
      <c r="F1075" t="inlineStr">
        <is>
          <t>JÄMTLANDS LÄN</t>
        </is>
      </c>
      <c r="G1075" t="inlineStr">
        <is>
          <t>STRÖMSUND</t>
        </is>
      </c>
      <c r="I1075" t="n">
        <v>2.9</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51338-2025</t>
        </is>
      </c>
      <c r="B1076" t="inlineStr">
        <is>
          <t>avverkningsanmälan</t>
        </is>
      </c>
      <c r="C1076" t="inlineStr">
        <is>
          <t>Föryngringsavverkning</t>
        </is>
      </c>
      <c r="D1076" s="1" t="n">
        <v>45947</v>
      </c>
      <c r="E1076" s="1" t="n">
        <v>46318</v>
      </c>
      <c r="F1076" t="inlineStr">
        <is>
          <t>JÄMTLANDS LÄN</t>
        </is>
      </c>
      <c r="G1076" t="inlineStr">
        <is>
          <t>STRÖMSUND</t>
        </is>
      </c>
      <c r="I1076" t="n">
        <v>2.5</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51035-2025</t>
        </is>
      </c>
      <c r="B1077" t="inlineStr">
        <is>
          <t>avverkningsanmälan</t>
        </is>
      </c>
      <c r="C1077" t="inlineStr">
        <is>
          <t>Föryngringsavverkning</t>
        </is>
      </c>
      <c r="D1077" s="1" t="n">
        <v>45947</v>
      </c>
      <c r="E1077" s="1" t="n">
        <v>46318</v>
      </c>
      <c r="F1077" t="inlineStr">
        <is>
          <t>JÄMTLANDS LÄN</t>
        </is>
      </c>
      <c r="G1077" t="inlineStr">
        <is>
          <t>STRÖMSUND</t>
        </is>
      </c>
      <c r="H1077" t="inlineStr">
        <is>
          <t>SCA</t>
        </is>
      </c>
      <c r="I1077" t="n">
        <v>6.9</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55156-2023</t>
        </is>
      </c>
      <c r="B1078" t="inlineStr">
        <is>
          <t>avverkningsanmälan</t>
        </is>
      </c>
      <c r="C1078" t="inlineStr">
        <is>
          <t>Föryngringsavverkning</t>
        </is>
      </c>
      <c r="D1078" s="1" t="n">
        <v>45237</v>
      </c>
      <c r="E1078" s="1" t="n">
        <v>46318</v>
      </c>
      <c r="F1078" t="inlineStr">
        <is>
          <t>JÄMTLANDS LÄN</t>
        </is>
      </c>
      <c r="G1078" t="inlineStr">
        <is>
          <t>STRÖMSUND</t>
        </is>
      </c>
      <c r="I1078" t="n">
        <v>5</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51373-2025</t>
        </is>
      </c>
      <c r="B1079" t="inlineStr">
        <is>
          <t>avverkningsanmälan</t>
        </is>
      </c>
      <c r="C1079" t="inlineStr">
        <is>
          <t>Föryngringsavverkning</t>
        </is>
      </c>
      <c r="D1079" s="1" t="n">
        <v>45950</v>
      </c>
      <c r="E1079" s="1" t="n">
        <v>46318</v>
      </c>
      <c r="F1079" t="inlineStr">
        <is>
          <t>JÄMTLANDS LÄN</t>
        </is>
      </c>
      <c r="G1079" t="inlineStr">
        <is>
          <t>STRÖMSUND</t>
        </is>
      </c>
      <c r="H1079" t="inlineStr">
        <is>
          <t>SCA</t>
        </is>
      </c>
      <c r="I1079" t="n">
        <v>5.3</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32153-2022</t>
        </is>
      </c>
      <c r="B1080" t="inlineStr">
        <is>
          <t>avverkningsanmälan</t>
        </is>
      </c>
      <c r="C1080" t="inlineStr">
        <is>
          <t>Föryngringsavverkning</t>
        </is>
      </c>
      <c r="D1080" s="1" t="n">
        <v>44781</v>
      </c>
      <c r="E1080" s="1" t="n">
        <v>46318</v>
      </c>
      <c r="F1080" t="inlineStr">
        <is>
          <t>JÄMTLANDS LÄN</t>
        </is>
      </c>
      <c r="G1080" t="inlineStr">
        <is>
          <t>STRÖMSUND</t>
        </is>
      </c>
      <c r="I1080" t="n">
        <v>27.4</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35397-2024</t>
        </is>
      </c>
      <c r="B1081" t="inlineStr">
        <is>
          <t>avverkningsanmälan</t>
        </is>
      </c>
      <c r="C1081" t="inlineStr">
        <is>
          <t>Föryngringsavverkning</t>
        </is>
      </c>
      <c r="D1081" s="1" t="n">
        <v>45531</v>
      </c>
      <c r="E1081" s="1" t="n">
        <v>46318</v>
      </c>
      <c r="F1081" t="inlineStr">
        <is>
          <t>JÄMTLANDS LÄN</t>
        </is>
      </c>
      <c r="G1081" t="inlineStr">
        <is>
          <t>STRÖMSUND</t>
        </is>
      </c>
      <c r="H1081" t="inlineStr">
        <is>
          <t>SCA</t>
        </is>
      </c>
      <c r="I1081" t="n">
        <v>3.6</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35410-2024</t>
        </is>
      </c>
      <c r="B1082" t="inlineStr">
        <is>
          <t>avverkningsanmälan</t>
        </is>
      </c>
      <c r="C1082" t="inlineStr">
        <is>
          <t>Föryngringsavverkning</t>
        </is>
      </c>
      <c r="D1082" s="1" t="n">
        <v>45531</v>
      </c>
      <c r="E1082" s="1" t="n">
        <v>46318</v>
      </c>
      <c r="F1082" t="inlineStr">
        <is>
          <t>JÄMTLANDS LÄN</t>
        </is>
      </c>
      <c r="G1082" t="inlineStr">
        <is>
          <t>STRÖMSUND</t>
        </is>
      </c>
      <c r="H1082" t="inlineStr">
        <is>
          <t>SCA</t>
        </is>
      </c>
      <c r="I1082" t="n">
        <v>1.9</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18280-2025</t>
        </is>
      </c>
      <c r="B1083" t="inlineStr">
        <is>
          <t>avverkningsanmälan</t>
        </is>
      </c>
      <c r="C1083" t="inlineStr">
        <is>
          <t>Föryngringsavverkning</t>
        </is>
      </c>
      <c r="D1083" s="1" t="n">
        <v>45762</v>
      </c>
      <c r="E1083" s="1" t="n">
        <v>46318</v>
      </c>
      <c r="F1083" t="inlineStr">
        <is>
          <t>JÄMTLANDS LÄN</t>
        </is>
      </c>
      <c r="G1083" t="inlineStr">
        <is>
          <t>STRÖMSUND</t>
        </is>
      </c>
      <c r="I1083" t="n">
        <v>1.6</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48042-2023</t>
        </is>
      </c>
      <c r="B1084" t="inlineStr">
        <is>
          <t>avverkningsanmälan</t>
        </is>
      </c>
      <c r="C1084" t="inlineStr">
        <is>
          <t>Föryngringsavverkning</t>
        </is>
      </c>
      <c r="D1084" s="1" t="n">
        <v>45204</v>
      </c>
      <c r="E1084" s="1" t="n">
        <v>46318</v>
      </c>
      <c r="F1084" t="inlineStr">
        <is>
          <t>JÄMTLANDS LÄN</t>
        </is>
      </c>
      <c r="G1084" t="inlineStr">
        <is>
          <t>STRÖMSUND</t>
        </is>
      </c>
      <c r="H1084" t="inlineStr">
        <is>
          <t>Holmen skog AB</t>
        </is>
      </c>
      <c r="I1084" t="n">
        <v>1.5</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2643-2024</t>
        </is>
      </c>
      <c r="B1085" t="inlineStr">
        <is>
          <t>avverkningsanmälan</t>
        </is>
      </c>
      <c r="C1085" t="inlineStr">
        <is>
          <t>Föryngringsavverkning</t>
        </is>
      </c>
      <c r="D1085" s="1" t="n">
        <v>45314</v>
      </c>
      <c r="E1085" s="1" t="n">
        <v>46318</v>
      </c>
      <c r="F1085" t="inlineStr">
        <is>
          <t>JÄMTLANDS LÄN</t>
        </is>
      </c>
      <c r="G1085" t="inlineStr">
        <is>
          <t>STRÖMSUND</t>
        </is>
      </c>
      <c r="I1085" t="n">
        <v>1.6</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20371-2026</t>
        </is>
      </c>
      <c r="B1086" t="inlineStr">
        <is>
          <t>avverkningsanmälan</t>
        </is>
      </c>
      <c r="C1086" t="inlineStr">
        <is>
          <t>Föryngringsavverkning</t>
        </is>
      </c>
      <c r="D1086" s="1" t="n">
        <v>46139</v>
      </c>
      <c r="E1086" s="1" t="n">
        <v>46318</v>
      </c>
      <c r="F1086" t="inlineStr">
        <is>
          <t>JÄMTLANDS LÄN</t>
        </is>
      </c>
      <c r="G1086" t="inlineStr">
        <is>
          <t>STRÖMSUND</t>
        </is>
      </c>
      <c r="H1086" t="inlineStr">
        <is>
          <t>SCA</t>
        </is>
      </c>
      <c r="I1086" t="n">
        <v>4.5</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58584-2023</t>
        </is>
      </c>
      <c r="B1087" t="inlineStr">
        <is>
          <t>avverkningsanmälan</t>
        </is>
      </c>
      <c r="C1087" t="inlineStr">
        <is>
          <t>Avverkning för annat ändamål</t>
        </is>
      </c>
      <c r="D1087" s="1" t="n">
        <v>45246</v>
      </c>
      <c r="E1087" s="1" t="n">
        <v>46318</v>
      </c>
      <c r="F1087" t="inlineStr">
        <is>
          <t>JÄMTLANDS LÄN</t>
        </is>
      </c>
      <c r="G1087" t="inlineStr">
        <is>
          <t>STRÖMSUND</t>
        </is>
      </c>
      <c r="I1087" t="n">
        <v>0.6</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30809-2024</t>
        </is>
      </c>
      <c r="B1088" t="inlineStr">
        <is>
          <t>avverkningsanmälan</t>
        </is>
      </c>
      <c r="C1088" t="inlineStr">
        <is>
          <t>Avverkning för annat ändamål</t>
        </is>
      </c>
      <c r="D1088" s="1" t="n">
        <v>45497</v>
      </c>
      <c r="E1088" s="1" t="n">
        <v>46318</v>
      </c>
      <c r="F1088" t="inlineStr">
        <is>
          <t>JÄMTLANDS LÄN</t>
        </is>
      </c>
      <c r="G1088" t="inlineStr">
        <is>
          <t>STRÖMSUND</t>
        </is>
      </c>
      <c r="I1088" t="n">
        <v>3.3</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52184-2025</t>
        </is>
      </c>
      <c r="B1089" t="inlineStr">
        <is>
          <t>avverkningsanmälan</t>
        </is>
      </c>
      <c r="C1089" t="inlineStr">
        <is>
          <t>Föryngringsavverkning</t>
        </is>
      </c>
      <c r="D1089" s="1" t="n">
        <v>45953</v>
      </c>
      <c r="E1089" s="1" t="n">
        <v>46318</v>
      </c>
      <c r="F1089" t="inlineStr">
        <is>
          <t>JÄMTLANDS LÄN</t>
        </is>
      </c>
      <c r="G1089" t="inlineStr">
        <is>
          <t>STRÖMSUND</t>
        </is>
      </c>
      <c r="H1089" t="inlineStr">
        <is>
          <t>SCA</t>
        </is>
      </c>
      <c r="I1089" t="n">
        <v>18.8</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63362-2023</t>
        </is>
      </c>
      <c r="B1090" t="inlineStr">
        <is>
          <t>avverkningsanmälan</t>
        </is>
      </c>
      <c r="C1090" t="inlineStr">
        <is>
          <t>Föryngringsavverkning</t>
        </is>
      </c>
      <c r="D1090" s="1" t="n">
        <v>45273</v>
      </c>
      <c r="E1090" s="1" t="n">
        <v>46318</v>
      </c>
      <c r="F1090" t="inlineStr">
        <is>
          <t>JÄMTLANDS LÄN</t>
        </is>
      </c>
      <c r="G1090" t="inlineStr">
        <is>
          <t>STRÖMSUND</t>
        </is>
      </c>
      <c r="I1090" t="n">
        <v>17.9</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16236-2024</t>
        </is>
      </c>
      <c r="B1091" t="inlineStr">
        <is>
          <t>avverkningsanmälan</t>
        </is>
      </c>
      <c r="C1091" t="inlineStr">
        <is>
          <t>Föryngringsavverkning</t>
        </is>
      </c>
      <c r="D1091" s="1" t="n">
        <v>45407</v>
      </c>
      <c r="E1091" s="1" t="n">
        <v>46318</v>
      </c>
      <c r="F1091" t="inlineStr">
        <is>
          <t>JÄMTLANDS LÄN</t>
        </is>
      </c>
      <c r="G1091" t="inlineStr">
        <is>
          <t>STRÖMSUND</t>
        </is>
      </c>
      <c r="H1091" t="inlineStr">
        <is>
          <t>SCA</t>
        </is>
      </c>
      <c r="I1091" t="n">
        <v>1.1</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52788-2025</t>
        </is>
      </c>
      <c r="B1092" t="inlineStr">
        <is>
          <t>avverkningsanmälan</t>
        </is>
      </c>
      <c r="C1092" t="inlineStr">
        <is>
          <t>Föryngringsavverkning</t>
        </is>
      </c>
      <c r="D1092" s="1" t="n">
        <v>45957</v>
      </c>
      <c r="E1092" s="1" t="n">
        <v>46318</v>
      </c>
      <c r="F1092" t="inlineStr">
        <is>
          <t>JÄMTLANDS LÄN</t>
        </is>
      </c>
      <c r="G1092" t="inlineStr">
        <is>
          <t>STRÖMSUND</t>
        </is>
      </c>
      <c r="H1092" t="inlineStr">
        <is>
          <t>SCA</t>
        </is>
      </c>
      <c r="I1092" t="n">
        <v>15.5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28967-2025</t>
        </is>
      </c>
      <c r="B1093" t="inlineStr">
        <is>
          <t>avverkningsanmälan</t>
        </is>
      </c>
      <c r="C1093" t="inlineStr">
        <is>
          <t>Föryngringsavverkning</t>
        </is>
      </c>
      <c r="D1093" s="1" t="n">
        <v>45821</v>
      </c>
      <c r="E1093" s="1" t="n">
        <v>46318</v>
      </c>
      <c r="F1093" t="inlineStr">
        <is>
          <t>JÄMTLANDS LÄN</t>
        </is>
      </c>
      <c r="G1093" t="inlineStr">
        <is>
          <t>STRÖMSUND</t>
        </is>
      </c>
      <c r="H1093" t="inlineStr">
        <is>
          <t>SCA</t>
        </is>
      </c>
      <c r="I1093" t="n">
        <v>24.3</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54066-2023</t>
        </is>
      </c>
      <c r="B1094" t="inlineStr">
        <is>
          <t>avverkningsanmälan</t>
        </is>
      </c>
      <c r="C1094" t="inlineStr">
        <is>
          <t>Föryngringsavverkning</t>
        </is>
      </c>
      <c r="D1094" s="1" t="n">
        <v>45231</v>
      </c>
      <c r="E1094" s="1" t="n">
        <v>46318</v>
      </c>
      <c r="F1094" t="inlineStr">
        <is>
          <t>JÄMTLANDS LÄN</t>
        </is>
      </c>
      <c r="G1094" t="inlineStr">
        <is>
          <t>STRÖMSUND</t>
        </is>
      </c>
      <c r="H1094" t="inlineStr">
        <is>
          <t>SCA</t>
        </is>
      </c>
      <c r="I1094" t="n">
        <v>1.1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33584-2024</t>
        </is>
      </c>
      <c r="B1095" t="inlineStr">
        <is>
          <t>avverkningsanmälan</t>
        </is>
      </c>
      <c r="C1095" t="inlineStr">
        <is>
          <t>Föryngringsavverkning</t>
        </is>
      </c>
      <c r="D1095" s="1" t="n">
        <v>45520</v>
      </c>
      <c r="E1095" s="1" t="n">
        <v>46318</v>
      </c>
      <c r="F1095" t="inlineStr">
        <is>
          <t>JÄMTLANDS LÄN</t>
        </is>
      </c>
      <c r="G1095" t="inlineStr">
        <is>
          <t>STRÖMSUND</t>
        </is>
      </c>
      <c r="H1095" t="inlineStr">
        <is>
          <t>SCA</t>
        </is>
      </c>
      <c r="I1095" t="n">
        <v>1.9</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4514-2024</t>
        </is>
      </c>
      <c r="B1096" t="inlineStr">
        <is>
          <t>avverkningsanmälan</t>
        </is>
      </c>
      <c r="C1096" t="inlineStr">
        <is>
          <t>Föryngringsavverkning</t>
        </is>
      </c>
      <c r="D1096" s="1" t="n">
        <v>45327</v>
      </c>
      <c r="E1096" s="1" t="n">
        <v>46318</v>
      </c>
      <c r="F1096" t="inlineStr">
        <is>
          <t>JÄMTLANDS LÄN</t>
        </is>
      </c>
      <c r="G1096" t="inlineStr">
        <is>
          <t>STRÖMSUND</t>
        </is>
      </c>
      <c r="H1096" t="inlineStr">
        <is>
          <t>Kyrkan</t>
        </is>
      </c>
      <c r="I1096" t="n">
        <v>3.5</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64599-2023</t>
        </is>
      </c>
      <c r="B1097" t="inlineStr">
        <is>
          <t>avverkningsanmälan</t>
        </is>
      </c>
      <c r="C1097" t="inlineStr">
        <is>
          <t>Föryngringsavverkning</t>
        </is>
      </c>
      <c r="D1097" s="1" t="n">
        <v>45281</v>
      </c>
      <c r="E1097" s="1" t="n">
        <v>46318</v>
      </c>
      <c r="F1097" t="inlineStr">
        <is>
          <t>JÄMTLANDS LÄN</t>
        </is>
      </c>
      <c r="G1097" t="inlineStr">
        <is>
          <t>STRÖMSUND</t>
        </is>
      </c>
      <c r="I1097" t="n">
        <v>7.1</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52749-2025</t>
        </is>
      </c>
      <c r="B1098" t="inlineStr">
        <is>
          <t>avverkningsanmälan</t>
        </is>
      </c>
      <c r="C1098" t="inlineStr">
        <is>
          <t>Föryngringsavverkning</t>
        </is>
      </c>
      <c r="D1098" s="1" t="n">
        <v>45957</v>
      </c>
      <c r="E1098" s="1" t="n">
        <v>46318</v>
      </c>
      <c r="F1098" t="inlineStr">
        <is>
          <t>JÄMTLANDS LÄN</t>
        </is>
      </c>
      <c r="G1098" t="inlineStr">
        <is>
          <t>STRÖMSUND</t>
        </is>
      </c>
      <c r="H1098" t="inlineStr">
        <is>
          <t>Övriga statliga verk och myndigheter</t>
        </is>
      </c>
      <c r="I1098" t="n">
        <v>3.8</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56490-2023</t>
        </is>
      </c>
      <c r="B1099" t="inlineStr">
        <is>
          <t>avverkningsanmälan</t>
        </is>
      </c>
      <c r="C1099" t="inlineStr">
        <is>
          <t>Föryngringsavverkning</t>
        </is>
      </c>
      <c r="D1099" s="1" t="n">
        <v>45237</v>
      </c>
      <c r="E1099" s="1" t="n">
        <v>46318</v>
      </c>
      <c r="F1099" t="inlineStr">
        <is>
          <t>JÄMTLANDS LÄN</t>
        </is>
      </c>
      <c r="G1099" t="inlineStr">
        <is>
          <t>STRÖMSUND</t>
        </is>
      </c>
      <c r="I1099" t="n">
        <v>0.2</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8720-2025</t>
        </is>
      </c>
      <c r="B1100" t="inlineStr">
        <is>
          <t>avverkningsanmälan</t>
        </is>
      </c>
      <c r="C1100" t="inlineStr">
        <is>
          <t>Föryngringsavverkning</t>
        </is>
      </c>
      <c r="D1100" s="1" t="n">
        <v>45712</v>
      </c>
      <c r="E1100" s="1" t="n">
        <v>46318</v>
      </c>
      <c r="F1100" t="inlineStr">
        <is>
          <t>JÄMTLANDS LÄN</t>
        </is>
      </c>
      <c r="G1100" t="inlineStr">
        <is>
          <t>STRÖMSUND</t>
        </is>
      </c>
      <c r="I1100" t="n">
        <v>6.2</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58179-2022</t>
        </is>
      </c>
      <c r="B1101" t="inlineStr">
        <is>
          <t>avverkningsanmälan</t>
        </is>
      </c>
      <c r="C1101" t="inlineStr">
        <is>
          <t>Föryngringsavverkning</t>
        </is>
      </c>
      <c r="D1101" s="1" t="n">
        <v>44900</v>
      </c>
      <c r="E1101" s="1" t="n">
        <v>46318</v>
      </c>
      <c r="F1101" t="inlineStr">
        <is>
          <t>JÄMTLANDS LÄN</t>
        </is>
      </c>
      <c r="G1101" t="inlineStr">
        <is>
          <t>STRÖMSUND</t>
        </is>
      </c>
      <c r="H1101" t="inlineStr">
        <is>
          <t>SCA</t>
        </is>
      </c>
      <c r="I1101" t="n">
        <v>4.3</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53406-2025</t>
        </is>
      </c>
      <c r="B1102" t="inlineStr">
        <is>
          <t>avverkningsanmälan</t>
        </is>
      </c>
      <c r="C1102" t="inlineStr">
        <is>
          <t>Föryngringsavverkning</t>
        </is>
      </c>
      <c r="D1102" s="1" t="n">
        <v>45959</v>
      </c>
      <c r="E1102" s="1" t="n">
        <v>46318</v>
      </c>
      <c r="F1102" t="inlineStr">
        <is>
          <t>JÄMTLANDS LÄN</t>
        </is>
      </c>
      <c r="G1102" t="inlineStr">
        <is>
          <t>STRÖMSUND</t>
        </is>
      </c>
      <c r="H1102" t="inlineStr">
        <is>
          <t>SCA</t>
        </is>
      </c>
      <c r="I1102" t="n">
        <v>3.4</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63422-2025</t>
        </is>
      </c>
      <c r="B1103" t="inlineStr">
        <is>
          <t>avverkningsanmälan</t>
        </is>
      </c>
      <c r="C1103" t="inlineStr">
        <is>
          <t>Föryngringsavverkning</t>
        </is>
      </c>
      <c r="D1103" s="1" t="n">
        <v>46013</v>
      </c>
      <c r="E1103" s="1" t="n">
        <v>46318</v>
      </c>
      <c r="F1103" t="inlineStr">
        <is>
          <t>JÄMTLANDS LÄN</t>
        </is>
      </c>
      <c r="G1103" t="inlineStr">
        <is>
          <t>STRÖMSUND</t>
        </is>
      </c>
      <c r="I1103" t="n">
        <v>2</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63421-2025</t>
        </is>
      </c>
      <c r="B1104" t="inlineStr">
        <is>
          <t>avverkningsanmälan</t>
        </is>
      </c>
      <c r="C1104" t="inlineStr">
        <is>
          <t>Föryngringsavverkning</t>
        </is>
      </c>
      <c r="D1104" s="1" t="n">
        <v>46013</v>
      </c>
      <c r="E1104" s="1" t="n">
        <v>46318</v>
      </c>
      <c r="F1104" t="inlineStr">
        <is>
          <t>JÄMTLANDS LÄN</t>
        </is>
      </c>
      <c r="G1104" t="inlineStr">
        <is>
          <t>STRÖMSUND</t>
        </is>
      </c>
      <c r="I1104" t="n">
        <v>3.5</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57894-2023</t>
        </is>
      </c>
      <c r="B1105" t="inlineStr">
        <is>
          <t>avverkningsanmälan</t>
        </is>
      </c>
      <c r="C1105" t="inlineStr">
        <is>
          <t>Föryngringsavverkning</t>
        </is>
      </c>
      <c r="D1105" s="1" t="n">
        <v>45247</v>
      </c>
      <c r="E1105" s="1" t="n">
        <v>46318</v>
      </c>
      <c r="F1105" t="inlineStr">
        <is>
          <t>JÄMTLANDS LÄN</t>
        </is>
      </c>
      <c r="G1105" t="inlineStr">
        <is>
          <t>STRÖMSUND</t>
        </is>
      </c>
      <c r="H1105" t="inlineStr">
        <is>
          <t>Kyrkan</t>
        </is>
      </c>
      <c r="I1105" t="n">
        <v>2.1</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48420-2023</t>
        </is>
      </c>
      <c r="B1106" t="inlineStr">
        <is>
          <t>avverkningsanmälan</t>
        </is>
      </c>
      <c r="C1106" t="inlineStr">
        <is>
          <t>Föryngringsavverkning</t>
        </is>
      </c>
      <c r="D1106" s="1" t="n">
        <v>45205</v>
      </c>
      <c r="E1106" s="1" t="n">
        <v>46318</v>
      </c>
      <c r="F1106" t="inlineStr">
        <is>
          <t>JÄMTLANDS LÄN</t>
        </is>
      </c>
      <c r="G1106" t="inlineStr">
        <is>
          <t>STRÖMSUND</t>
        </is>
      </c>
      <c r="I1106" t="n">
        <v>2</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53946-2025</t>
        </is>
      </c>
      <c r="B1107" t="inlineStr">
        <is>
          <t>avverkningsanmälan</t>
        </is>
      </c>
      <c r="C1107" t="inlineStr">
        <is>
          <t>Föryngringsavverkning</t>
        </is>
      </c>
      <c r="D1107" s="1" t="n">
        <v>45961</v>
      </c>
      <c r="E1107" s="1" t="n">
        <v>46318</v>
      </c>
      <c r="F1107" t="inlineStr">
        <is>
          <t>JÄMTLANDS LÄN</t>
        </is>
      </c>
      <c r="G1107" t="inlineStr">
        <is>
          <t>STRÖMSUND</t>
        </is>
      </c>
      <c r="I1107" t="n">
        <v>6</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55459-2022</t>
        </is>
      </c>
      <c r="B1108" t="inlineStr">
        <is>
          <t>avverkningsanmälan</t>
        </is>
      </c>
      <c r="C1108" t="inlineStr">
        <is>
          <t>Föryngringsavverkning</t>
        </is>
      </c>
      <c r="D1108" s="1" t="n">
        <v>44882</v>
      </c>
      <c r="E1108" s="1" t="n">
        <v>46318</v>
      </c>
      <c r="F1108" t="inlineStr">
        <is>
          <t>JÄMTLANDS LÄN</t>
        </is>
      </c>
      <c r="G1108" t="inlineStr">
        <is>
          <t>STRÖMSUND</t>
        </is>
      </c>
      <c r="I1108" t="n">
        <v>3.1</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57431-2023</t>
        </is>
      </c>
      <c r="B1109" t="inlineStr">
        <is>
          <t>avverkningsanmälan</t>
        </is>
      </c>
      <c r="C1109" t="inlineStr">
        <is>
          <t>Föryngringsavverkning</t>
        </is>
      </c>
      <c r="D1109" s="1" t="n">
        <v>45240</v>
      </c>
      <c r="E1109" s="1" t="n">
        <v>46318</v>
      </c>
      <c r="F1109" t="inlineStr">
        <is>
          <t>JÄMTLANDS LÄN</t>
        </is>
      </c>
      <c r="G1109" t="inlineStr">
        <is>
          <t>STRÖMSUND</t>
        </is>
      </c>
      <c r="I1109" t="n">
        <v>1.5</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22479-2025</t>
        </is>
      </c>
      <c r="B1110" t="inlineStr">
        <is>
          <t>avverkningsanmälan</t>
        </is>
      </c>
      <c r="C1110" t="inlineStr">
        <is>
          <t>Föryngringsavverkning</t>
        </is>
      </c>
      <c r="D1110" s="1" t="n">
        <v>45786</v>
      </c>
      <c r="E1110" s="1" t="n">
        <v>46318</v>
      </c>
      <c r="F1110" t="inlineStr">
        <is>
          <t>JÄMTLANDS LÄN</t>
        </is>
      </c>
      <c r="G1110" t="inlineStr">
        <is>
          <t>STRÖMSUND</t>
        </is>
      </c>
      <c r="H1110" t="inlineStr">
        <is>
          <t>SCA</t>
        </is>
      </c>
      <c r="I1110" t="n">
        <v>10.8</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20144-2026</t>
        </is>
      </c>
      <c r="B1111" t="inlineStr">
        <is>
          <t>avverkningsanmälan</t>
        </is>
      </c>
      <c r="C1111" t="inlineStr">
        <is>
          <t>Avverkning för annat ändamål</t>
        </is>
      </c>
      <c r="D1111" s="1" t="n">
        <v>46137</v>
      </c>
      <c r="E1111" s="1" t="n">
        <v>46318</v>
      </c>
      <c r="F1111" t="inlineStr">
        <is>
          <t>JÄMTLANDS LÄN</t>
        </is>
      </c>
      <c r="G1111" t="inlineStr">
        <is>
          <t>STRÖMSUND</t>
        </is>
      </c>
      <c r="H1111" t="inlineStr">
        <is>
          <t>Kommuner</t>
        </is>
      </c>
      <c r="I1111" t="n">
        <v>0.7</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34010-2023</t>
        </is>
      </c>
      <c r="B1112" t="inlineStr">
        <is>
          <t>avverkningsanmälan</t>
        </is>
      </c>
      <c r="C1112" t="inlineStr">
        <is>
          <t>Föryngringsavverkning</t>
        </is>
      </c>
      <c r="D1112" s="1" t="n">
        <v>45134</v>
      </c>
      <c r="E1112" s="1" t="n">
        <v>46318</v>
      </c>
      <c r="F1112" t="inlineStr">
        <is>
          <t>JÄMTLANDS LÄN</t>
        </is>
      </c>
      <c r="G1112" t="inlineStr">
        <is>
          <t>STRÖMSUND</t>
        </is>
      </c>
      <c r="H1112" t="inlineStr">
        <is>
          <t>SCA</t>
        </is>
      </c>
      <c r="I1112" t="n">
        <v>5</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53671-2025</t>
        </is>
      </c>
      <c r="B1113" t="inlineStr">
        <is>
          <t>avverkningsanmälan</t>
        </is>
      </c>
      <c r="C1113" t="inlineStr">
        <is>
          <t>Föryngringsavverkning</t>
        </is>
      </c>
      <c r="D1113" s="1" t="n">
        <v>45960</v>
      </c>
      <c r="E1113" s="1" t="n">
        <v>46318</v>
      </c>
      <c r="F1113" t="inlineStr">
        <is>
          <t>JÄMTLANDS LÄN</t>
        </is>
      </c>
      <c r="G1113" t="inlineStr">
        <is>
          <t>STRÖMSUND</t>
        </is>
      </c>
      <c r="H1113" t="inlineStr">
        <is>
          <t>SCA</t>
        </is>
      </c>
      <c r="I1113" t="n">
        <v>1.4</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53754-2025</t>
        </is>
      </c>
      <c r="B1114" t="inlineStr">
        <is>
          <t>avverkningsanmälan</t>
        </is>
      </c>
      <c r="C1114" t="inlineStr">
        <is>
          <t>Avverkning för annat ändamål</t>
        </is>
      </c>
      <c r="D1114" s="1" t="n">
        <v>45960</v>
      </c>
      <c r="E1114" s="1" t="n">
        <v>46318</v>
      </c>
      <c r="F1114" t="inlineStr">
        <is>
          <t>JÄMTLANDS LÄN</t>
        </is>
      </c>
      <c r="G1114" t="inlineStr">
        <is>
          <t>STRÖMSUND</t>
        </is>
      </c>
      <c r="I1114" t="n">
        <v>1.4</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59568-2024</t>
        </is>
      </c>
      <c r="B1115" t="inlineStr">
        <is>
          <t>avverkningsanmälan</t>
        </is>
      </c>
      <c r="C1115" t="inlineStr">
        <is>
          <t>Föryngringsavverkning</t>
        </is>
      </c>
      <c r="D1115" s="1" t="n">
        <v>45638</v>
      </c>
      <c r="E1115" s="1" t="n">
        <v>46318</v>
      </c>
      <c r="F1115" t="inlineStr">
        <is>
          <t>JÄMTLANDS LÄN</t>
        </is>
      </c>
      <c r="G1115" t="inlineStr">
        <is>
          <t>STRÖMSUND</t>
        </is>
      </c>
      <c r="I1115" t="n">
        <v>2.1</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61500-2023</t>
        </is>
      </c>
      <c r="B1116" t="inlineStr">
        <is>
          <t>avverkningsanmälan</t>
        </is>
      </c>
      <c r="C1116" t="inlineStr">
        <is>
          <t>Avverkning för annat ändamål</t>
        </is>
      </c>
      <c r="D1116" s="1" t="n">
        <v>45264</v>
      </c>
      <c r="E1116" s="1" t="n">
        <v>46318</v>
      </c>
      <c r="F1116" t="inlineStr">
        <is>
          <t>JÄMTLANDS LÄN</t>
        </is>
      </c>
      <c r="G1116" t="inlineStr">
        <is>
          <t>STRÖMSUND</t>
        </is>
      </c>
      <c r="H1116" t="inlineStr">
        <is>
          <t>SCA</t>
        </is>
      </c>
      <c r="I1116" t="n">
        <v>2.4</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58183-2022</t>
        </is>
      </c>
      <c r="B1117" t="inlineStr">
        <is>
          <t>avverkningsanmälan</t>
        </is>
      </c>
      <c r="C1117" t="inlineStr">
        <is>
          <t>Avverkning för att bevara och utveckla /försöksver</t>
        </is>
      </c>
      <c r="D1117" s="1" t="n">
        <v>44900</v>
      </c>
      <c r="E1117" s="1" t="n">
        <v>46318</v>
      </c>
      <c r="F1117" t="inlineStr">
        <is>
          <t>JÄMTLANDS LÄN</t>
        </is>
      </c>
      <c r="G1117" t="inlineStr">
        <is>
          <t>STRÖMSUND</t>
        </is>
      </c>
      <c r="H1117" t="inlineStr">
        <is>
          <t>SCA</t>
        </is>
      </c>
      <c r="I1117" t="n">
        <v>1.8</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53563-2025</t>
        </is>
      </c>
      <c r="B1118" t="inlineStr">
        <is>
          <t>avverkningsanmälan</t>
        </is>
      </c>
      <c r="C1118" t="inlineStr">
        <is>
          <t>Föryngringsavverkning</t>
        </is>
      </c>
      <c r="D1118" s="1" t="n">
        <v>45960</v>
      </c>
      <c r="E1118" s="1" t="n">
        <v>46318</v>
      </c>
      <c r="F1118" t="inlineStr">
        <is>
          <t>JÄMTLANDS LÄN</t>
        </is>
      </c>
      <c r="G1118" t="inlineStr">
        <is>
          <t>STRÖMSUND</t>
        </is>
      </c>
      <c r="H1118" t="inlineStr">
        <is>
          <t>SCA</t>
        </is>
      </c>
      <c r="I1118" t="n">
        <v>1.7</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52181-2022</t>
        </is>
      </c>
      <c r="B1119" t="inlineStr">
        <is>
          <t>avverkningsanmälan</t>
        </is>
      </c>
      <c r="C1119" t="inlineStr">
        <is>
          <t>Föryngringsavverkning</t>
        </is>
      </c>
      <c r="D1119" s="1" t="n">
        <v>44868</v>
      </c>
      <c r="E1119" s="1" t="n">
        <v>46318</v>
      </c>
      <c r="F1119" t="inlineStr">
        <is>
          <t>JÄMTLANDS LÄN</t>
        </is>
      </c>
      <c r="G1119" t="inlineStr">
        <is>
          <t>STRÖMSUND</t>
        </is>
      </c>
      <c r="I1119" t="n">
        <v>5.7</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53581-2025</t>
        </is>
      </c>
      <c r="B1120" t="inlineStr">
        <is>
          <t>avverkningsanmälan</t>
        </is>
      </c>
      <c r="C1120" t="inlineStr">
        <is>
          <t>Föryngringsavverkning</t>
        </is>
      </c>
      <c r="D1120" s="1" t="n">
        <v>45960</v>
      </c>
      <c r="E1120" s="1" t="n">
        <v>46318</v>
      </c>
      <c r="F1120" t="inlineStr">
        <is>
          <t>JÄMTLANDS LÄN</t>
        </is>
      </c>
      <c r="G1120" t="inlineStr">
        <is>
          <t>STRÖMSUND</t>
        </is>
      </c>
      <c r="H1120" t="inlineStr">
        <is>
          <t>SCA</t>
        </is>
      </c>
      <c r="I1120" t="n">
        <v>1.5</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52151-2024</t>
        </is>
      </c>
      <c r="B1121" t="inlineStr">
        <is>
          <t>avverkningsanmälan</t>
        </is>
      </c>
      <c r="C1121" t="inlineStr">
        <is>
          <t>Avverkning för annat ändamål</t>
        </is>
      </c>
      <c r="D1121" s="1" t="n">
        <v>45608</v>
      </c>
      <c r="E1121" s="1" t="n">
        <v>46318</v>
      </c>
      <c r="F1121" t="inlineStr">
        <is>
          <t>JÄMTLANDS LÄN</t>
        </is>
      </c>
      <c r="G1121" t="inlineStr">
        <is>
          <t>STRÖMSUND</t>
        </is>
      </c>
      <c r="H1121" t="inlineStr">
        <is>
          <t>SCA</t>
        </is>
      </c>
      <c r="I1121" t="n">
        <v>1.4</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51763-2024</t>
        </is>
      </c>
      <c r="B1122" t="inlineStr">
        <is>
          <t>avverkningsanmälan</t>
        </is>
      </c>
      <c r="C1122" t="inlineStr">
        <is>
          <t>Föryngringsavverkning</t>
        </is>
      </c>
      <c r="D1122" s="1" t="n">
        <v>45607</v>
      </c>
      <c r="E1122" s="1" t="n">
        <v>46318</v>
      </c>
      <c r="F1122" t="inlineStr">
        <is>
          <t>JÄMTLANDS LÄN</t>
        </is>
      </c>
      <c r="G1122" t="inlineStr">
        <is>
          <t>STRÖMSUND</t>
        </is>
      </c>
      <c r="H1122" t="inlineStr">
        <is>
          <t>Kommuner</t>
        </is>
      </c>
      <c r="I1122" t="n">
        <v>4.4</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57804-2023</t>
        </is>
      </c>
      <c r="B1123" t="inlineStr">
        <is>
          <t>avverkningsanmälan</t>
        </is>
      </c>
      <c r="C1123" t="inlineStr">
        <is>
          <t>Föryngringsavverkning</t>
        </is>
      </c>
      <c r="D1123" s="1" t="n">
        <v>45243</v>
      </c>
      <c r="E1123" s="1" t="n">
        <v>46318</v>
      </c>
      <c r="F1123" t="inlineStr">
        <is>
          <t>JÄMTLANDS LÄN</t>
        </is>
      </c>
      <c r="G1123" t="inlineStr">
        <is>
          <t>STRÖMSUND</t>
        </is>
      </c>
      <c r="H1123" t="inlineStr">
        <is>
          <t>SCA</t>
        </is>
      </c>
      <c r="I1123" t="n">
        <v>7.2</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63875-2021</t>
        </is>
      </c>
      <c r="B1124" t="inlineStr">
        <is>
          <t>avverkningsanmälan</t>
        </is>
      </c>
      <c r="C1124" t="inlineStr">
        <is>
          <t>Avverkning för annat ändamål</t>
        </is>
      </c>
      <c r="D1124" s="1" t="n">
        <v>44509</v>
      </c>
      <c r="E1124" s="1" t="n">
        <v>46318</v>
      </c>
      <c r="F1124" t="inlineStr">
        <is>
          <t>JÄMTLANDS LÄN</t>
        </is>
      </c>
      <c r="G1124" t="inlineStr">
        <is>
          <t>STRÖMSUND</t>
        </is>
      </c>
      <c r="I1124" t="n">
        <v>0.8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22477-2023</t>
        </is>
      </c>
      <c r="B1125" t="inlineStr">
        <is>
          <t>avverkningsanmälan</t>
        </is>
      </c>
      <c r="C1125" t="inlineStr">
        <is>
          <t>Avverkning för att bevara och utveckla /försöksver</t>
        </is>
      </c>
      <c r="D1125" s="1" t="n">
        <v>45070</v>
      </c>
      <c r="E1125" s="1" t="n">
        <v>46318</v>
      </c>
      <c r="F1125" t="inlineStr">
        <is>
          <t>JÄMTLANDS LÄN</t>
        </is>
      </c>
      <c r="G1125" t="inlineStr">
        <is>
          <t>STRÖMSUND</t>
        </is>
      </c>
      <c r="H1125" t="inlineStr">
        <is>
          <t>SCA</t>
        </is>
      </c>
      <c r="I1125" t="n">
        <v>2.6</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1429-2025</t>
        </is>
      </c>
      <c r="B1126" t="inlineStr">
        <is>
          <t>avverkningsanmälan</t>
        </is>
      </c>
      <c r="C1126" t="inlineStr">
        <is>
          <t>Föryngringsavverkning</t>
        </is>
      </c>
      <c r="D1126" s="1" t="n">
        <v>45669</v>
      </c>
      <c r="E1126" s="1" t="n">
        <v>46318</v>
      </c>
      <c r="F1126" t="inlineStr">
        <is>
          <t>JÄMTLANDS LÄN</t>
        </is>
      </c>
      <c r="G1126" t="inlineStr">
        <is>
          <t>STRÖMSUND</t>
        </is>
      </c>
      <c r="I1126" t="n">
        <v>1.1</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54228-2025</t>
        </is>
      </c>
      <c r="B1127" t="inlineStr">
        <is>
          <t>avverkningsanmälan</t>
        </is>
      </c>
      <c r="C1127" t="inlineStr">
        <is>
          <t>Föryngringsavverkning</t>
        </is>
      </c>
      <c r="D1127" s="1" t="n">
        <v>45964</v>
      </c>
      <c r="E1127" s="1" t="n">
        <v>46318</v>
      </c>
      <c r="F1127" t="inlineStr">
        <is>
          <t>JÄMTLANDS LÄN</t>
        </is>
      </c>
      <c r="G1127" t="inlineStr">
        <is>
          <t>STRÖMSUND</t>
        </is>
      </c>
      <c r="H1127" t="inlineStr">
        <is>
          <t>SCA</t>
        </is>
      </c>
      <c r="I1127" t="n">
        <v>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59714-2025</t>
        </is>
      </c>
      <c r="B1128" t="inlineStr">
        <is>
          <t>avverkningsanmälan</t>
        </is>
      </c>
      <c r="C1128" t="inlineStr">
        <is>
          <t>Föryngringsavverkning</t>
        </is>
      </c>
      <c r="D1128" s="1" t="n">
        <v>45992</v>
      </c>
      <c r="E1128" s="1" t="n">
        <v>46318</v>
      </c>
      <c r="F1128" t="inlineStr">
        <is>
          <t>JÄMTLANDS LÄN</t>
        </is>
      </c>
      <c r="G1128" t="inlineStr">
        <is>
          <t>STRÖMSUND</t>
        </is>
      </c>
      <c r="I1128" t="n">
        <v>8.699999999999999</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1548-2025</t>
        </is>
      </c>
      <c r="B1129" t="inlineStr">
        <is>
          <t>avverkningsanmälan</t>
        </is>
      </c>
      <c r="C1129" t="inlineStr">
        <is>
          <t>Föryngringsavverkning</t>
        </is>
      </c>
      <c r="D1129" s="1" t="n">
        <v>45670</v>
      </c>
      <c r="E1129" s="1" t="n">
        <v>46318</v>
      </c>
      <c r="F1129" t="inlineStr">
        <is>
          <t>JÄMTLANDS LÄN</t>
        </is>
      </c>
      <c r="G1129" t="inlineStr">
        <is>
          <t>STRÖMSUND</t>
        </is>
      </c>
      <c r="I1129" t="n">
        <v>0.8</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54361-2025</t>
        </is>
      </c>
      <c r="B1130" t="inlineStr">
        <is>
          <t>avverkningsanmälan</t>
        </is>
      </c>
      <c r="C1130" t="inlineStr">
        <is>
          <t>Föryngringsavverkning</t>
        </is>
      </c>
      <c r="D1130" s="1" t="n">
        <v>45965</v>
      </c>
      <c r="E1130" s="1" t="n">
        <v>46318</v>
      </c>
      <c r="F1130" t="inlineStr">
        <is>
          <t>JÄMTLANDS LÄN</t>
        </is>
      </c>
      <c r="G1130" t="inlineStr">
        <is>
          <t>STRÖMSUND</t>
        </is>
      </c>
      <c r="I1130" t="n">
        <v>2.7</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43558-2023</t>
        </is>
      </c>
      <c r="B1131" t="inlineStr">
        <is>
          <t>avverkningsanmälan</t>
        </is>
      </c>
      <c r="C1131" t="inlineStr">
        <is>
          <t>Föryngringsavverkning</t>
        </is>
      </c>
      <c r="D1131" s="1" t="n">
        <v>45181</v>
      </c>
      <c r="E1131" s="1" t="n">
        <v>46318</v>
      </c>
      <c r="F1131" t="inlineStr">
        <is>
          <t>JÄMTLANDS LÄN</t>
        </is>
      </c>
      <c r="G1131" t="inlineStr">
        <is>
          <t>STRÖMSUND</t>
        </is>
      </c>
      <c r="I1131" t="n">
        <v>1.5</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54551-2025</t>
        </is>
      </c>
      <c r="B1132" t="inlineStr">
        <is>
          <t>avverkningsanmälan</t>
        </is>
      </c>
      <c r="C1132" t="inlineStr">
        <is>
          <t>Föryngringsavverkning</t>
        </is>
      </c>
      <c r="D1132" s="1" t="n">
        <v>45965</v>
      </c>
      <c r="E1132" s="1" t="n">
        <v>46318</v>
      </c>
      <c r="F1132" t="inlineStr">
        <is>
          <t>JÄMTLANDS LÄN</t>
        </is>
      </c>
      <c r="G1132" t="inlineStr">
        <is>
          <t>STRÖMSUND</t>
        </is>
      </c>
      <c r="I1132" t="n">
        <v>1.2</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53834-2025</t>
        </is>
      </c>
      <c r="B1133" t="inlineStr">
        <is>
          <t>avverkningsanmälan</t>
        </is>
      </c>
      <c r="C1133" t="inlineStr">
        <is>
          <t>Föryngringsavverkning</t>
        </is>
      </c>
      <c r="D1133" s="1" t="n">
        <v>45961</v>
      </c>
      <c r="E1133" s="1" t="n">
        <v>46318</v>
      </c>
      <c r="F1133" t="inlineStr">
        <is>
          <t>JÄMTLANDS LÄN</t>
        </is>
      </c>
      <c r="G1133" t="inlineStr">
        <is>
          <t>STRÖMSUND</t>
        </is>
      </c>
      <c r="I1133" t="n">
        <v>1.6</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54554-2025</t>
        </is>
      </c>
      <c r="B1134" t="inlineStr">
        <is>
          <t>avverkningsanmälan</t>
        </is>
      </c>
      <c r="C1134" t="inlineStr">
        <is>
          <t>Avverkning för annat ändamål</t>
        </is>
      </c>
      <c r="D1134" s="1" t="n">
        <v>45965</v>
      </c>
      <c r="E1134" s="1" t="n">
        <v>46318</v>
      </c>
      <c r="F1134" t="inlineStr">
        <is>
          <t>JÄMTLANDS LÄN</t>
        </is>
      </c>
      <c r="G1134" t="inlineStr">
        <is>
          <t>STRÖMSUND</t>
        </is>
      </c>
      <c r="I1134" t="n">
        <v>1.5</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20585-2026</t>
        </is>
      </c>
      <c r="B1135" t="inlineStr">
        <is>
          <t>avverkningsanmälan</t>
        </is>
      </c>
      <c r="C1135" t="inlineStr">
        <is>
          <t>Föryngringsavverkning</t>
        </is>
      </c>
      <c r="D1135" s="1" t="n">
        <v>46140</v>
      </c>
      <c r="E1135" s="1" t="n">
        <v>46318</v>
      </c>
      <c r="F1135" t="inlineStr">
        <is>
          <t>JÄMTLANDS LÄN</t>
        </is>
      </c>
      <c r="G1135" t="inlineStr">
        <is>
          <t>STRÖMSUND</t>
        </is>
      </c>
      <c r="I1135" t="n">
        <v>9</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56513-2024</t>
        </is>
      </c>
      <c r="B1136" t="inlineStr">
        <is>
          <t>avverkningsanmälan</t>
        </is>
      </c>
      <c r="C1136" t="inlineStr">
        <is>
          <t>Föryngringsavverkning</t>
        </is>
      </c>
      <c r="D1136" s="1" t="n">
        <v>45625</v>
      </c>
      <c r="E1136" s="1" t="n">
        <v>46318</v>
      </c>
      <c r="F1136" t="inlineStr">
        <is>
          <t>JÄMTLANDS LÄN</t>
        </is>
      </c>
      <c r="G1136" t="inlineStr">
        <is>
          <t>STRÖMSUND</t>
        </is>
      </c>
      <c r="H1136" t="inlineStr">
        <is>
          <t>SCA</t>
        </is>
      </c>
      <c r="I1136" t="n">
        <v>1.5</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54037-2025</t>
        </is>
      </c>
      <c r="B1137" t="inlineStr">
        <is>
          <t>avverkningsanmälan</t>
        </is>
      </c>
      <c r="C1137" t="inlineStr">
        <is>
          <t>Föryngringsavverkning</t>
        </is>
      </c>
      <c r="D1137" s="1" t="n">
        <v>45963</v>
      </c>
      <c r="E1137" s="1" t="n">
        <v>46318</v>
      </c>
      <c r="F1137" t="inlineStr">
        <is>
          <t>JÄMTLANDS LÄN</t>
        </is>
      </c>
      <c r="G1137" t="inlineStr">
        <is>
          <t>STRÖMSUND</t>
        </is>
      </c>
      <c r="H1137" t="inlineStr">
        <is>
          <t>SCA</t>
        </is>
      </c>
      <c r="I1137" t="n">
        <v>4.1</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38283-2024</t>
        </is>
      </c>
      <c r="B1138" t="inlineStr">
        <is>
          <t>avverkningsanmälan</t>
        </is>
      </c>
      <c r="C1138" t="inlineStr">
        <is>
          <t>Föryngringsavverkning</t>
        </is>
      </c>
      <c r="D1138" s="1" t="n">
        <v>45545</v>
      </c>
      <c r="E1138" s="1" t="n">
        <v>46318</v>
      </c>
      <c r="F1138" t="inlineStr">
        <is>
          <t>JÄMTLANDS LÄN</t>
        </is>
      </c>
      <c r="G1138" t="inlineStr">
        <is>
          <t>STRÖMSUND</t>
        </is>
      </c>
      <c r="H1138" t="inlineStr">
        <is>
          <t>SCA</t>
        </is>
      </c>
      <c r="I1138" t="n">
        <v>0.9</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15259-2022</t>
        </is>
      </c>
      <c r="B1139" t="inlineStr">
        <is>
          <t>avverkningsanmälan</t>
        </is>
      </c>
      <c r="C1139" t="inlineStr">
        <is>
          <t>Föryngringsavverkning</t>
        </is>
      </c>
      <c r="D1139" s="1" t="n">
        <v>44659</v>
      </c>
      <c r="E1139" s="1" t="n">
        <v>46318</v>
      </c>
      <c r="F1139" t="inlineStr">
        <is>
          <t>JÄMTLANDS LÄN</t>
        </is>
      </c>
      <c r="G1139" t="inlineStr">
        <is>
          <t>STRÖMSUND</t>
        </is>
      </c>
      <c r="I1139" t="n">
        <v>52.4</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55066-2025</t>
        </is>
      </c>
      <c r="B1140" t="inlineStr">
        <is>
          <t>avverkningsanmälan</t>
        </is>
      </c>
      <c r="C1140" t="inlineStr">
        <is>
          <t>Föryngringsavverkning</t>
        </is>
      </c>
      <c r="D1140" s="1" t="n">
        <v>45967</v>
      </c>
      <c r="E1140" s="1" t="n">
        <v>46318</v>
      </c>
      <c r="F1140" t="inlineStr">
        <is>
          <t>JÄMTLANDS LÄN</t>
        </is>
      </c>
      <c r="G1140" t="inlineStr">
        <is>
          <t>STRÖMSUND</t>
        </is>
      </c>
      <c r="H1140" t="inlineStr">
        <is>
          <t>SCA</t>
        </is>
      </c>
      <c r="I1140" t="n">
        <v>3.3</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28970-2025</t>
        </is>
      </c>
      <c r="B1141" t="inlineStr">
        <is>
          <t>avverkningsanmälan</t>
        </is>
      </c>
      <c r="C1141" t="inlineStr">
        <is>
          <t>Föryngringsavverkning</t>
        </is>
      </c>
      <c r="D1141" s="1" t="n">
        <v>45821</v>
      </c>
      <c r="E1141" s="1" t="n">
        <v>46318</v>
      </c>
      <c r="F1141" t="inlineStr">
        <is>
          <t>JÄMTLANDS LÄN</t>
        </is>
      </c>
      <c r="G1141" t="inlineStr">
        <is>
          <t>STRÖMSUND</t>
        </is>
      </c>
      <c r="H1141" t="inlineStr">
        <is>
          <t>SCA</t>
        </is>
      </c>
      <c r="I1141" t="n">
        <v>7.1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292-2025</t>
        </is>
      </c>
      <c r="B1142" t="inlineStr">
        <is>
          <t>avverkningsanmälan</t>
        </is>
      </c>
      <c r="C1142" t="inlineStr">
        <is>
          <t>Föryngringsavverkning</t>
        </is>
      </c>
      <c r="D1142" s="1" t="n">
        <v>45660</v>
      </c>
      <c r="E1142" s="1" t="n">
        <v>46318</v>
      </c>
      <c r="F1142" t="inlineStr">
        <is>
          <t>JÄMTLANDS LÄN</t>
        </is>
      </c>
      <c r="G1142" t="inlineStr">
        <is>
          <t>STRÖMSUND</t>
        </is>
      </c>
      <c r="H1142" t="inlineStr">
        <is>
          <t>SCA</t>
        </is>
      </c>
      <c r="I1142" t="n">
        <v>10.5</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55041-2025</t>
        </is>
      </c>
      <c r="B1143" t="inlineStr">
        <is>
          <t>avverkningsanmälan</t>
        </is>
      </c>
      <c r="C1143" t="inlineStr">
        <is>
          <t>Föryngringsavverkning</t>
        </is>
      </c>
      <c r="D1143" s="1" t="n">
        <v>45967</v>
      </c>
      <c r="E1143" s="1" t="n">
        <v>46318</v>
      </c>
      <c r="F1143" t="inlineStr">
        <is>
          <t>JÄMTLANDS LÄN</t>
        </is>
      </c>
      <c r="G1143" t="inlineStr">
        <is>
          <t>STRÖMSUND</t>
        </is>
      </c>
      <c r="I1143" t="n">
        <v>2</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23941-2024</t>
        </is>
      </c>
      <c r="B1144" t="inlineStr">
        <is>
          <t>avverkningsanmälan</t>
        </is>
      </c>
      <c r="C1144" t="inlineStr">
        <is>
          <t>Föryngringsavverkning</t>
        </is>
      </c>
      <c r="D1144" s="1" t="n">
        <v>45455</v>
      </c>
      <c r="E1144" s="1" t="n">
        <v>46318</v>
      </c>
      <c r="F1144" t="inlineStr">
        <is>
          <t>JÄMTLANDS LÄN</t>
        </is>
      </c>
      <c r="G1144" t="inlineStr">
        <is>
          <t>STRÖMSUND</t>
        </is>
      </c>
      <c r="H1144" t="inlineStr">
        <is>
          <t>SCA</t>
        </is>
      </c>
      <c r="I1144" t="n">
        <v>1.6</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54948-2025</t>
        </is>
      </c>
      <c r="B1145" t="inlineStr">
        <is>
          <t>avverkningsanmälan</t>
        </is>
      </c>
      <c r="C1145" t="inlineStr">
        <is>
          <t>Föryngringsavverkning</t>
        </is>
      </c>
      <c r="D1145" s="1" t="n">
        <v>45967</v>
      </c>
      <c r="E1145" s="1" t="n">
        <v>46318</v>
      </c>
      <c r="F1145" t="inlineStr">
        <is>
          <t>JÄMTLANDS LÄN</t>
        </is>
      </c>
      <c r="G1145" t="inlineStr">
        <is>
          <t>STRÖMSUND</t>
        </is>
      </c>
      <c r="H1145" t="inlineStr">
        <is>
          <t>SCA</t>
        </is>
      </c>
      <c r="I1145" t="n">
        <v>0.4</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54618-2025</t>
        </is>
      </c>
      <c r="B1146" t="inlineStr">
        <is>
          <t>avverkningsanmälan</t>
        </is>
      </c>
      <c r="C1146" t="inlineStr">
        <is>
          <t>Föryngringsavverkning</t>
        </is>
      </c>
      <c r="D1146" s="1" t="n">
        <v>45966</v>
      </c>
      <c r="E1146" s="1" t="n">
        <v>46318</v>
      </c>
      <c r="F1146" t="inlineStr">
        <is>
          <t>JÄMTLANDS LÄN</t>
        </is>
      </c>
      <c r="G1146" t="inlineStr">
        <is>
          <t>STRÖMSUND</t>
        </is>
      </c>
      <c r="H1146" t="inlineStr">
        <is>
          <t>SCA</t>
        </is>
      </c>
      <c r="I1146" t="n">
        <v>6.2</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54640-2025</t>
        </is>
      </c>
      <c r="B1147" t="inlineStr">
        <is>
          <t>avverkningsanmälan</t>
        </is>
      </c>
      <c r="C1147" t="inlineStr">
        <is>
          <t>Föryngringsavverkning</t>
        </is>
      </c>
      <c r="D1147" s="1" t="n">
        <v>45966</v>
      </c>
      <c r="E1147" s="1" t="n">
        <v>46318</v>
      </c>
      <c r="F1147" t="inlineStr">
        <is>
          <t>JÄMTLANDS LÄN</t>
        </is>
      </c>
      <c r="G1147" t="inlineStr">
        <is>
          <t>STRÖMSUND</t>
        </is>
      </c>
      <c r="H1147" t="inlineStr">
        <is>
          <t>SCA</t>
        </is>
      </c>
      <c r="I1147" t="n">
        <v>3.3</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54662-2025</t>
        </is>
      </c>
      <c r="B1148" t="inlineStr">
        <is>
          <t>avverkningsanmälan</t>
        </is>
      </c>
      <c r="C1148" t="inlineStr">
        <is>
          <t>Föryngringsavverkning</t>
        </is>
      </c>
      <c r="D1148" s="1" t="n">
        <v>45966</v>
      </c>
      <c r="E1148" s="1" t="n">
        <v>46318</v>
      </c>
      <c r="F1148" t="inlineStr">
        <is>
          <t>JÄMTLANDS LÄN</t>
        </is>
      </c>
      <c r="G1148" t="inlineStr">
        <is>
          <t>STRÖMSUND</t>
        </is>
      </c>
      <c r="H1148" t="inlineStr">
        <is>
          <t>SCA</t>
        </is>
      </c>
      <c r="I1148" t="n">
        <v>25.8</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54897-2025</t>
        </is>
      </c>
      <c r="B1149" t="inlineStr">
        <is>
          <t>avverkningsanmälan</t>
        </is>
      </c>
      <c r="C1149" t="inlineStr">
        <is>
          <t>Föryngringsavverkning</t>
        </is>
      </c>
      <c r="D1149" s="1" t="n">
        <v>45967</v>
      </c>
      <c r="E1149" s="1" t="n">
        <v>46318</v>
      </c>
      <c r="F1149" t="inlineStr">
        <is>
          <t>JÄMTLANDS LÄN</t>
        </is>
      </c>
      <c r="G1149" t="inlineStr">
        <is>
          <t>STRÖMSUND</t>
        </is>
      </c>
      <c r="H1149" t="inlineStr">
        <is>
          <t>SCA</t>
        </is>
      </c>
      <c r="I1149" t="n">
        <v>1.1</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55012-2025</t>
        </is>
      </c>
      <c r="B1150" t="inlineStr">
        <is>
          <t>avverkningsanmälan</t>
        </is>
      </c>
      <c r="C1150" t="inlineStr">
        <is>
          <t>Avverkning för att bevara och utveckla /försöksver</t>
        </is>
      </c>
      <c r="D1150" s="1" t="n">
        <v>45967</v>
      </c>
      <c r="E1150" s="1" t="n">
        <v>46318</v>
      </c>
      <c r="F1150" t="inlineStr">
        <is>
          <t>JÄMTLANDS LÄN</t>
        </is>
      </c>
      <c r="G1150" t="inlineStr">
        <is>
          <t>STRÖMSUND</t>
        </is>
      </c>
      <c r="H1150" t="inlineStr">
        <is>
          <t>SCA</t>
        </is>
      </c>
      <c r="I1150" t="n">
        <v>1.2</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43146-2022</t>
        </is>
      </c>
      <c r="B1151" t="inlineStr">
        <is>
          <t>avverkningsanmälan</t>
        </is>
      </c>
      <c r="C1151" t="inlineStr">
        <is>
          <t>Föryngringsavverkning</t>
        </is>
      </c>
      <c r="D1151" s="1" t="n">
        <v>44833</v>
      </c>
      <c r="E1151" s="1" t="n">
        <v>46318</v>
      </c>
      <c r="F1151" t="inlineStr">
        <is>
          <t>JÄMTLANDS LÄN</t>
        </is>
      </c>
      <c r="G1151" t="inlineStr">
        <is>
          <t>STRÖMSUND</t>
        </is>
      </c>
      <c r="H1151" t="inlineStr">
        <is>
          <t>SCA</t>
        </is>
      </c>
      <c r="I1151" t="n">
        <v>33.3</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54894-2025</t>
        </is>
      </c>
      <c r="B1152" t="inlineStr">
        <is>
          <t>avverkningsanmälan</t>
        </is>
      </c>
      <c r="C1152" t="inlineStr">
        <is>
          <t>Föryngringsavverkning</t>
        </is>
      </c>
      <c r="D1152" s="1" t="n">
        <v>45967</v>
      </c>
      <c r="E1152" s="1" t="n">
        <v>46318</v>
      </c>
      <c r="F1152" t="inlineStr">
        <is>
          <t>JÄMTLANDS LÄN</t>
        </is>
      </c>
      <c r="G1152" t="inlineStr">
        <is>
          <t>STRÖMSUND</t>
        </is>
      </c>
      <c r="H1152" t="inlineStr">
        <is>
          <t>SCA</t>
        </is>
      </c>
      <c r="I1152" t="n">
        <v>4.5</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20503-2026</t>
        </is>
      </c>
      <c r="B1153" t="inlineStr">
        <is>
          <t>avverkningsanmälan</t>
        </is>
      </c>
      <c r="C1153" t="inlineStr">
        <is>
          <t>Föryngringsavverkning</t>
        </is>
      </c>
      <c r="D1153" s="1" t="n">
        <v>46140</v>
      </c>
      <c r="E1153" s="1" t="n">
        <v>46318</v>
      </c>
      <c r="F1153" t="inlineStr">
        <is>
          <t>JÄMTLANDS LÄN</t>
        </is>
      </c>
      <c r="G1153" t="inlineStr">
        <is>
          <t>STRÖMSUND</t>
        </is>
      </c>
      <c r="H1153" t="inlineStr">
        <is>
          <t>SCA</t>
        </is>
      </c>
      <c r="I1153" t="n">
        <v>6.8</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55407-2025</t>
        </is>
      </c>
      <c r="B1154" t="inlineStr">
        <is>
          <t>avverkningsanmälan</t>
        </is>
      </c>
      <c r="C1154" t="inlineStr">
        <is>
          <t>Avverkning för annat ändamål</t>
        </is>
      </c>
      <c r="D1154" s="1" t="n">
        <v>45971</v>
      </c>
      <c r="E1154" s="1" t="n">
        <v>46318</v>
      </c>
      <c r="F1154" t="inlineStr">
        <is>
          <t>JÄMTLANDS LÄN</t>
        </is>
      </c>
      <c r="G1154" t="inlineStr">
        <is>
          <t>STRÖMSUND</t>
        </is>
      </c>
      <c r="I1154" t="n">
        <v>0.4</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55445-2025</t>
        </is>
      </c>
      <c r="B1155" t="inlineStr">
        <is>
          <t>avverkningsanmälan</t>
        </is>
      </c>
      <c r="C1155" t="inlineStr">
        <is>
          <t>Föryngringsavverkning</t>
        </is>
      </c>
      <c r="D1155" s="1" t="n">
        <v>45971</v>
      </c>
      <c r="E1155" s="1" t="n">
        <v>46318</v>
      </c>
      <c r="F1155" t="inlineStr">
        <is>
          <t>JÄMTLANDS LÄN</t>
        </is>
      </c>
      <c r="G1155" t="inlineStr">
        <is>
          <t>STRÖMSUND</t>
        </is>
      </c>
      <c r="I1155" t="n">
        <v>2.8</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55461-2025</t>
        </is>
      </c>
      <c r="B1156" t="inlineStr">
        <is>
          <t>avverkningsanmälan</t>
        </is>
      </c>
      <c r="C1156" t="inlineStr">
        <is>
          <t>Föryngringsavverkning</t>
        </is>
      </c>
      <c r="D1156" s="1" t="n">
        <v>45971</v>
      </c>
      <c r="E1156" s="1" t="n">
        <v>46318</v>
      </c>
      <c r="F1156" t="inlineStr">
        <is>
          <t>JÄMTLANDS LÄN</t>
        </is>
      </c>
      <c r="G1156" t="inlineStr">
        <is>
          <t>STRÖMSUND</t>
        </is>
      </c>
      <c r="I1156" t="n">
        <v>6.4</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355-2025</t>
        </is>
      </c>
      <c r="B1157" t="inlineStr">
        <is>
          <t>avverkningsanmälan</t>
        </is>
      </c>
      <c r="C1157" t="inlineStr">
        <is>
          <t>Föryngringsavverkning</t>
        </is>
      </c>
      <c r="D1157" s="1" t="n">
        <v>45659</v>
      </c>
      <c r="E1157" s="1" t="n">
        <v>46318</v>
      </c>
      <c r="F1157" t="inlineStr">
        <is>
          <t>JÄMTLANDS LÄN</t>
        </is>
      </c>
      <c r="G1157" t="inlineStr">
        <is>
          <t>STRÖMSUND</t>
        </is>
      </c>
      <c r="I1157" t="n">
        <v>16</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37441-2024</t>
        </is>
      </c>
      <c r="B1158" t="inlineStr">
        <is>
          <t>avverkningsanmälan</t>
        </is>
      </c>
      <c r="C1158" t="inlineStr">
        <is>
          <t>Föryngringsavverkning</t>
        </is>
      </c>
      <c r="D1158" s="1" t="n">
        <v>45540</v>
      </c>
      <c r="E1158" s="1" t="n">
        <v>46318</v>
      </c>
      <c r="F1158" t="inlineStr">
        <is>
          <t>JÄMTLANDS LÄN</t>
        </is>
      </c>
      <c r="G1158" t="inlineStr">
        <is>
          <t>STRÖMSUND</t>
        </is>
      </c>
      <c r="I1158" t="n">
        <v>15.8</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55361-2025</t>
        </is>
      </c>
      <c r="B1159" t="inlineStr">
        <is>
          <t>avverkningsanmälan</t>
        </is>
      </c>
      <c r="C1159" t="inlineStr">
        <is>
          <t>Föryngringsavverkning</t>
        </is>
      </c>
      <c r="D1159" s="1" t="n">
        <v>45971</v>
      </c>
      <c r="E1159" s="1" t="n">
        <v>46318</v>
      </c>
      <c r="F1159" t="inlineStr">
        <is>
          <t>JÄMTLANDS LÄN</t>
        </is>
      </c>
      <c r="G1159" t="inlineStr">
        <is>
          <t>STRÖMSUND</t>
        </is>
      </c>
      <c r="H1159" t="inlineStr">
        <is>
          <t>SCA</t>
        </is>
      </c>
      <c r="I1159" t="n">
        <v>7.5</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51074-2023</t>
        </is>
      </c>
      <c r="B1160" t="inlineStr">
        <is>
          <t>avverkningsanmälan</t>
        </is>
      </c>
      <c r="C1160" t="inlineStr">
        <is>
          <t>Föryngringsavverkning</t>
        </is>
      </c>
      <c r="D1160" s="1" t="n">
        <v>45211</v>
      </c>
      <c r="E1160" s="1" t="n">
        <v>46318</v>
      </c>
      <c r="F1160" t="inlineStr">
        <is>
          <t>JÄMTLANDS LÄN</t>
        </is>
      </c>
      <c r="G1160" t="inlineStr">
        <is>
          <t>STRÖMSUND</t>
        </is>
      </c>
      <c r="I1160" t="n">
        <v>0.6</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55281-2025</t>
        </is>
      </c>
      <c r="B1161" t="inlineStr">
        <is>
          <t>avverkningsanmälan</t>
        </is>
      </c>
      <c r="C1161" t="inlineStr">
        <is>
          <t>Föryngringsavverkning</t>
        </is>
      </c>
      <c r="D1161" s="1" t="n">
        <v>45968</v>
      </c>
      <c r="E1161" s="1" t="n">
        <v>46318</v>
      </c>
      <c r="F1161" t="inlineStr">
        <is>
          <t>JÄMTLANDS LÄN</t>
        </is>
      </c>
      <c r="G1161" t="inlineStr">
        <is>
          <t>STRÖMSUND</t>
        </is>
      </c>
      <c r="I1161" t="n">
        <v>3.2</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55282-2025</t>
        </is>
      </c>
      <c r="B1162" t="inlineStr">
        <is>
          <t>avverkningsanmälan</t>
        </is>
      </c>
      <c r="C1162" t="inlineStr">
        <is>
          <t>Föryngringsavverkning</t>
        </is>
      </c>
      <c r="D1162" s="1" t="n">
        <v>45968</v>
      </c>
      <c r="E1162" s="1" t="n">
        <v>46318</v>
      </c>
      <c r="F1162" t="inlineStr">
        <is>
          <t>JÄMTLANDS LÄN</t>
        </is>
      </c>
      <c r="G1162" t="inlineStr">
        <is>
          <t>STRÖMSUND</t>
        </is>
      </c>
      <c r="I1162" t="n">
        <v>2.2</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55259-2025</t>
        </is>
      </c>
      <c r="B1163" t="inlineStr">
        <is>
          <t>avverkningsanmälan</t>
        </is>
      </c>
      <c r="C1163" t="inlineStr">
        <is>
          <t>Föryngringsavverkning</t>
        </is>
      </c>
      <c r="D1163" s="1" t="n">
        <v>45968</v>
      </c>
      <c r="E1163" s="1" t="n">
        <v>46318</v>
      </c>
      <c r="F1163" t="inlineStr">
        <is>
          <t>JÄMTLANDS LÄN</t>
        </is>
      </c>
      <c r="G1163" t="inlineStr">
        <is>
          <t>STRÖMSUND</t>
        </is>
      </c>
      <c r="I1163" t="n">
        <v>2</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18236-2024</t>
        </is>
      </c>
      <c r="B1164" t="inlineStr">
        <is>
          <t>avverkningsanmälan</t>
        </is>
      </c>
      <c r="C1164" t="inlineStr">
        <is>
          <t>Föryngringsavverkning</t>
        </is>
      </c>
      <c r="D1164" s="1" t="n">
        <v>45420</v>
      </c>
      <c r="E1164" s="1" t="n">
        <v>46318</v>
      </c>
      <c r="F1164" t="inlineStr">
        <is>
          <t>JÄMTLANDS LÄN</t>
        </is>
      </c>
      <c r="G1164" t="inlineStr">
        <is>
          <t>STRÖMSUND</t>
        </is>
      </c>
      <c r="H1164" t="inlineStr">
        <is>
          <t>SCA</t>
        </is>
      </c>
      <c r="I1164" t="n">
        <v>0.7</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55441-2025</t>
        </is>
      </c>
      <c r="B1165" t="inlineStr">
        <is>
          <t>avverkningsanmälan</t>
        </is>
      </c>
      <c r="C1165" t="inlineStr">
        <is>
          <t>Föryngringsavverkning</t>
        </is>
      </c>
      <c r="D1165" s="1" t="n">
        <v>45971</v>
      </c>
      <c r="E1165" s="1" t="n">
        <v>46318</v>
      </c>
      <c r="F1165" t="inlineStr">
        <is>
          <t>JÄMTLANDS LÄN</t>
        </is>
      </c>
      <c r="G1165" t="inlineStr">
        <is>
          <t>STRÖMSUND</t>
        </is>
      </c>
      <c r="I1165" t="n">
        <v>5.3</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34550-2022</t>
        </is>
      </c>
      <c r="B1166" t="inlineStr">
        <is>
          <t>avverkningsanmälan</t>
        </is>
      </c>
      <c r="C1166" t="inlineStr">
        <is>
          <t>Föryngringsavverkning</t>
        </is>
      </c>
      <c r="D1166" s="1" t="n">
        <v>44793</v>
      </c>
      <c r="E1166" s="1" t="n">
        <v>46318</v>
      </c>
      <c r="F1166" t="inlineStr">
        <is>
          <t>JÄMTLANDS LÄN</t>
        </is>
      </c>
      <c r="G1166" t="inlineStr">
        <is>
          <t>STRÖMSUND</t>
        </is>
      </c>
      <c r="H1166" t="inlineStr">
        <is>
          <t>SCA</t>
        </is>
      </c>
      <c r="I1166" t="n">
        <v>1</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55452-2025</t>
        </is>
      </c>
      <c r="B1167" t="inlineStr">
        <is>
          <t>avverkningsanmälan</t>
        </is>
      </c>
      <c r="C1167" t="inlineStr">
        <is>
          <t>Föryngringsavverkning</t>
        </is>
      </c>
      <c r="D1167" s="1" t="n">
        <v>45971</v>
      </c>
      <c r="E1167" s="1" t="n">
        <v>46318</v>
      </c>
      <c r="F1167" t="inlineStr">
        <is>
          <t>JÄMTLANDS LÄN</t>
        </is>
      </c>
      <c r="G1167" t="inlineStr">
        <is>
          <t>STRÖMSUND</t>
        </is>
      </c>
      <c r="I1167" t="n">
        <v>1.6</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30332-2025</t>
        </is>
      </c>
      <c r="B1168" t="inlineStr">
        <is>
          <t>avverkningsanmälan</t>
        </is>
      </c>
      <c r="C1168" t="inlineStr">
        <is>
          <t>Föryngringsavverkning</t>
        </is>
      </c>
      <c r="D1168" s="1" t="n">
        <v>45827</v>
      </c>
      <c r="E1168" s="1" t="n">
        <v>46318</v>
      </c>
      <c r="F1168" t="inlineStr">
        <is>
          <t>JÄMTLANDS LÄN</t>
        </is>
      </c>
      <c r="G1168" t="inlineStr">
        <is>
          <t>STRÖMSUND</t>
        </is>
      </c>
      <c r="I1168" t="n">
        <v>1.6</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19826-2023</t>
        </is>
      </c>
      <c r="B1169" t="inlineStr">
        <is>
          <t>avverkningsanmälan</t>
        </is>
      </c>
      <c r="C1169" t="inlineStr">
        <is>
          <t>Föryngringsavverkning</t>
        </is>
      </c>
      <c r="D1169" s="1" t="n">
        <v>45051</v>
      </c>
      <c r="E1169" s="1" t="n">
        <v>46318</v>
      </c>
      <c r="F1169" t="inlineStr">
        <is>
          <t>JÄMTLANDS LÄN</t>
        </is>
      </c>
      <c r="G1169" t="inlineStr">
        <is>
          <t>STRÖMSUND</t>
        </is>
      </c>
      <c r="H1169" t="inlineStr">
        <is>
          <t>SCA</t>
        </is>
      </c>
      <c r="I1169" t="n">
        <v>3</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55468-2025</t>
        </is>
      </c>
      <c r="B1170" t="inlineStr">
        <is>
          <t>avverkningsanmälan</t>
        </is>
      </c>
      <c r="C1170" t="inlineStr">
        <is>
          <t>Föryngringsavverkning</t>
        </is>
      </c>
      <c r="D1170" s="1" t="n">
        <v>45971</v>
      </c>
      <c r="E1170" s="1" t="n">
        <v>46318</v>
      </c>
      <c r="F1170" t="inlineStr">
        <is>
          <t>JÄMTLANDS LÄN</t>
        </is>
      </c>
      <c r="G1170" t="inlineStr">
        <is>
          <t>STRÖMSUND</t>
        </is>
      </c>
      <c r="I1170" t="n">
        <v>1.6</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46388-2025</t>
        </is>
      </c>
      <c r="B1171" t="inlineStr">
        <is>
          <t>avverkningsanmälan</t>
        </is>
      </c>
      <c r="C1171" t="inlineStr">
        <is>
          <t>Föryngringsavverkning</t>
        </is>
      </c>
      <c r="D1171" s="1" t="n">
        <v>45925</v>
      </c>
      <c r="E1171" s="1" t="n">
        <v>46318</v>
      </c>
      <c r="F1171" t="inlineStr">
        <is>
          <t>JÄMTLANDS LÄN</t>
        </is>
      </c>
      <c r="G1171" t="inlineStr">
        <is>
          <t>STRÖMSUND</t>
        </is>
      </c>
      <c r="I1171" t="n">
        <v>2.4</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55804-2025</t>
        </is>
      </c>
      <c r="B1172" t="inlineStr">
        <is>
          <t>avverkningsanmälan</t>
        </is>
      </c>
      <c r="C1172" t="inlineStr">
        <is>
          <t>Föryngringsavverkning</t>
        </is>
      </c>
      <c r="D1172" s="1" t="n">
        <v>45972</v>
      </c>
      <c r="E1172" s="1" t="n">
        <v>46318</v>
      </c>
      <c r="F1172" t="inlineStr">
        <is>
          <t>JÄMTLANDS LÄN</t>
        </is>
      </c>
      <c r="G1172" t="inlineStr">
        <is>
          <t>STRÖMSUND</t>
        </is>
      </c>
      <c r="H1172" t="inlineStr">
        <is>
          <t>SCA</t>
        </is>
      </c>
      <c r="I1172" t="n">
        <v>6</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55811-2025</t>
        </is>
      </c>
      <c r="B1173" t="inlineStr">
        <is>
          <t>avverkningsanmälan</t>
        </is>
      </c>
      <c r="C1173" t="inlineStr">
        <is>
          <t>Föryngringsavverkning</t>
        </is>
      </c>
      <c r="D1173" s="1" t="n">
        <v>45972</v>
      </c>
      <c r="E1173" s="1" t="n">
        <v>46318</v>
      </c>
      <c r="F1173" t="inlineStr">
        <is>
          <t>JÄMTLANDS LÄN</t>
        </is>
      </c>
      <c r="G1173" t="inlineStr">
        <is>
          <t>STRÖMSUND</t>
        </is>
      </c>
      <c r="H1173" t="inlineStr">
        <is>
          <t>SCA</t>
        </is>
      </c>
      <c r="I1173" t="n">
        <v>5.7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55927-2025</t>
        </is>
      </c>
      <c r="B1174" t="inlineStr">
        <is>
          <t>avverkningsanmälan</t>
        </is>
      </c>
      <c r="C1174" t="inlineStr">
        <is>
          <t>Föryngringsavverkning</t>
        </is>
      </c>
      <c r="D1174" s="1" t="n">
        <v>45973</v>
      </c>
      <c r="E1174" s="1" t="n">
        <v>46318</v>
      </c>
      <c r="F1174" t="inlineStr">
        <is>
          <t>JÄMTLANDS LÄN</t>
        </is>
      </c>
      <c r="G1174" t="inlineStr">
        <is>
          <t>STRÖMSUND</t>
        </is>
      </c>
      <c r="I1174" t="n">
        <v>1.1</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55807-2025</t>
        </is>
      </c>
      <c r="B1175" t="inlineStr">
        <is>
          <t>avverkningsanmälan</t>
        </is>
      </c>
      <c r="C1175" t="inlineStr">
        <is>
          <t>Föryngringsavverkning</t>
        </is>
      </c>
      <c r="D1175" s="1" t="n">
        <v>45972</v>
      </c>
      <c r="E1175" s="1" t="n">
        <v>46318</v>
      </c>
      <c r="F1175" t="inlineStr">
        <is>
          <t>JÄMTLANDS LÄN</t>
        </is>
      </c>
      <c r="G1175" t="inlineStr">
        <is>
          <t>STRÖMSUND</t>
        </is>
      </c>
      <c r="I1175" t="n">
        <v>4</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55690-2025</t>
        </is>
      </c>
      <c r="B1176" t="inlineStr">
        <is>
          <t>avverkningsanmälan</t>
        </is>
      </c>
      <c r="C1176" t="inlineStr">
        <is>
          <t>Föryngringsavverkning</t>
        </is>
      </c>
      <c r="D1176" s="1" t="n">
        <v>45972</v>
      </c>
      <c r="E1176" s="1" t="n">
        <v>46318</v>
      </c>
      <c r="F1176" t="inlineStr">
        <is>
          <t>JÄMTLANDS LÄN</t>
        </is>
      </c>
      <c r="G1176" t="inlineStr">
        <is>
          <t>STRÖMSUND</t>
        </is>
      </c>
      <c r="I1176" t="n">
        <v>2.2</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55806-2025</t>
        </is>
      </c>
      <c r="B1177" t="inlineStr">
        <is>
          <t>avverkningsanmälan</t>
        </is>
      </c>
      <c r="C1177" t="inlineStr">
        <is>
          <t>Föryngringsavverkning</t>
        </is>
      </c>
      <c r="D1177" s="1" t="n">
        <v>45972</v>
      </c>
      <c r="E1177" s="1" t="n">
        <v>46318</v>
      </c>
      <c r="F1177" t="inlineStr">
        <is>
          <t>JÄMTLANDS LÄN</t>
        </is>
      </c>
      <c r="G1177" t="inlineStr">
        <is>
          <t>STRÖMSUND</t>
        </is>
      </c>
      <c r="I1177" t="n">
        <v>1.1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9390-2025</t>
        </is>
      </c>
      <c r="B1178" t="inlineStr">
        <is>
          <t>avverkningsanmälan</t>
        </is>
      </c>
      <c r="C1178" t="inlineStr">
        <is>
          <t>Föryngringsavverkning</t>
        </is>
      </c>
      <c r="D1178" s="1" t="n">
        <v>45714</v>
      </c>
      <c r="E1178" s="1" t="n">
        <v>46318</v>
      </c>
      <c r="F1178" t="inlineStr">
        <is>
          <t>JÄMTLANDS LÄN</t>
        </is>
      </c>
      <c r="G1178" t="inlineStr">
        <is>
          <t>STRÖMSUND</t>
        </is>
      </c>
      <c r="I1178" t="n">
        <v>6.6</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32396-2024</t>
        </is>
      </c>
      <c r="B1179" t="inlineStr">
        <is>
          <t>avverkningsanmälan</t>
        </is>
      </c>
      <c r="C1179" t="inlineStr">
        <is>
          <t>Föryngringsavverkning</t>
        </is>
      </c>
      <c r="D1179" s="1" t="n">
        <v>45512</v>
      </c>
      <c r="E1179" s="1" t="n">
        <v>46318</v>
      </c>
      <c r="F1179" t="inlineStr">
        <is>
          <t>JÄMTLANDS LÄN</t>
        </is>
      </c>
      <c r="G1179" t="inlineStr">
        <is>
          <t>STRÖMSUND</t>
        </is>
      </c>
      <c r="I1179" t="n">
        <v>1.9</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49618-2025</t>
        </is>
      </c>
      <c r="B1180" t="inlineStr">
        <is>
          <t>avverkningsanmälan</t>
        </is>
      </c>
      <c r="C1180" t="inlineStr">
        <is>
          <t>Föryngringsavverkning</t>
        </is>
      </c>
      <c r="D1180" s="1" t="n">
        <v>45938</v>
      </c>
      <c r="E1180" s="1" t="n">
        <v>46318</v>
      </c>
      <c r="F1180" t="inlineStr">
        <is>
          <t>JÄMTLANDS LÄN</t>
        </is>
      </c>
      <c r="G1180" t="inlineStr">
        <is>
          <t>STRÖMSUND</t>
        </is>
      </c>
      <c r="I1180" t="n">
        <v>5.9</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56510-2025</t>
        </is>
      </c>
      <c r="B1181" t="inlineStr">
        <is>
          <t>avverkningsanmälan</t>
        </is>
      </c>
      <c r="C1181" t="inlineStr">
        <is>
          <t>Föryngringsavverkning</t>
        </is>
      </c>
      <c r="D1181" s="1" t="n">
        <v>45975</v>
      </c>
      <c r="E1181" s="1" t="n">
        <v>46318</v>
      </c>
      <c r="F1181" t="inlineStr">
        <is>
          <t>JÄMTLANDS LÄN</t>
        </is>
      </c>
      <c r="G1181" t="inlineStr">
        <is>
          <t>STRÖMSUND</t>
        </is>
      </c>
      <c r="H1181" t="inlineStr">
        <is>
          <t>SCA</t>
        </is>
      </c>
      <c r="I1181" t="n">
        <v>1</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56540-2025</t>
        </is>
      </c>
      <c r="B1182" t="inlineStr">
        <is>
          <t>avverkningsanmälan</t>
        </is>
      </c>
      <c r="C1182" t="inlineStr">
        <is>
          <t>Avverkning för annat ändamål</t>
        </is>
      </c>
      <c r="D1182" s="1" t="n">
        <v>45975</v>
      </c>
      <c r="E1182" s="1" t="n">
        <v>46318</v>
      </c>
      <c r="F1182" t="inlineStr">
        <is>
          <t>JÄMTLANDS LÄN</t>
        </is>
      </c>
      <c r="G1182" t="inlineStr">
        <is>
          <t>STRÖMSUND</t>
        </is>
      </c>
      <c r="I1182" t="n">
        <v>2.1</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56483-2025</t>
        </is>
      </c>
      <c r="B1183" t="inlineStr">
        <is>
          <t>avverkningsanmälan</t>
        </is>
      </c>
      <c r="C1183" t="inlineStr">
        <is>
          <t>Föryngringsavverkning</t>
        </is>
      </c>
      <c r="D1183" s="1" t="n">
        <v>45975</v>
      </c>
      <c r="E1183" s="1" t="n">
        <v>46318</v>
      </c>
      <c r="F1183" t="inlineStr">
        <is>
          <t>JÄMTLANDS LÄN</t>
        </is>
      </c>
      <c r="G1183" t="inlineStr">
        <is>
          <t>STRÖMSUND</t>
        </is>
      </c>
      <c r="H1183" t="inlineStr">
        <is>
          <t>SCA</t>
        </is>
      </c>
      <c r="I1183" t="n">
        <v>1.2</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56485-2025</t>
        </is>
      </c>
      <c r="B1184" t="inlineStr">
        <is>
          <t>avverkningsanmälan</t>
        </is>
      </c>
      <c r="C1184" t="inlineStr">
        <is>
          <t>Föryngringsavverkning</t>
        </is>
      </c>
      <c r="D1184" s="1" t="n">
        <v>45975</v>
      </c>
      <c r="E1184" s="1" t="n">
        <v>46318</v>
      </c>
      <c r="F1184" t="inlineStr">
        <is>
          <t>JÄMTLANDS LÄN</t>
        </is>
      </c>
      <c r="G1184" t="inlineStr">
        <is>
          <t>STRÖMSUND</t>
        </is>
      </c>
      <c r="I1184" t="n">
        <v>1.7</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56509-2025</t>
        </is>
      </c>
      <c r="B1185" t="inlineStr">
        <is>
          <t>avverkningsanmälan</t>
        </is>
      </c>
      <c r="C1185" t="inlineStr">
        <is>
          <t>Föryngringsavverkning</t>
        </is>
      </c>
      <c r="D1185" s="1" t="n">
        <v>45975</v>
      </c>
      <c r="E1185" s="1" t="n">
        <v>46318</v>
      </c>
      <c r="F1185" t="inlineStr">
        <is>
          <t>JÄMTLANDS LÄN</t>
        </is>
      </c>
      <c r="G1185" t="inlineStr">
        <is>
          <t>STRÖMSUND</t>
        </is>
      </c>
      <c r="H1185" t="inlineStr">
        <is>
          <t>SCA</t>
        </is>
      </c>
      <c r="I1185" t="n">
        <v>6.9</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1549-2026</t>
        </is>
      </c>
      <c r="B1186" t="inlineStr">
        <is>
          <t>avverkningsanmälan</t>
        </is>
      </c>
      <c r="C1186" t="inlineStr">
        <is>
          <t>Föryngringsavverkning</t>
        </is>
      </c>
      <c r="D1186" s="1" t="n">
        <v>46034</v>
      </c>
      <c r="E1186" s="1" t="n">
        <v>46318</v>
      </c>
      <c r="F1186" t="inlineStr">
        <is>
          <t>JÄMTLANDS LÄN</t>
        </is>
      </c>
      <c r="G1186" t="inlineStr">
        <is>
          <t>STRÖMSUND</t>
        </is>
      </c>
      <c r="I1186" t="n">
        <v>2.1</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56626-2025</t>
        </is>
      </c>
      <c r="B1187" t="inlineStr">
        <is>
          <t>avverkningsanmälan</t>
        </is>
      </c>
      <c r="C1187" t="inlineStr">
        <is>
          <t>Föryngringsavverkning</t>
        </is>
      </c>
      <c r="D1187" s="1" t="n">
        <v>45975</v>
      </c>
      <c r="E1187" s="1" t="n">
        <v>46318</v>
      </c>
      <c r="F1187" t="inlineStr">
        <is>
          <t>JÄMTLANDS LÄN</t>
        </is>
      </c>
      <c r="G1187" t="inlineStr">
        <is>
          <t>STRÖMSUND</t>
        </is>
      </c>
      <c r="I1187" t="n">
        <v>0.6</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22346-2023</t>
        </is>
      </c>
      <c r="B1188" t="inlineStr">
        <is>
          <t>avverkningsanmälan</t>
        </is>
      </c>
      <c r="C1188" t="inlineStr">
        <is>
          <t>Föryngringsavverkning</t>
        </is>
      </c>
      <c r="D1188" s="1" t="n">
        <v>45070</v>
      </c>
      <c r="E1188" s="1" t="n">
        <v>46318</v>
      </c>
      <c r="F1188" t="inlineStr">
        <is>
          <t>JÄMTLANDS LÄN</t>
        </is>
      </c>
      <c r="G1188" t="inlineStr">
        <is>
          <t>STRÖMSUND</t>
        </is>
      </c>
      <c r="I1188" t="n">
        <v>1.7</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56436-2025</t>
        </is>
      </c>
      <c r="B1189" t="inlineStr">
        <is>
          <t>avverkningsanmälan</t>
        </is>
      </c>
      <c r="C1189" t="inlineStr">
        <is>
          <t>Föryngringsavverkning</t>
        </is>
      </c>
      <c r="D1189" s="1" t="n">
        <v>45975</v>
      </c>
      <c r="E1189" s="1" t="n">
        <v>46318</v>
      </c>
      <c r="F1189" t="inlineStr">
        <is>
          <t>JÄMTLANDS LÄN</t>
        </is>
      </c>
      <c r="G1189" t="inlineStr">
        <is>
          <t>STRÖMSUND</t>
        </is>
      </c>
      <c r="H1189" t="inlineStr">
        <is>
          <t>SCA</t>
        </is>
      </c>
      <c r="I1189" t="n">
        <v>3.6</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20986-2026</t>
        </is>
      </c>
      <c r="B1190" t="inlineStr">
        <is>
          <t>avverkningsanmälan</t>
        </is>
      </c>
      <c r="C1190" t="inlineStr">
        <is>
          <t>Föryngringsavverkning</t>
        </is>
      </c>
      <c r="D1190" s="1" t="n">
        <v>46142</v>
      </c>
      <c r="E1190" s="1" t="n">
        <v>46318</v>
      </c>
      <c r="F1190" t="inlineStr">
        <is>
          <t>JÄMTLANDS LÄN</t>
        </is>
      </c>
      <c r="G1190" t="inlineStr">
        <is>
          <t>STRÖMSUND</t>
        </is>
      </c>
      <c r="H1190" t="inlineStr">
        <is>
          <t>SCA</t>
        </is>
      </c>
      <c r="I1190" t="n">
        <v>4.4</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56706-2025</t>
        </is>
      </c>
      <c r="B1191" t="inlineStr">
        <is>
          <t>avverkningsanmälan</t>
        </is>
      </c>
      <c r="C1191" t="inlineStr">
        <is>
          <t>Föryngringsavverkning</t>
        </is>
      </c>
      <c r="D1191" s="1" t="n">
        <v>45977</v>
      </c>
      <c r="E1191" s="1" t="n">
        <v>46318</v>
      </c>
      <c r="F1191" t="inlineStr">
        <is>
          <t>JÄMTLANDS LÄN</t>
        </is>
      </c>
      <c r="G1191" t="inlineStr">
        <is>
          <t>STRÖMSUND</t>
        </is>
      </c>
      <c r="H1191" t="inlineStr">
        <is>
          <t>SCA</t>
        </is>
      </c>
      <c r="I1191" t="n">
        <v>19.8</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57040-2025</t>
        </is>
      </c>
      <c r="B1192" t="inlineStr">
        <is>
          <t>avverkningsanmälan</t>
        </is>
      </c>
      <c r="C1192" t="inlineStr">
        <is>
          <t>Föryngringsavverkning</t>
        </is>
      </c>
      <c r="D1192" s="1" t="n">
        <v>45979</v>
      </c>
      <c r="E1192" s="1" t="n">
        <v>46318</v>
      </c>
      <c r="F1192" t="inlineStr">
        <is>
          <t>JÄMTLANDS LÄN</t>
        </is>
      </c>
      <c r="G1192" t="inlineStr">
        <is>
          <t>STRÖMSUND</t>
        </is>
      </c>
      <c r="I1192" t="n">
        <v>1.9</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4523-2023</t>
        </is>
      </c>
      <c r="B1193" t="inlineStr">
        <is>
          <t>avverkningsanmälan</t>
        </is>
      </c>
      <c r="C1193" t="inlineStr">
        <is>
          <t>Föryngringsavverkning</t>
        </is>
      </c>
      <c r="D1193" s="1" t="n">
        <v>44952</v>
      </c>
      <c r="E1193" s="1" t="n">
        <v>46318</v>
      </c>
      <c r="F1193" t="inlineStr">
        <is>
          <t>JÄMTLANDS LÄN</t>
        </is>
      </c>
      <c r="G1193" t="inlineStr">
        <is>
          <t>STRÖMSUND</t>
        </is>
      </c>
      <c r="I1193" t="n">
        <v>3.2</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4537-2023</t>
        </is>
      </c>
      <c r="B1194" t="inlineStr">
        <is>
          <t>avverkningsanmälan</t>
        </is>
      </c>
      <c r="C1194" t="inlineStr">
        <is>
          <t>Föryngringsavverkning</t>
        </is>
      </c>
      <c r="D1194" s="1" t="n">
        <v>44952</v>
      </c>
      <c r="E1194" s="1" t="n">
        <v>46318</v>
      </c>
      <c r="F1194" t="inlineStr">
        <is>
          <t>JÄMTLANDS LÄN</t>
        </is>
      </c>
      <c r="G1194" t="inlineStr">
        <is>
          <t>STRÖMSUND</t>
        </is>
      </c>
      <c r="I1194" t="n">
        <v>1.3</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52850-2023</t>
        </is>
      </c>
      <c r="B1195" t="inlineStr">
        <is>
          <t>avverkningsanmälan</t>
        </is>
      </c>
      <c r="C1195" t="inlineStr">
        <is>
          <t>Föryngringsavverkning</t>
        </is>
      </c>
      <c r="D1195" s="1" t="n">
        <v>45226</v>
      </c>
      <c r="E1195" s="1" t="n">
        <v>46318</v>
      </c>
      <c r="F1195" t="inlineStr">
        <is>
          <t>JÄMTLANDS LÄN</t>
        </is>
      </c>
      <c r="G1195" t="inlineStr">
        <is>
          <t>STRÖMSUND</t>
        </is>
      </c>
      <c r="I1195" t="n">
        <v>6.1</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4621-2023</t>
        </is>
      </c>
      <c r="B1196" t="inlineStr">
        <is>
          <t>avverkningsanmälan</t>
        </is>
      </c>
      <c r="C1196" t="inlineStr">
        <is>
          <t>Avverkning för att bevara och utveckla /försöksver</t>
        </is>
      </c>
      <c r="D1196" s="1" t="n">
        <v>44956</v>
      </c>
      <c r="E1196" s="1" t="n">
        <v>46318</v>
      </c>
      <c r="F1196" t="inlineStr">
        <is>
          <t>JÄMTLANDS LÄN</t>
        </is>
      </c>
      <c r="G1196" t="inlineStr">
        <is>
          <t>STRÖMSUND</t>
        </is>
      </c>
      <c r="H1196" t="inlineStr">
        <is>
          <t>SCA</t>
        </is>
      </c>
      <c r="I1196" t="n">
        <v>3.1</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32882-2023</t>
        </is>
      </c>
      <c r="B1197" t="inlineStr">
        <is>
          <t>avverkningsanmälan</t>
        </is>
      </c>
      <c r="C1197" t="inlineStr">
        <is>
          <t>Föryngringsavverkning</t>
        </is>
      </c>
      <c r="D1197" s="1" t="n">
        <v>45112</v>
      </c>
      <c r="E1197" s="1" t="n">
        <v>46318</v>
      </c>
      <c r="F1197" t="inlineStr">
        <is>
          <t>JÄMTLANDS LÄN</t>
        </is>
      </c>
      <c r="G1197" t="inlineStr">
        <is>
          <t>STRÖMSUND</t>
        </is>
      </c>
      <c r="H1197" t="inlineStr">
        <is>
          <t>Kommuner</t>
        </is>
      </c>
      <c r="I1197" t="n">
        <v>0.2</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21148-2026</t>
        </is>
      </c>
      <c r="B1198" t="inlineStr">
        <is>
          <t>avverkningsanmälan</t>
        </is>
      </c>
      <c r="C1198" t="inlineStr">
        <is>
          <t>Föryngringsavverkning</t>
        </is>
      </c>
      <c r="D1198" s="1" t="n">
        <v>46146</v>
      </c>
      <c r="E1198" s="1" t="n">
        <v>46318</v>
      </c>
      <c r="F1198" t="inlineStr">
        <is>
          <t>JÄMTLANDS LÄN</t>
        </is>
      </c>
      <c r="G1198" t="inlineStr">
        <is>
          <t>STRÖMSUND</t>
        </is>
      </c>
      <c r="H1198" t="inlineStr">
        <is>
          <t>SCA</t>
        </is>
      </c>
      <c r="I1198" t="n">
        <v>2.2</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49065-2025</t>
        </is>
      </c>
      <c r="B1199" t="inlineStr">
        <is>
          <t>avverkningsanmälan</t>
        </is>
      </c>
      <c r="C1199" t="inlineStr">
        <is>
          <t>Föryngringsavverkning</t>
        </is>
      </c>
      <c r="D1199" s="1" t="n">
        <v>45937</v>
      </c>
      <c r="E1199" s="1" t="n">
        <v>46318</v>
      </c>
      <c r="F1199" t="inlineStr">
        <is>
          <t>JÄMTLANDS LÄN</t>
        </is>
      </c>
      <c r="G1199" t="inlineStr">
        <is>
          <t>STRÖMSUND</t>
        </is>
      </c>
      <c r="H1199" t="inlineStr">
        <is>
          <t>SCA</t>
        </is>
      </c>
      <c r="I1199" t="n">
        <v>42.6</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21154-2026</t>
        </is>
      </c>
      <c r="B1200" t="inlineStr">
        <is>
          <t>avverkningsanmälan</t>
        </is>
      </c>
      <c r="C1200" t="inlineStr">
        <is>
          <t>Föryngringsavverkning</t>
        </is>
      </c>
      <c r="D1200" s="1" t="n">
        <v>46146</v>
      </c>
      <c r="E1200" s="1" t="n">
        <v>46318</v>
      </c>
      <c r="F1200" t="inlineStr">
        <is>
          <t>JÄMTLANDS LÄN</t>
        </is>
      </c>
      <c r="G1200" t="inlineStr">
        <is>
          <t>STRÖMSUND</t>
        </is>
      </c>
      <c r="H1200" t="inlineStr">
        <is>
          <t>SCA</t>
        </is>
      </c>
      <c r="I1200" t="n">
        <v>2.1</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57557-2025</t>
        </is>
      </c>
      <c r="B1201" t="inlineStr">
        <is>
          <t>avverkningsanmälan</t>
        </is>
      </c>
      <c r="C1201" t="inlineStr">
        <is>
          <t>Föryngringsavverkning</t>
        </is>
      </c>
      <c r="D1201" s="1" t="n">
        <v>45980</v>
      </c>
      <c r="E1201" s="1" t="n">
        <v>46318</v>
      </c>
      <c r="F1201" t="inlineStr">
        <is>
          <t>JÄMTLANDS LÄN</t>
        </is>
      </c>
      <c r="G1201" t="inlineStr">
        <is>
          <t>STRÖMSUND</t>
        </is>
      </c>
      <c r="I1201" t="n">
        <v>3.8</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57549-2025</t>
        </is>
      </c>
      <c r="B1202" t="inlineStr">
        <is>
          <t>avverkningsanmälan</t>
        </is>
      </c>
      <c r="C1202" t="inlineStr">
        <is>
          <t>Föryngringsavverkning</t>
        </is>
      </c>
      <c r="D1202" s="1" t="n">
        <v>45980</v>
      </c>
      <c r="E1202" s="1" t="n">
        <v>46318</v>
      </c>
      <c r="F1202" t="inlineStr">
        <is>
          <t>JÄMTLANDS LÄN</t>
        </is>
      </c>
      <c r="G1202" t="inlineStr">
        <is>
          <t>STRÖMSUND</t>
        </is>
      </c>
      <c r="H1202" t="inlineStr">
        <is>
          <t>SCA</t>
        </is>
      </c>
      <c r="I1202" t="n">
        <v>2</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57336-2025</t>
        </is>
      </c>
      <c r="B1203" t="inlineStr">
        <is>
          <t>avverkningsanmälan</t>
        </is>
      </c>
      <c r="C1203" t="inlineStr">
        <is>
          <t>Avverkning för att bevara och utveckla /försöksver</t>
        </is>
      </c>
      <c r="D1203" s="1" t="n">
        <v>45980</v>
      </c>
      <c r="E1203" s="1" t="n">
        <v>46318</v>
      </c>
      <c r="F1203" t="inlineStr">
        <is>
          <t>JÄMTLANDS LÄN</t>
        </is>
      </c>
      <c r="G1203" t="inlineStr">
        <is>
          <t>STRÖMSUND</t>
        </is>
      </c>
      <c r="H1203" t="inlineStr">
        <is>
          <t>SCA</t>
        </is>
      </c>
      <c r="I1203" t="n">
        <v>1.9</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57335-2025</t>
        </is>
      </c>
      <c r="B1204" t="inlineStr">
        <is>
          <t>avverkningsanmälan</t>
        </is>
      </c>
      <c r="C1204" t="inlineStr">
        <is>
          <t>Avverkning för att bevara och utveckla /försöksver</t>
        </is>
      </c>
      <c r="D1204" s="1" t="n">
        <v>45980</v>
      </c>
      <c r="E1204" s="1" t="n">
        <v>46318</v>
      </c>
      <c r="F1204" t="inlineStr">
        <is>
          <t>JÄMTLANDS LÄN</t>
        </is>
      </c>
      <c r="G1204" t="inlineStr">
        <is>
          <t>STRÖMSUND</t>
        </is>
      </c>
      <c r="H1204" t="inlineStr">
        <is>
          <t>SCA</t>
        </is>
      </c>
      <c r="I1204" t="n">
        <v>1.1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57337-2025</t>
        </is>
      </c>
      <c r="B1205" t="inlineStr">
        <is>
          <t>avverkningsanmälan</t>
        </is>
      </c>
      <c r="C1205" t="inlineStr">
        <is>
          <t>Avverkning för att bevara och utveckla /försöksver</t>
        </is>
      </c>
      <c r="D1205" s="1" t="n">
        <v>45980</v>
      </c>
      <c r="E1205" s="1" t="n">
        <v>46318</v>
      </c>
      <c r="F1205" t="inlineStr">
        <is>
          <t>JÄMTLANDS LÄN</t>
        </is>
      </c>
      <c r="G1205" t="inlineStr">
        <is>
          <t>STRÖMSUND</t>
        </is>
      </c>
      <c r="H1205" t="inlineStr">
        <is>
          <t>SCA</t>
        </is>
      </c>
      <c r="I1205" t="n">
        <v>3.2</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57721-2025</t>
        </is>
      </c>
      <c r="B1206" t="inlineStr">
        <is>
          <t>avverkningsanmälan</t>
        </is>
      </c>
      <c r="C1206" t="inlineStr">
        <is>
          <t>Föryngringsavverkning</t>
        </is>
      </c>
      <c r="D1206" s="1" t="n">
        <v>45981</v>
      </c>
      <c r="E1206" s="1" t="n">
        <v>46318</v>
      </c>
      <c r="F1206" t="inlineStr">
        <is>
          <t>JÄMTLANDS LÄN</t>
        </is>
      </c>
      <c r="G1206" t="inlineStr">
        <is>
          <t>STRÖMSUND</t>
        </is>
      </c>
      <c r="I1206" t="n">
        <v>1.4</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57658-2025</t>
        </is>
      </c>
      <c r="B1207" t="inlineStr">
        <is>
          <t>avverkningsanmälan</t>
        </is>
      </c>
      <c r="C1207" t="inlineStr">
        <is>
          <t>Föryngringsavverkning</t>
        </is>
      </c>
      <c r="D1207" s="1" t="n">
        <v>45981</v>
      </c>
      <c r="E1207" s="1" t="n">
        <v>46318</v>
      </c>
      <c r="F1207" t="inlineStr">
        <is>
          <t>JÄMTLANDS LÄN</t>
        </is>
      </c>
      <c r="G1207" t="inlineStr">
        <is>
          <t>STRÖMSUND</t>
        </is>
      </c>
      <c r="I1207" t="n">
        <v>2.7</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57713-2025</t>
        </is>
      </c>
      <c r="B1208" t="inlineStr">
        <is>
          <t>avverkningsanmälan</t>
        </is>
      </c>
      <c r="C1208" t="inlineStr">
        <is>
          <t>Föryngringsavverkning</t>
        </is>
      </c>
      <c r="D1208" s="1" t="n">
        <v>45981</v>
      </c>
      <c r="E1208" s="1" t="n">
        <v>46318</v>
      </c>
      <c r="F1208" t="inlineStr">
        <is>
          <t>JÄMTLANDS LÄN</t>
        </is>
      </c>
      <c r="G1208" t="inlineStr">
        <is>
          <t>STRÖMSUND</t>
        </is>
      </c>
      <c r="I1208" t="n">
        <v>4.4</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57851-2025</t>
        </is>
      </c>
      <c r="B1209" t="inlineStr">
        <is>
          <t>avverkningsanmälan</t>
        </is>
      </c>
      <c r="C1209" t="inlineStr">
        <is>
          <t>Föryngringsavverkning</t>
        </is>
      </c>
      <c r="D1209" s="1" t="n">
        <v>45981</v>
      </c>
      <c r="E1209" s="1" t="n">
        <v>46318</v>
      </c>
      <c r="F1209" t="inlineStr">
        <is>
          <t>JÄMTLANDS LÄN</t>
        </is>
      </c>
      <c r="G1209" t="inlineStr">
        <is>
          <t>STRÖMSUND</t>
        </is>
      </c>
      <c r="H1209" t="inlineStr">
        <is>
          <t>SCA</t>
        </is>
      </c>
      <c r="I1209" t="n">
        <v>3.6</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21213-2026</t>
        </is>
      </c>
      <c r="B1210" t="inlineStr">
        <is>
          <t>avverkningsanmälan</t>
        </is>
      </c>
      <c r="C1210" t="inlineStr">
        <is>
          <t>Föryngringsavverkning</t>
        </is>
      </c>
      <c r="D1210" s="1" t="n">
        <v>46146</v>
      </c>
      <c r="E1210" s="1" t="n">
        <v>46318</v>
      </c>
      <c r="F1210" t="inlineStr">
        <is>
          <t>JÄMTLANDS LÄN</t>
        </is>
      </c>
      <c r="G1210" t="inlineStr">
        <is>
          <t>STRÖMSUND</t>
        </is>
      </c>
      <c r="H1210" t="inlineStr">
        <is>
          <t>SCA</t>
        </is>
      </c>
      <c r="I1210" t="n">
        <v>4.1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57717-2025</t>
        </is>
      </c>
      <c r="B1211" t="inlineStr">
        <is>
          <t>avverkningsanmälan</t>
        </is>
      </c>
      <c r="C1211" t="inlineStr">
        <is>
          <t>Föryngringsavverkning</t>
        </is>
      </c>
      <c r="D1211" s="1" t="n">
        <v>45981</v>
      </c>
      <c r="E1211" s="1" t="n">
        <v>46318</v>
      </c>
      <c r="F1211" t="inlineStr">
        <is>
          <t>JÄMTLANDS LÄN</t>
        </is>
      </c>
      <c r="G1211" t="inlineStr">
        <is>
          <t>STRÖMSUND</t>
        </is>
      </c>
      <c r="I1211" t="n">
        <v>4.1</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57498-2025</t>
        </is>
      </c>
      <c r="B1212" t="inlineStr">
        <is>
          <t>avverkningsanmälan</t>
        </is>
      </c>
      <c r="C1212" t="inlineStr">
        <is>
          <t>Föryngringsavverkning</t>
        </is>
      </c>
      <c r="D1212" s="1" t="n">
        <v>45980</v>
      </c>
      <c r="E1212" s="1" t="n">
        <v>46318</v>
      </c>
      <c r="F1212" t="inlineStr">
        <is>
          <t>JÄMTLANDS LÄN</t>
        </is>
      </c>
      <c r="G1212" t="inlineStr">
        <is>
          <t>STRÖMSUND</t>
        </is>
      </c>
      <c r="I1212" t="n">
        <v>3.7</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57853-2025</t>
        </is>
      </c>
      <c r="B1213" t="inlineStr">
        <is>
          <t>avverkningsanmälan</t>
        </is>
      </c>
      <c r="C1213" t="inlineStr">
        <is>
          <t>Föryngringsavverkning</t>
        </is>
      </c>
      <c r="D1213" s="1" t="n">
        <v>45981</v>
      </c>
      <c r="E1213" s="1" t="n">
        <v>46318</v>
      </c>
      <c r="F1213" t="inlineStr">
        <is>
          <t>JÄMTLANDS LÄN</t>
        </is>
      </c>
      <c r="G1213" t="inlineStr">
        <is>
          <t>STRÖMSUND</t>
        </is>
      </c>
      <c r="H1213" t="inlineStr">
        <is>
          <t>SCA</t>
        </is>
      </c>
      <c r="I1213" t="n">
        <v>19.1</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57714-2025</t>
        </is>
      </c>
      <c r="B1214" t="inlineStr">
        <is>
          <t>avverkningsanmälan</t>
        </is>
      </c>
      <c r="C1214" t="inlineStr">
        <is>
          <t>Föryngringsavverkning</t>
        </is>
      </c>
      <c r="D1214" s="1" t="n">
        <v>45981</v>
      </c>
      <c r="E1214" s="1" t="n">
        <v>46318</v>
      </c>
      <c r="F1214" t="inlineStr">
        <is>
          <t>JÄMTLANDS LÄN</t>
        </is>
      </c>
      <c r="G1214" t="inlineStr">
        <is>
          <t>STRÖMSUND</t>
        </is>
      </c>
      <c r="I1214" t="n">
        <v>1.6</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57720-2025</t>
        </is>
      </c>
      <c r="B1215" t="inlineStr">
        <is>
          <t>avverkningsanmälan</t>
        </is>
      </c>
      <c r="C1215" t="inlineStr">
        <is>
          <t>Föryngringsavverkning</t>
        </is>
      </c>
      <c r="D1215" s="1" t="n">
        <v>45981</v>
      </c>
      <c r="E1215" s="1" t="n">
        <v>46318</v>
      </c>
      <c r="F1215" t="inlineStr">
        <is>
          <t>JÄMTLANDS LÄN</t>
        </is>
      </c>
      <c r="G1215" t="inlineStr">
        <is>
          <t>STRÖMSUND</t>
        </is>
      </c>
      <c r="I1215" t="n">
        <v>2.1</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21182-2026</t>
        </is>
      </c>
      <c r="B1216" t="inlineStr">
        <is>
          <t>avverkningsanmälan</t>
        </is>
      </c>
      <c r="C1216" t="inlineStr">
        <is>
          <t>Föryngringsavverkning</t>
        </is>
      </c>
      <c r="D1216" s="1" t="n">
        <v>46146</v>
      </c>
      <c r="E1216" s="1" t="n">
        <v>46318</v>
      </c>
      <c r="F1216" t="inlineStr">
        <is>
          <t>JÄMTLANDS LÄN</t>
        </is>
      </c>
      <c r="G1216" t="inlineStr">
        <is>
          <t>STRÖMSUND</t>
        </is>
      </c>
      <c r="H1216" t="inlineStr">
        <is>
          <t>SCA</t>
        </is>
      </c>
      <c r="I1216" t="n">
        <v>6.3</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57981-2025</t>
        </is>
      </c>
      <c r="B1217" t="inlineStr">
        <is>
          <t>avverkningsanmälan</t>
        </is>
      </c>
      <c r="C1217" t="inlineStr">
        <is>
          <t>Föryngringsavverkning</t>
        </is>
      </c>
      <c r="D1217" s="1" t="n">
        <v>45982</v>
      </c>
      <c r="E1217" s="1" t="n">
        <v>46318</v>
      </c>
      <c r="F1217" t="inlineStr">
        <is>
          <t>JÄMTLANDS LÄN</t>
        </is>
      </c>
      <c r="G1217" t="inlineStr">
        <is>
          <t>STRÖMSUND</t>
        </is>
      </c>
      <c r="H1217" t="inlineStr">
        <is>
          <t>SCA</t>
        </is>
      </c>
      <c r="I1217" t="n">
        <v>7.1</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13684-2023</t>
        </is>
      </c>
      <c r="B1218" t="inlineStr">
        <is>
          <t>avverkningsanmälan</t>
        </is>
      </c>
      <c r="C1218" t="inlineStr">
        <is>
          <t>Föryngringsavverkning</t>
        </is>
      </c>
      <c r="D1218" s="1" t="n">
        <v>45006</v>
      </c>
      <c r="E1218" s="1" t="n">
        <v>46318</v>
      </c>
      <c r="F1218" t="inlineStr">
        <is>
          <t>JÄMTLANDS LÄN</t>
        </is>
      </c>
      <c r="G1218" t="inlineStr">
        <is>
          <t>STRÖMSUND</t>
        </is>
      </c>
      <c r="I1218" t="n">
        <v>18</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28405-2023</t>
        </is>
      </c>
      <c r="B1219" t="inlineStr">
        <is>
          <t>avverkningsanmälan</t>
        </is>
      </c>
      <c r="C1219" t="inlineStr">
        <is>
          <t>Föryngringsavverkning</t>
        </is>
      </c>
      <c r="D1219" s="1" t="n">
        <v>45100</v>
      </c>
      <c r="E1219" s="1" t="n">
        <v>46318</v>
      </c>
      <c r="F1219" t="inlineStr">
        <is>
          <t>JÄMTLANDS LÄN</t>
        </is>
      </c>
      <c r="G1219" t="inlineStr">
        <is>
          <t>STRÖMSUND</t>
        </is>
      </c>
      <c r="H1219" t="inlineStr">
        <is>
          <t>SCA</t>
        </is>
      </c>
      <c r="I1219" t="n">
        <v>1.5</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21481-2026</t>
        </is>
      </c>
      <c r="B1220" t="inlineStr">
        <is>
          <t>avverkningsanmälan</t>
        </is>
      </c>
      <c r="C1220" t="inlineStr">
        <is>
          <t>Föryngringsavverkning</t>
        </is>
      </c>
      <c r="D1220" s="1" t="n">
        <v>46148</v>
      </c>
      <c r="E1220" s="1" t="n">
        <v>46318</v>
      </c>
      <c r="F1220" t="inlineStr">
        <is>
          <t>JÄMTLANDS LÄN</t>
        </is>
      </c>
      <c r="G1220" t="inlineStr">
        <is>
          <t>STRÖMSUND</t>
        </is>
      </c>
      <c r="H1220" t="inlineStr">
        <is>
          <t>SCA</t>
        </is>
      </c>
      <c r="I1220" t="n">
        <v>1.4</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21570-2026</t>
        </is>
      </c>
      <c r="B1221" t="inlineStr">
        <is>
          <t>avverkningsanmälan</t>
        </is>
      </c>
      <c r="C1221" t="inlineStr">
        <is>
          <t>Föryngringsavverkning</t>
        </is>
      </c>
      <c r="D1221" s="1" t="n">
        <v>46148</v>
      </c>
      <c r="E1221" s="1" t="n">
        <v>46318</v>
      </c>
      <c r="F1221" t="inlineStr">
        <is>
          <t>JÄMTLANDS LÄN</t>
        </is>
      </c>
      <c r="G1221" t="inlineStr">
        <is>
          <t>STRÖMSUND</t>
        </is>
      </c>
      <c r="H1221" t="inlineStr">
        <is>
          <t>SCA</t>
        </is>
      </c>
      <c r="I1221" t="n">
        <v>12</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58336-2025</t>
        </is>
      </c>
      <c r="B1222" t="inlineStr">
        <is>
          <t>avverkningsanmälan</t>
        </is>
      </c>
      <c r="C1222" t="inlineStr">
        <is>
          <t>Föryngringsavverkning</t>
        </is>
      </c>
      <c r="D1222" s="1" t="n">
        <v>45982</v>
      </c>
      <c r="E1222" s="1" t="n">
        <v>46318</v>
      </c>
      <c r="F1222" t="inlineStr">
        <is>
          <t>JÄMTLANDS LÄN</t>
        </is>
      </c>
      <c r="G1222" t="inlineStr">
        <is>
          <t>STRÖMSUND</t>
        </is>
      </c>
      <c r="I1222" t="n">
        <v>3.2</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58345-2025</t>
        </is>
      </c>
      <c r="B1223" t="inlineStr">
        <is>
          <t>avverkningsanmälan</t>
        </is>
      </c>
      <c r="C1223" t="inlineStr">
        <is>
          <t>Föryngringsavverkning</t>
        </is>
      </c>
      <c r="D1223" s="1" t="n">
        <v>45982</v>
      </c>
      <c r="E1223" s="1" t="n">
        <v>46318</v>
      </c>
      <c r="F1223" t="inlineStr">
        <is>
          <t>JÄMTLANDS LÄN</t>
        </is>
      </c>
      <c r="G1223" t="inlineStr">
        <is>
          <t>STRÖMSUND</t>
        </is>
      </c>
      <c r="I1223" t="n">
        <v>10.2</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58160-2025</t>
        </is>
      </c>
      <c r="B1224" t="inlineStr">
        <is>
          <t>avverkningsanmälan</t>
        </is>
      </c>
      <c r="C1224" t="inlineStr">
        <is>
          <t>Föryngringsavverkning</t>
        </is>
      </c>
      <c r="D1224" s="1" t="n">
        <v>45982</v>
      </c>
      <c r="E1224" s="1" t="n">
        <v>46318</v>
      </c>
      <c r="F1224" t="inlineStr">
        <is>
          <t>JÄMTLANDS LÄN</t>
        </is>
      </c>
      <c r="G1224" t="inlineStr">
        <is>
          <t>STRÖMSUND</t>
        </is>
      </c>
      <c r="I1224" t="n">
        <v>20.8</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58306-2025</t>
        </is>
      </c>
      <c r="B1225" t="inlineStr">
        <is>
          <t>avverkningsanmälan</t>
        </is>
      </c>
      <c r="C1225" t="inlineStr">
        <is>
          <t>Föryngringsavverkning</t>
        </is>
      </c>
      <c r="D1225" s="1" t="n">
        <v>45985</v>
      </c>
      <c r="E1225" s="1" t="n">
        <v>46318</v>
      </c>
      <c r="F1225" t="inlineStr">
        <is>
          <t>JÄMTLANDS LÄN</t>
        </is>
      </c>
      <c r="G1225" t="inlineStr">
        <is>
          <t>STRÖMSUND</t>
        </is>
      </c>
      <c r="I1225" t="n">
        <v>7</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55219-2024</t>
        </is>
      </c>
      <c r="B1226" t="inlineStr">
        <is>
          <t>avverkningsanmälan</t>
        </is>
      </c>
      <c r="C1226" t="inlineStr">
        <is>
          <t>Avverkning för att bevara och utveckla /försöksver</t>
        </is>
      </c>
      <c r="D1226" s="1" t="n">
        <v>45621</v>
      </c>
      <c r="E1226" s="1" t="n">
        <v>46318</v>
      </c>
      <c r="F1226" t="inlineStr">
        <is>
          <t>JÄMTLANDS LÄN</t>
        </is>
      </c>
      <c r="G1226" t="inlineStr">
        <is>
          <t>STRÖMSUND</t>
        </is>
      </c>
      <c r="I1226" t="n">
        <v>3.7</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21705-2026</t>
        </is>
      </c>
      <c r="B1227" t="inlineStr">
        <is>
          <t>avverkningsanmälan</t>
        </is>
      </c>
      <c r="C1227" t="inlineStr">
        <is>
          <t>Avverkning för annat ändamål</t>
        </is>
      </c>
      <c r="D1227" s="1" t="n">
        <v>46149</v>
      </c>
      <c r="E1227" s="1" t="n">
        <v>46318</v>
      </c>
      <c r="F1227" t="inlineStr">
        <is>
          <t>JÄMTLANDS LÄN</t>
        </is>
      </c>
      <c r="G1227" t="inlineStr">
        <is>
          <t>STRÖMSUND</t>
        </is>
      </c>
      <c r="I1227" t="n">
        <v>1.3</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3027-2023</t>
        </is>
      </c>
      <c r="B1228" t="inlineStr">
        <is>
          <t>avverkningsanmälan</t>
        </is>
      </c>
      <c r="C1228" t="inlineStr">
        <is>
          <t>Föryngringsavverkning</t>
        </is>
      </c>
      <c r="D1228" s="1" t="n">
        <v>44945</v>
      </c>
      <c r="E1228" s="1" t="n">
        <v>46318</v>
      </c>
      <c r="F1228" t="inlineStr">
        <is>
          <t>JÄMTLANDS LÄN</t>
        </is>
      </c>
      <c r="G1228" t="inlineStr">
        <is>
          <t>STRÖMSUND</t>
        </is>
      </c>
      <c r="H1228" t="inlineStr">
        <is>
          <t>SCA</t>
        </is>
      </c>
      <c r="I1228" t="n">
        <v>1.2</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39979-2024</t>
        </is>
      </c>
      <c r="B1229" t="inlineStr">
        <is>
          <t>avverkningsanmälan</t>
        </is>
      </c>
      <c r="C1229" t="inlineStr">
        <is>
          <t>Föryngringsavverkning</t>
        </is>
      </c>
      <c r="D1229" s="1" t="n">
        <v>45553</v>
      </c>
      <c r="E1229" s="1" t="n">
        <v>46318</v>
      </c>
      <c r="F1229" t="inlineStr">
        <is>
          <t>JÄMTLANDS LÄN</t>
        </is>
      </c>
      <c r="G1229" t="inlineStr">
        <is>
          <t>STRÖMSUND</t>
        </is>
      </c>
      <c r="H1229" t="inlineStr">
        <is>
          <t>Kyrkan</t>
        </is>
      </c>
      <c r="I1229" t="n">
        <v>2.9</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54478-2023</t>
        </is>
      </c>
      <c r="B1230" t="inlineStr">
        <is>
          <t>avverkningsanmälan</t>
        </is>
      </c>
      <c r="C1230" t="inlineStr">
        <is>
          <t>Avverkning för annat ändamål</t>
        </is>
      </c>
      <c r="D1230" s="1" t="n">
        <v>45233</v>
      </c>
      <c r="E1230" s="1" t="n">
        <v>46318</v>
      </c>
      <c r="F1230" t="inlineStr">
        <is>
          <t>JÄMTLANDS LÄN</t>
        </is>
      </c>
      <c r="G1230" t="inlineStr">
        <is>
          <t>STRÖMSUND</t>
        </is>
      </c>
      <c r="H1230" t="inlineStr">
        <is>
          <t>Holmen skog AB</t>
        </is>
      </c>
      <c r="I1230" t="n">
        <v>0.3</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21679-2026</t>
        </is>
      </c>
      <c r="B1231" t="inlineStr">
        <is>
          <t>avverkningsanmälan</t>
        </is>
      </c>
      <c r="C1231" t="inlineStr">
        <is>
          <t>Föryngringsavverkning</t>
        </is>
      </c>
      <c r="D1231" s="1" t="n">
        <v>46149</v>
      </c>
      <c r="E1231" s="1" t="n">
        <v>46318</v>
      </c>
      <c r="F1231" t="inlineStr">
        <is>
          <t>JÄMTLANDS LÄN</t>
        </is>
      </c>
      <c r="G1231" t="inlineStr">
        <is>
          <t>STRÖMSUND</t>
        </is>
      </c>
      <c r="H1231" t="inlineStr">
        <is>
          <t>SCA</t>
        </is>
      </c>
      <c r="I1231" t="n">
        <v>1.8</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58387-2025</t>
        </is>
      </c>
      <c r="B1232" t="inlineStr">
        <is>
          <t>avverkningsanmälan</t>
        </is>
      </c>
      <c r="C1232" t="inlineStr">
        <is>
          <t>Föryngringsavverkning</t>
        </is>
      </c>
      <c r="D1232" s="1" t="n">
        <v>45985</v>
      </c>
      <c r="E1232" s="1" t="n">
        <v>46318</v>
      </c>
      <c r="F1232" t="inlineStr">
        <is>
          <t>JÄMTLANDS LÄN</t>
        </is>
      </c>
      <c r="G1232" t="inlineStr">
        <is>
          <t>STRÖMSUND</t>
        </is>
      </c>
      <c r="I1232" t="n">
        <v>5.8</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58269-2025</t>
        </is>
      </c>
      <c r="B1233" t="inlineStr">
        <is>
          <t>avverkningsanmälan</t>
        </is>
      </c>
      <c r="C1233" t="inlineStr">
        <is>
          <t>Föryngringsavverkning</t>
        </is>
      </c>
      <c r="D1233" s="1" t="n">
        <v>45985</v>
      </c>
      <c r="E1233" s="1" t="n">
        <v>46318</v>
      </c>
      <c r="F1233" t="inlineStr">
        <is>
          <t>JÄMTLANDS LÄN</t>
        </is>
      </c>
      <c r="G1233" t="inlineStr">
        <is>
          <t>STRÖMSUND</t>
        </is>
      </c>
      <c r="I1233" t="n">
        <v>1</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58974-2025</t>
        </is>
      </c>
      <c r="B1234" t="inlineStr">
        <is>
          <t>avverkningsanmälan</t>
        </is>
      </c>
      <c r="C1234" t="inlineStr">
        <is>
          <t>Föryngringsavverkning</t>
        </is>
      </c>
      <c r="D1234" s="1" t="n">
        <v>45987</v>
      </c>
      <c r="E1234" s="1" t="n">
        <v>46318</v>
      </c>
      <c r="F1234" t="inlineStr">
        <is>
          <t>JÄMTLANDS LÄN</t>
        </is>
      </c>
      <c r="G1234" t="inlineStr">
        <is>
          <t>STRÖMSUND</t>
        </is>
      </c>
      <c r="H1234" t="inlineStr">
        <is>
          <t>SCA</t>
        </is>
      </c>
      <c r="I1234" t="n">
        <v>1.8</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58720-2025</t>
        </is>
      </c>
      <c r="B1235" t="inlineStr">
        <is>
          <t>avverkningsanmälan</t>
        </is>
      </c>
      <c r="C1235" t="inlineStr">
        <is>
          <t>Föryngringsavverkning</t>
        </is>
      </c>
      <c r="D1235" s="1" t="n">
        <v>45986</v>
      </c>
      <c r="E1235" s="1" t="n">
        <v>46318</v>
      </c>
      <c r="F1235" t="inlineStr">
        <is>
          <t>JÄMTLANDS LÄN</t>
        </is>
      </c>
      <c r="G1235" t="inlineStr">
        <is>
          <t>STRÖMSUND</t>
        </is>
      </c>
      <c r="H1235" t="inlineStr">
        <is>
          <t>SCA</t>
        </is>
      </c>
      <c r="I1235" t="n">
        <v>3.7</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58955-2025</t>
        </is>
      </c>
      <c r="B1236" t="inlineStr">
        <is>
          <t>avverkningsanmälan</t>
        </is>
      </c>
      <c r="C1236" t="inlineStr">
        <is>
          <t>Föryngringsavverkning</t>
        </is>
      </c>
      <c r="D1236" s="1" t="n">
        <v>45987</v>
      </c>
      <c r="E1236" s="1" t="n">
        <v>46318</v>
      </c>
      <c r="F1236" t="inlineStr">
        <is>
          <t>JÄMTLANDS LÄN</t>
        </is>
      </c>
      <c r="G1236" t="inlineStr">
        <is>
          <t>STRÖMSUND</t>
        </is>
      </c>
      <c r="H1236" t="inlineStr">
        <is>
          <t>SCA</t>
        </is>
      </c>
      <c r="I1236" t="n">
        <v>3.3</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58959-2025</t>
        </is>
      </c>
      <c r="B1237" t="inlineStr">
        <is>
          <t>avverkningsanmälan</t>
        </is>
      </c>
      <c r="C1237" t="inlineStr">
        <is>
          <t>Föryngringsavverkning</t>
        </is>
      </c>
      <c r="D1237" s="1" t="n">
        <v>45987</v>
      </c>
      <c r="E1237" s="1" t="n">
        <v>46318</v>
      </c>
      <c r="F1237" t="inlineStr">
        <is>
          <t>JÄMTLANDS LÄN</t>
        </is>
      </c>
      <c r="G1237" t="inlineStr">
        <is>
          <t>STRÖMSUND</t>
        </is>
      </c>
      <c r="H1237" t="inlineStr">
        <is>
          <t>SCA</t>
        </is>
      </c>
      <c r="I1237" t="n">
        <v>3.1</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58958-2025</t>
        </is>
      </c>
      <c r="B1238" t="inlineStr">
        <is>
          <t>avverkningsanmälan</t>
        </is>
      </c>
      <c r="C1238" t="inlineStr">
        <is>
          <t>Föryngringsavverkning</t>
        </is>
      </c>
      <c r="D1238" s="1" t="n">
        <v>45987</v>
      </c>
      <c r="E1238" s="1" t="n">
        <v>46318</v>
      </c>
      <c r="F1238" t="inlineStr">
        <is>
          <t>JÄMTLANDS LÄN</t>
        </is>
      </c>
      <c r="G1238" t="inlineStr">
        <is>
          <t>STRÖMSUND</t>
        </is>
      </c>
      <c r="H1238" t="inlineStr">
        <is>
          <t>SCA</t>
        </is>
      </c>
      <c r="I1238" t="n">
        <v>2.3</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12866-2024</t>
        </is>
      </c>
      <c r="B1239" t="inlineStr">
        <is>
          <t>avverkningsanmälan</t>
        </is>
      </c>
      <c r="C1239" t="inlineStr">
        <is>
          <t>Föryngringsavverkning</t>
        </is>
      </c>
      <c r="D1239" s="1" t="n">
        <v>45384</v>
      </c>
      <c r="E1239" s="1" t="n">
        <v>46318</v>
      </c>
      <c r="F1239" t="inlineStr">
        <is>
          <t>JÄMTLANDS LÄN</t>
        </is>
      </c>
      <c r="G1239" t="inlineStr">
        <is>
          <t>STRÖMSUND</t>
        </is>
      </c>
      <c r="H1239" t="inlineStr">
        <is>
          <t>SCA</t>
        </is>
      </c>
      <c r="I1239" t="n">
        <v>6.8</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58962-2025</t>
        </is>
      </c>
      <c r="B1240" t="inlineStr">
        <is>
          <t>avverkningsanmälan</t>
        </is>
      </c>
      <c r="C1240" t="inlineStr">
        <is>
          <t>Föryngringsavverkning</t>
        </is>
      </c>
      <c r="D1240" s="1" t="n">
        <v>45987</v>
      </c>
      <c r="E1240" s="1" t="n">
        <v>46318</v>
      </c>
      <c r="F1240" t="inlineStr">
        <is>
          <t>JÄMTLANDS LÄN</t>
        </is>
      </c>
      <c r="G1240" t="inlineStr">
        <is>
          <t>STRÖMSUND</t>
        </is>
      </c>
      <c r="H1240" t="inlineStr">
        <is>
          <t>SCA</t>
        </is>
      </c>
      <c r="I1240" t="n">
        <v>5</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21993-2026</t>
        </is>
      </c>
      <c r="B1241" t="inlineStr">
        <is>
          <t>avverkningsanmälan</t>
        </is>
      </c>
      <c r="C1241" t="inlineStr">
        <is>
          <t>Föryngringsavverkning</t>
        </is>
      </c>
      <c r="D1241" s="1" t="n">
        <v>46153</v>
      </c>
      <c r="E1241" s="1" t="n">
        <v>46318</v>
      </c>
      <c r="F1241" t="inlineStr">
        <is>
          <t>JÄMTLANDS LÄN</t>
        </is>
      </c>
      <c r="G1241" t="inlineStr">
        <is>
          <t>STRÖMSUND</t>
        </is>
      </c>
      <c r="H1241" t="inlineStr">
        <is>
          <t>SCA</t>
        </is>
      </c>
      <c r="I1241" t="n">
        <v>5.9</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55177-2023</t>
        </is>
      </c>
      <c r="B1242" t="inlineStr">
        <is>
          <t>avverkningsanmälan</t>
        </is>
      </c>
      <c r="C1242" t="inlineStr">
        <is>
          <t>Avverkning för annat ändamål</t>
        </is>
      </c>
      <c r="D1242" s="1" t="n">
        <v>45237</v>
      </c>
      <c r="E1242" s="1" t="n">
        <v>46318</v>
      </c>
      <c r="F1242" t="inlineStr">
        <is>
          <t>JÄMTLANDS LÄN</t>
        </is>
      </c>
      <c r="G1242" t="inlineStr">
        <is>
          <t>STRÖMSUND</t>
        </is>
      </c>
      <c r="I1242" t="n">
        <v>0.7</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22046-2026</t>
        </is>
      </c>
      <c r="B1243" t="inlineStr">
        <is>
          <t>avverkningsanmälan</t>
        </is>
      </c>
      <c r="C1243" t="inlineStr">
        <is>
          <t>Avverkning för att bevara och utveckla /försöksver</t>
        </is>
      </c>
      <c r="D1243" s="1" t="n">
        <v>46153</v>
      </c>
      <c r="E1243" s="1" t="n">
        <v>46318</v>
      </c>
      <c r="F1243" t="inlineStr">
        <is>
          <t>JÄMTLANDS LÄN</t>
        </is>
      </c>
      <c r="G1243" t="inlineStr">
        <is>
          <t>STRÖMSUND</t>
        </is>
      </c>
      <c r="H1243" t="inlineStr">
        <is>
          <t>SCA</t>
        </is>
      </c>
      <c r="I1243" t="n">
        <v>3.5</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58821-2025</t>
        </is>
      </c>
      <c r="B1244" t="inlineStr">
        <is>
          <t>avverkningsanmälan</t>
        </is>
      </c>
      <c r="C1244" t="inlineStr">
        <is>
          <t>Föryngringsavverkning</t>
        </is>
      </c>
      <c r="D1244" s="1" t="n">
        <v>45987</v>
      </c>
      <c r="E1244" s="1" t="n">
        <v>46318</v>
      </c>
      <c r="F1244" t="inlineStr">
        <is>
          <t>JÄMTLANDS LÄN</t>
        </is>
      </c>
      <c r="G1244" t="inlineStr">
        <is>
          <t>STRÖMSUND</t>
        </is>
      </c>
      <c r="H1244" t="inlineStr">
        <is>
          <t>SCA</t>
        </is>
      </c>
      <c r="I1244" t="n">
        <v>1.9</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58857-2025</t>
        </is>
      </c>
      <c r="B1245" t="inlineStr">
        <is>
          <t>avverkningsanmälan</t>
        </is>
      </c>
      <c r="C1245" t="inlineStr">
        <is>
          <t>Föryngringsavverkning</t>
        </is>
      </c>
      <c r="D1245" s="1" t="n">
        <v>45987</v>
      </c>
      <c r="E1245" s="1" t="n">
        <v>46318</v>
      </c>
      <c r="F1245" t="inlineStr">
        <is>
          <t>JÄMTLANDS LÄN</t>
        </is>
      </c>
      <c r="G1245" t="inlineStr">
        <is>
          <t>STRÖMSUND</t>
        </is>
      </c>
      <c r="I1245" t="n">
        <v>6.7</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59274-2025</t>
        </is>
      </c>
      <c r="B1246" t="inlineStr">
        <is>
          <t>avverkningsanmälan</t>
        </is>
      </c>
      <c r="C1246" t="inlineStr">
        <is>
          <t>Föryngringsavverkning</t>
        </is>
      </c>
      <c r="D1246" s="1" t="n">
        <v>45988</v>
      </c>
      <c r="E1246" s="1" t="n">
        <v>46318</v>
      </c>
      <c r="F1246" t="inlineStr">
        <is>
          <t>JÄMTLANDS LÄN</t>
        </is>
      </c>
      <c r="G1246" t="inlineStr">
        <is>
          <t>STRÖMSUND</t>
        </is>
      </c>
      <c r="H1246" t="inlineStr">
        <is>
          <t>SCA</t>
        </is>
      </c>
      <c r="I1246" t="n">
        <v>4.4</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59358-2025</t>
        </is>
      </c>
      <c r="B1247" t="inlineStr">
        <is>
          <t>avverkningsanmälan</t>
        </is>
      </c>
      <c r="C1247" t="inlineStr">
        <is>
          <t>Avverkning för att bevara och utveckla /försöksver</t>
        </is>
      </c>
      <c r="D1247" s="1" t="n">
        <v>45989</v>
      </c>
      <c r="E1247" s="1" t="n">
        <v>46318</v>
      </c>
      <c r="F1247" t="inlineStr">
        <is>
          <t>JÄMTLANDS LÄN</t>
        </is>
      </c>
      <c r="G1247" t="inlineStr">
        <is>
          <t>STRÖMSUND</t>
        </is>
      </c>
      <c r="H1247" t="inlineStr">
        <is>
          <t>SCA</t>
        </is>
      </c>
      <c r="I1247" t="n">
        <v>2.7</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36914-2024</t>
        </is>
      </c>
      <c r="B1248" t="inlineStr">
        <is>
          <t>avverkningsanmälan</t>
        </is>
      </c>
      <c r="C1248" t="inlineStr">
        <is>
          <t>Föryngringsavverkning</t>
        </is>
      </c>
      <c r="D1248" s="1" t="n">
        <v>45538</v>
      </c>
      <c r="E1248" s="1" t="n">
        <v>46318</v>
      </c>
      <c r="F1248" t="inlineStr">
        <is>
          <t>JÄMTLANDS LÄN</t>
        </is>
      </c>
      <c r="G1248" t="inlineStr">
        <is>
          <t>STRÖMSUND</t>
        </is>
      </c>
      <c r="H1248" t="inlineStr">
        <is>
          <t>SCA</t>
        </is>
      </c>
      <c r="I1248" t="n">
        <v>3.4</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21915-2026</t>
        </is>
      </c>
      <c r="B1249" t="inlineStr">
        <is>
          <t>avverkningsanmälan</t>
        </is>
      </c>
      <c r="C1249" t="inlineStr">
        <is>
          <t>Föryngringsavverkning</t>
        </is>
      </c>
      <c r="D1249" s="1" t="n">
        <v>46150</v>
      </c>
      <c r="E1249" s="1" t="n">
        <v>46318</v>
      </c>
      <c r="F1249" t="inlineStr">
        <is>
          <t>JÄMTLANDS LÄN</t>
        </is>
      </c>
      <c r="G1249" t="inlineStr">
        <is>
          <t>STRÖMSUND</t>
        </is>
      </c>
      <c r="H1249" t="inlineStr">
        <is>
          <t>SCA</t>
        </is>
      </c>
      <c r="I1249" t="n">
        <v>1.2</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12042-2023</t>
        </is>
      </c>
      <c r="B1250" t="inlineStr">
        <is>
          <t>avverkningsanmälan</t>
        </is>
      </c>
      <c r="C1250" t="inlineStr">
        <is>
          <t>Föryngringsavverkning</t>
        </is>
      </c>
      <c r="D1250" s="1" t="n">
        <v>44995</v>
      </c>
      <c r="E1250" s="1" t="n">
        <v>46318</v>
      </c>
      <c r="F1250" t="inlineStr">
        <is>
          <t>JÄMTLANDS LÄN</t>
        </is>
      </c>
      <c r="G1250" t="inlineStr">
        <is>
          <t>STRÖMSUND</t>
        </is>
      </c>
      <c r="H1250" t="inlineStr">
        <is>
          <t>SCA</t>
        </is>
      </c>
      <c r="I1250" t="n">
        <v>1</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59258-2025</t>
        </is>
      </c>
      <c r="B1251" t="inlineStr">
        <is>
          <t>avverkningsanmälan</t>
        </is>
      </c>
      <c r="C1251" t="inlineStr">
        <is>
          <t>Föryngringsavverkning</t>
        </is>
      </c>
      <c r="D1251" s="1" t="n">
        <v>45988</v>
      </c>
      <c r="E1251" s="1" t="n">
        <v>46318</v>
      </c>
      <c r="F1251" t="inlineStr">
        <is>
          <t>JÄMTLANDS LÄN</t>
        </is>
      </c>
      <c r="G1251" t="inlineStr">
        <is>
          <t>STRÖMSUND</t>
        </is>
      </c>
      <c r="H1251" t="inlineStr">
        <is>
          <t>SCA</t>
        </is>
      </c>
      <c r="I1251" t="n">
        <v>3.6</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15207-2023</t>
        </is>
      </c>
      <c r="B1252" t="inlineStr">
        <is>
          <t>avverkningsanmälan</t>
        </is>
      </c>
      <c r="C1252" t="inlineStr">
        <is>
          <t>Avverkning för att bevara och utveckla /försöksver</t>
        </is>
      </c>
      <c r="D1252" s="1" t="n">
        <v>45018</v>
      </c>
      <c r="E1252" s="1" t="n">
        <v>46318</v>
      </c>
      <c r="F1252" t="inlineStr">
        <is>
          <t>JÄMTLANDS LÄN</t>
        </is>
      </c>
      <c r="G1252" t="inlineStr">
        <is>
          <t>STRÖMSUND</t>
        </is>
      </c>
      <c r="I1252" t="n">
        <v>1.8</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59730-2025</t>
        </is>
      </c>
      <c r="B1253" t="inlineStr">
        <is>
          <t>avverkningsanmälan</t>
        </is>
      </c>
      <c r="C1253" t="inlineStr">
        <is>
          <t>Föryngringsavverkning</t>
        </is>
      </c>
      <c r="D1253" s="1" t="n">
        <v>45992</v>
      </c>
      <c r="E1253" s="1" t="n">
        <v>46318</v>
      </c>
      <c r="F1253" t="inlineStr">
        <is>
          <t>JÄMTLANDS LÄN</t>
        </is>
      </c>
      <c r="G1253" t="inlineStr">
        <is>
          <t>STRÖMSUND</t>
        </is>
      </c>
      <c r="I1253" t="n">
        <v>6.7</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5451-2024</t>
        </is>
      </c>
      <c r="B1254" t="inlineStr">
        <is>
          <t>avverkningsanmälan</t>
        </is>
      </c>
      <c r="C1254" t="inlineStr">
        <is>
          <t>Föryngringsavverkning</t>
        </is>
      </c>
      <c r="D1254" s="1" t="n">
        <v>45331</v>
      </c>
      <c r="E1254" s="1" t="n">
        <v>46318</v>
      </c>
      <c r="F1254" t="inlineStr">
        <is>
          <t>JÄMTLANDS LÄN</t>
        </is>
      </c>
      <c r="G1254" t="inlineStr">
        <is>
          <t>STRÖMSUND</t>
        </is>
      </c>
      <c r="H1254" t="inlineStr">
        <is>
          <t>SCA</t>
        </is>
      </c>
      <c r="I1254" t="n">
        <v>13.5</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59741-2025</t>
        </is>
      </c>
      <c r="B1255" t="inlineStr">
        <is>
          <t>avverkningsanmälan</t>
        </is>
      </c>
      <c r="C1255" t="inlineStr">
        <is>
          <t>Föryngringsavverkning</t>
        </is>
      </c>
      <c r="D1255" s="1" t="n">
        <v>45992</v>
      </c>
      <c r="E1255" s="1" t="n">
        <v>46318</v>
      </c>
      <c r="F1255" t="inlineStr">
        <is>
          <t>JÄMTLANDS LÄN</t>
        </is>
      </c>
      <c r="G1255" t="inlineStr">
        <is>
          <t>STRÖMSUND</t>
        </is>
      </c>
      <c r="I1255" t="n">
        <v>3.5</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59899-2025</t>
        </is>
      </c>
      <c r="B1256" t="inlineStr">
        <is>
          <t>avverkningsanmälan</t>
        </is>
      </c>
      <c r="C1256" t="inlineStr">
        <is>
          <t>Föryngringsavverkning</t>
        </is>
      </c>
      <c r="D1256" s="1" t="n">
        <v>45993</v>
      </c>
      <c r="E1256" s="1" t="n">
        <v>46318</v>
      </c>
      <c r="F1256" t="inlineStr">
        <is>
          <t>JÄMTLANDS LÄN</t>
        </is>
      </c>
      <c r="G1256" t="inlineStr">
        <is>
          <t>STRÖMSUND</t>
        </is>
      </c>
      <c r="H1256" t="inlineStr">
        <is>
          <t>SCA</t>
        </is>
      </c>
      <c r="I1256" t="n">
        <v>4.5</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22546-2026</t>
        </is>
      </c>
      <c r="B1257" t="inlineStr">
        <is>
          <t>avverkningsanmälan</t>
        </is>
      </c>
      <c r="C1257" t="inlineStr">
        <is>
          <t>Föryngringsavverkning</t>
        </is>
      </c>
      <c r="D1257" s="1" t="n">
        <v>46155</v>
      </c>
      <c r="E1257" s="1" t="n">
        <v>46318</v>
      </c>
      <c r="F1257" t="inlineStr">
        <is>
          <t>JÄMTLANDS LÄN</t>
        </is>
      </c>
      <c r="G1257" t="inlineStr">
        <is>
          <t>STRÖMSUND</t>
        </is>
      </c>
      <c r="H1257" t="inlineStr">
        <is>
          <t>SCA</t>
        </is>
      </c>
      <c r="I1257" t="n">
        <v>2.5</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59716-2025</t>
        </is>
      </c>
      <c r="B1258" t="inlineStr">
        <is>
          <t>avverkningsanmälan</t>
        </is>
      </c>
      <c r="C1258" t="inlineStr">
        <is>
          <t>Föryngringsavverkning</t>
        </is>
      </c>
      <c r="D1258" s="1" t="n">
        <v>45992</v>
      </c>
      <c r="E1258" s="1" t="n">
        <v>46318</v>
      </c>
      <c r="F1258" t="inlineStr">
        <is>
          <t>JÄMTLANDS LÄN</t>
        </is>
      </c>
      <c r="G1258" t="inlineStr">
        <is>
          <t>STRÖMSUND</t>
        </is>
      </c>
      <c r="I1258" t="n">
        <v>5.2</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59540-2025</t>
        </is>
      </c>
      <c r="B1259" t="inlineStr">
        <is>
          <t>avverkningsanmälan</t>
        </is>
      </c>
      <c r="C1259" t="inlineStr">
        <is>
          <t>Föryngringsavverkning</t>
        </is>
      </c>
      <c r="D1259" s="1" t="n">
        <v>45990</v>
      </c>
      <c r="E1259" s="1" t="n">
        <v>46318</v>
      </c>
      <c r="F1259" t="inlineStr">
        <is>
          <t>JÄMTLANDS LÄN</t>
        </is>
      </c>
      <c r="G1259" t="inlineStr">
        <is>
          <t>STRÖMSUND</t>
        </is>
      </c>
      <c r="H1259" t="inlineStr">
        <is>
          <t>SCA</t>
        </is>
      </c>
      <c r="I1259" t="n">
        <v>6.8</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51498-2024</t>
        </is>
      </c>
      <c r="B1260" t="inlineStr">
        <is>
          <t>avverkningsanmälan</t>
        </is>
      </c>
      <c r="C1260" t="inlineStr">
        <is>
          <t>Föryngringsavverkning</t>
        </is>
      </c>
      <c r="D1260" s="1" t="n">
        <v>45604</v>
      </c>
      <c r="E1260" s="1" t="n">
        <v>46318</v>
      </c>
      <c r="F1260" t="inlineStr">
        <is>
          <t>JÄMTLANDS LÄN</t>
        </is>
      </c>
      <c r="G1260" t="inlineStr">
        <is>
          <t>STRÖMSUND</t>
        </is>
      </c>
      <c r="H1260" t="inlineStr">
        <is>
          <t>Kommuner</t>
        </is>
      </c>
      <c r="I1260" t="n">
        <v>1.8</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19674-2025</t>
        </is>
      </c>
      <c r="B1261" t="inlineStr">
        <is>
          <t>avverkningsanmälan</t>
        </is>
      </c>
      <c r="C1261" t="inlineStr">
        <is>
          <t>Föryngringsavverkning</t>
        </is>
      </c>
      <c r="D1261" s="1" t="n">
        <v>45770</v>
      </c>
      <c r="E1261" s="1" t="n">
        <v>46318</v>
      </c>
      <c r="F1261" t="inlineStr">
        <is>
          <t>JÄMTLANDS LÄN</t>
        </is>
      </c>
      <c r="G1261" t="inlineStr">
        <is>
          <t>STRÖMSUND</t>
        </is>
      </c>
      <c r="I1261" t="n">
        <v>1.1</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60026-2025</t>
        </is>
      </c>
      <c r="B1262" t="inlineStr">
        <is>
          <t>avverkningsanmälan</t>
        </is>
      </c>
      <c r="C1262" t="inlineStr">
        <is>
          <t>Föryngringsavverkning</t>
        </is>
      </c>
      <c r="D1262" s="1" t="n">
        <v>45993</v>
      </c>
      <c r="E1262" s="1" t="n">
        <v>46318</v>
      </c>
      <c r="F1262" t="inlineStr">
        <is>
          <t>JÄMTLANDS LÄN</t>
        </is>
      </c>
      <c r="G1262" t="inlineStr">
        <is>
          <t>STRÖMSUND</t>
        </is>
      </c>
      <c r="H1262" t="inlineStr">
        <is>
          <t>SCA</t>
        </is>
      </c>
      <c r="I1262" t="n">
        <v>3.7</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22649-2026</t>
        </is>
      </c>
      <c r="B1263" t="inlineStr">
        <is>
          <t>avverkningsanmälan</t>
        </is>
      </c>
      <c r="C1263" t="inlineStr">
        <is>
          <t>Avverkning för annat ändamål</t>
        </is>
      </c>
      <c r="D1263" s="1" t="n">
        <v>46155</v>
      </c>
      <c r="E1263" s="1" t="n">
        <v>46318</v>
      </c>
      <c r="F1263" t="inlineStr">
        <is>
          <t>JÄMTLANDS LÄN</t>
        </is>
      </c>
      <c r="G1263" t="inlineStr">
        <is>
          <t>STRÖMSUND</t>
        </is>
      </c>
      <c r="I1263" t="n">
        <v>0.2</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22651-2026</t>
        </is>
      </c>
      <c r="B1264" t="inlineStr">
        <is>
          <t>avverkningsanmälan</t>
        </is>
      </c>
      <c r="C1264" t="inlineStr">
        <is>
          <t>Föryngringsavverkning</t>
        </is>
      </c>
      <c r="D1264" s="1" t="n">
        <v>46155</v>
      </c>
      <c r="E1264" s="1" t="n">
        <v>46318</v>
      </c>
      <c r="F1264" t="inlineStr">
        <is>
          <t>JÄMTLANDS LÄN</t>
        </is>
      </c>
      <c r="G1264" t="inlineStr">
        <is>
          <t>STRÖMSUND</t>
        </is>
      </c>
      <c r="H1264" t="inlineStr">
        <is>
          <t>SCA</t>
        </is>
      </c>
      <c r="I1264" t="n">
        <v>2.5</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22660-2026</t>
        </is>
      </c>
      <c r="B1265" t="inlineStr">
        <is>
          <t>avverkningsanmälan</t>
        </is>
      </c>
      <c r="C1265" t="inlineStr">
        <is>
          <t>Föryngringsavverkning</t>
        </is>
      </c>
      <c r="D1265" s="1" t="n">
        <v>46155</v>
      </c>
      <c r="E1265" s="1" t="n">
        <v>46318</v>
      </c>
      <c r="F1265" t="inlineStr">
        <is>
          <t>JÄMTLANDS LÄN</t>
        </is>
      </c>
      <c r="G1265" t="inlineStr">
        <is>
          <t>STRÖMSUND</t>
        </is>
      </c>
      <c r="H1265" t="inlineStr">
        <is>
          <t>SCA</t>
        </is>
      </c>
      <c r="I1265" t="n">
        <v>1.5</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28705-2022</t>
        </is>
      </c>
      <c r="B1266" t="inlineStr">
        <is>
          <t>avverkningsanmälan</t>
        </is>
      </c>
      <c r="C1266" t="inlineStr">
        <is>
          <t>Föryngringsavverkning</t>
        </is>
      </c>
      <c r="D1266" s="1" t="n">
        <v>44748</v>
      </c>
      <c r="E1266" s="1" t="n">
        <v>46318</v>
      </c>
      <c r="F1266" t="inlineStr">
        <is>
          <t>JÄMTLANDS LÄN</t>
        </is>
      </c>
      <c r="G1266" t="inlineStr">
        <is>
          <t>STRÖMSUND</t>
        </is>
      </c>
      <c r="I1266" t="n">
        <v>8</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59607-2025</t>
        </is>
      </c>
      <c r="B1267" t="inlineStr">
        <is>
          <t>avverkningsanmälan</t>
        </is>
      </c>
      <c r="C1267" t="inlineStr">
        <is>
          <t>Föryngringsavverkning</t>
        </is>
      </c>
      <c r="D1267" s="1" t="n">
        <v>45992</v>
      </c>
      <c r="E1267" s="1" t="n">
        <v>46318</v>
      </c>
      <c r="F1267" t="inlineStr">
        <is>
          <t>JÄMTLANDS LÄN</t>
        </is>
      </c>
      <c r="G1267" t="inlineStr">
        <is>
          <t>STRÖMSUND</t>
        </is>
      </c>
      <c r="H1267" t="inlineStr">
        <is>
          <t>SCA</t>
        </is>
      </c>
      <c r="I1267" t="n">
        <v>2.5</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59553-2025</t>
        </is>
      </c>
      <c r="B1268" t="inlineStr">
        <is>
          <t>avverkningsanmälan</t>
        </is>
      </c>
      <c r="C1268" t="inlineStr">
        <is>
          <t>Avverkning för att bevara och utveckla /försöksver</t>
        </is>
      </c>
      <c r="D1268" s="1" t="n">
        <v>45990</v>
      </c>
      <c r="E1268" s="1" t="n">
        <v>46318</v>
      </c>
      <c r="F1268" t="inlineStr">
        <is>
          <t>JÄMTLANDS LÄN</t>
        </is>
      </c>
      <c r="G1268" t="inlineStr">
        <is>
          <t>STRÖMSUND</t>
        </is>
      </c>
      <c r="H1268" t="inlineStr">
        <is>
          <t>SCA</t>
        </is>
      </c>
      <c r="I1268" t="n">
        <v>2.9</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6566-2024</t>
        </is>
      </c>
      <c r="B1269" t="inlineStr">
        <is>
          <t>avverkningsanmälan</t>
        </is>
      </c>
      <c r="C1269" t="inlineStr">
        <is>
          <t>Föryngringsavverkning</t>
        </is>
      </c>
      <c r="D1269" s="1" t="n">
        <v>45341</v>
      </c>
      <c r="E1269" s="1" t="n">
        <v>46318</v>
      </c>
      <c r="F1269" t="inlineStr">
        <is>
          <t>JÄMTLANDS LÄN</t>
        </is>
      </c>
      <c r="G1269" t="inlineStr">
        <is>
          <t>STRÖMSUND</t>
        </is>
      </c>
      <c r="I1269" t="n">
        <v>10.5</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60546-2025</t>
        </is>
      </c>
      <c r="B1270" t="inlineStr">
        <is>
          <t>avverkningsanmälan</t>
        </is>
      </c>
      <c r="C1270" t="inlineStr">
        <is>
          <t>Föryngringsavverkning</t>
        </is>
      </c>
      <c r="D1270" s="1" t="n">
        <v>45995</v>
      </c>
      <c r="E1270" s="1" t="n">
        <v>46318</v>
      </c>
      <c r="F1270" t="inlineStr">
        <is>
          <t>JÄMTLANDS LÄN</t>
        </is>
      </c>
      <c r="G1270" t="inlineStr">
        <is>
          <t>STRÖMSUND</t>
        </is>
      </c>
      <c r="I1270" t="n">
        <v>6.8</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22603-2026</t>
        </is>
      </c>
      <c r="B1271" t="inlineStr">
        <is>
          <t>avverkningsanmälan</t>
        </is>
      </c>
      <c r="C1271" t="inlineStr">
        <is>
          <t>Föryngringsavverkning</t>
        </is>
      </c>
      <c r="D1271" s="1" t="n">
        <v>46155</v>
      </c>
      <c r="E1271" s="1" t="n">
        <v>46318</v>
      </c>
      <c r="F1271" t="inlineStr">
        <is>
          <t>JÄMTLANDS LÄN</t>
        </is>
      </c>
      <c r="G1271" t="inlineStr">
        <is>
          <t>STRÖMSUND</t>
        </is>
      </c>
      <c r="H1271" t="inlineStr">
        <is>
          <t>SCA</t>
        </is>
      </c>
      <c r="I1271" t="n">
        <v>1.3</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5642-2022</t>
        </is>
      </c>
      <c r="B1272" t="inlineStr">
        <is>
          <t>avverkningsanmälan</t>
        </is>
      </c>
      <c r="C1272" t="inlineStr">
        <is>
          <t>Föryngringsavverkning</t>
        </is>
      </c>
      <c r="D1272" s="1" t="n">
        <v>44595</v>
      </c>
      <c r="E1272" s="1" t="n">
        <v>46318</v>
      </c>
      <c r="F1272" t="inlineStr">
        <is>
          <t>JÄMTLANDS LÄN</t>
        </is>
      </c>
      <c r="G1272" t="inlineStr">
        <is>
          <t>STRÖMSUND</t>
        </is>
      </c>
      <c r="I1272" t="n">
        <v>2.8</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60370-2025</t>
        </is>
      </c>
      <c r="B1273" t="inlineStr">
        <is>
          <t>avverkningsanmälan</t>
        </is>
      </c>
      <c r="C1273" t="inlineStr">
        <is>
          <t>Föryngringsavverkning</t>
        </is>
      </c>
      <c r="D1273" s="1" t="n">
        <v>45995</v>
      </c>
      <c r="E1273" s="1" t="n">
        <v>46318</v>
      </c>
      <c r="F1273" t="inlineStr">
        <is>
          <t>JÄMTLANDS LÄN</t>
        </is>
      </c>
      <c r="G1273" t="inlineStr">
        <is>
          <t>STRÖMSUND</t>
        </is>
      </c>
      <c r="H1273" t="inlineStr">
        <is>
          <t>SCA</t>
        </is>
      </c>
      <c r="I1273" t="n">
        <v>1.3</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60905-2025</t>
        </is>
      </c>
      <c r="B1274" t="inlineStr">
        <is>
          <t>avverkningsanmälan</t>
        </is>
      </c>
      <c r="C1274" t="inlineStr">
        <is>
          <t>Avverkning för att bevara och utveckla /försöksver</t>
        </is>
      </c>
      <c r="D1274" s="1" t="n">
        <v>45999</v>
      </c>
      <c r="E1274" s="1" t="n">
        <v>46318</v>
      </c>
      <c r="F1274" t="inlineStr">
        <is>
          <t>JÄMTLANDS LÄN</t>
        </is>
      </c>
      <c r="G1274" t="inlineStr">
        <is>
          <t>STRÖMSUND</t>
        </is>
      </c>
      <c r="H1274" t="inlineStr">
        <is>
          <t>SCA</t>
        </is>
      </c>
      <c r="I1274" t="n">
        <v>0.2</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60832-2025</t>
        </is>
      </c>
      <c r="B1275" t="inlineStr">
        <is>
          <t>avverkningsanmälan</t>
        </is>
      </c>
      <c r="C1275" t="inlineStr">
        <is>
          <t>Föryngringsavverkning</t>
        </is>
      </c>
      <c r="D1275" s="1" t="n">
        <v>45999</v>
      </c>
      <c r="E1275" s="1" t="n">
        <v>46318</v>
      </c>
      <c r="F1275" t="inlineStr">
        <is>
          <t>JÄMTLANDS LÄN</t>
        </is>
      </c>
      <c r="G1275" t="inlineStr">
        <is>
          <t>STRÖMSUND</t>
        </is>
      </c>
      <c r="H1275" t="inlineStr">
        <is>
          <t>SCA</t>
        </is>
      </c>
      <c r="I1275" t="n">
        <v>2.3</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60917-2025</t>
        </is>
      </c>
      <c r="B1276" t="inlineStr">
        <is>
          <t>avverkningsanmälan</t>
        </is>
      </c>
      <c r="C1276" t="inlineStr">
        <is>
          <t>Föryngringsavverkning</t>
        </is>
      </c>
      <c r="D1276" s="1" t="n">
        <v>45999</v>
      </c>
      <c r="E1276" s="1" t="n">
        <v>46318</v>
      </c>
      <c r="F1276" t="inlineStr">
        <is>
          <t>JÄMTLANDS LÄN</t>
        </is>
      </c>
      <c r="G1276" t="inlineStr">
        <is>
          <t>STRÖMSUND</t>
        </is>
      </c>
      <c r="H1276" t="inlineStr">
        <is>
          <t>SCA</t>
        </is>
      </c>
      <c r="I1276" t="n">
        <v>0.6</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53218-2024</t>
        </is>
      </c>
      <c r="B1277" t="inlineStr">
        <is>
          <t>avverkningsanmälan</t>
        </is>
      </c>
      <c r="C1277" t="inlineStr">
        <is>
          <t>Föryngringsavverkning</t>
        </is>
      </c>
      <c r="D1277" s="1" t="n">
        <v>45612</v>
      </c>
      <c r="E1277" s="1" t="n">
        <v>46318</v>
      </c>
      <c r="F1277" t="inlineStr">
        <is>
          <t>JÄMTLANDS LÄN</t>
        </is>
      </c>
      <c r="G1277" t="inlineStr">
        <is>
          <t>STRÖMSUND</t>
        </is>
      </c>
      <c r="I1277" t="n">
        <v>4.9</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20274-2024</t>
        </is>
      </c>
      <c r="B1278" t="inlineStr">
        <is>
          <t>avverkningsanmälan</t>
        </is>
      </c>
      <c r="C1278" t="inlineStr">
        <is>
          <t>Föryngringsavverkning</t>
        </is>
      </c>
      <c r="D1278" s="1" t="n">
        <v>45434</v>
      </c>
      <c r="E1278" s="1" t="n">
        <v>46318</v>
      </c>
      <c r="F1278" t="inlineStr">
        <is>
          <t>JÄMTLANDS LÄN</t>
        </is>
      </c>
      <c r="G1278" t="inlineStr">
        <is>
          <t>STRÖMSUND</t>
        </is>
      </c>
      <c r="H1278" t="inlineStr">
        <is>
          <t>SCA</t>
        </is>
      </c>
      <c r="I1278" t="n">
        <v>0.3</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1609-2024</t>
        </is>
      </c>
      <c r="B1279" t="inlineStr">
        <is>
          <t>avverkningsanmälan</t>
        </is>
      </c>
      <c r="C1279" t="inlineStr">
        <is>
          <t>Föryngringsavverkning</t>
        </is>
      </c>
      <c r="D1279" s="1" t="n">
        <v>45306</v>
      </c>
      <c r="E1279" s="1" t="n">
        <v>46318</v>
      </c>
      <c r="F1279" t="inlineStr">
        <is>
          <t>JÄMTLANDS LÄN</t>
        </is>
      </c>
      <c r="G1279" t="inlineStr">
        <is>
          <t>STRÖMSUND</t>
        </is>
      </c>
      <c r="I1279" t="n">
        <v>0.6</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22443-2026</t>
        </is>
      </c>
      <c r="B1280" t="inlineStr">
        <is>
          <t>avverkningsanmälan</t>
        </is>
      </c>
      <c r="C1280" t="inlineStr">
        <is>
          <t>Föryngringsavverkning</t>
        </is>
      </c>
      <c r="D1280" s="1" t="n">
        <v>46155</v>
      </c>
      <c r="E1280" s="1" t="n">
        <v>46318</v>
      </c>
      <c r="F1280" t="inlineStr">
        <is>
          <t>JÄMTLANDS LÄN</t>
        </is>
      </c>
      <c r="G1280" t="inlineStr">
        <is>
          <t>STRÖMSUND</t>
        </is>
      </c>
      <c r="H1280" t="inlineStr">
        <is>
          <t>SCA</t>
        </is>
      </c>
      <c r="I1280" t="n">
        <v>1</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60906-2025</t>
        </is>
      </c>
      <c r="B1281" t="inlineStr">
        <is>
          <t>avverkningsanmälan</t>
        </is>
      </c>
      <c r="C1281" t="inlineStr">
        <is>
          <t>Avverkning för att bevara och utveckla /försöksver</t>
        </is>
      </c>
      <c r="D1281" s="1" t="n">
        <v>45999</v>
      </c>
      <c r="E1281" s="1" t="n">
        <v>46318</v>
      </c>
      <c r="F1281" t="inlineStr">
        <is>
          <t>JÄMTLANDS LÄN</t>
        </is>
      </c>
      <c r="G1281" t="inlineStr">
        <is>
          <t>STRÖMSUND</t>
        </is>
      </c>
      <c r="H1281" t="inlineStr">
        <is>
          <t>SCA</t>
        </is>
      </c>
      <c r="I1281" t="n">
        <v>6.4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13899-2025</t>
        </is>
      </c>
      <c r="B1282" t="inlineStr">
        <is>
          <t>avverkningsanmälan</t>
        </is>
      </c>
      <c r="C1282" t="inlineStr">
        <is>
          <t>Föryngringsavverkning</t>
        </is>
      </c>
      <c r="D1282" s="1" t="n">
        <v>45737</v>
      </c>
      <c r="E1282" s="1" t="n">
        <v>46318</v>
      </c>
      <c r="F1282" t="inlineStr">
        <is>
          <t>JÄMTLANDS LÄN</t>
        </is>
      </c>
      <c r="G1282" t="inlineStr">
        <is>
          <t>STRÖMSUND</t>
        </is>
      </c>
      <c r="I1282" t="n">
        <v>1.5</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1952-2023</t>
        </is>
      </c>
      <c r="B1283" t="inlineStr">
        <is>
          <t>avverkningsanmälan</t>
        </is>
      </c>
      <c r="C1283" t="inlineStr">
        <is>
          <t>Föryngringsavverkning</t>
        </is>
      </c>
      <c r="D1283" s="1" t="n">
        <v>44938</v>
      </c>
      <c r="E1283" s="1" t="n">
        <v>46318</v>
      </c>
      <c r="F1283" t="inlineStr">
        <is>
          <t>JÄMTLANDS LÄN</t>
        </is>
      </c>
      <c r="G1283" t="inlineStr">
        <is>
          <t>STRÖMSUND</t>
        </is>
      </c>
      <c r="I1283" t="n">
        <v>16</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24301-2023</t>
        </is>
      </c>
      <c r="B1284" t="inlineStr">
        <is>
          <t>avverkningsanmälan</t>
        </is>
      </c>
      <c r="C1284" t="inlineStr">
        <is>
          <t>Föryngringsavverkning</t>
        </is>
      </c>
      <c r="D1284" s="1" t="n">
        <v>45079</v>
      </c>
      <c r="E1284" s="1" t="n">
        <v>46318</v>
      </c>
      <c r="F1284" t="inlineStr">
        <is>
          <t>JÄMTLANDS LÄN</t>
        </is>
      </c>
      <c r="G1284" t="inlineStr">
        <is>
          <t>STRÖMSUND</t>
        </is>
      </c>
      <c r="H1284" t="inlineStr">
        <is>
          <t>SCA</t>
        </is>
      </c>
      <c r="I1284" t="n">
        <v>4.8</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61209-2025</t>
        </is>
      </c>
      <c r="B1285" t="inlineStr">
        <is>
          <t>avverkningsanmälan</t>
        </is>
      </c>
      <c r="C1285" t="inlineStr">
        <is>
          <t>Föryngringsavverkning</t>
        </is>
      </c>
      <c r="D1285" s="1" t="n">
        <v>46000</v>
      </c>
      <c r="E1285" s="1" t="n">
        <v>46318</v>
      </c>
      <c r="F1285" t="inlineStr">
        <is>
          <t>JÄMTLANDS LÄN</t>
        </is>
      </c>
      <c r="G1285" t="inlineStr">
        <is>
          <t>STRÖMSUND</t>
        </is>
      </c>
      <c r="H1285" t="inlineStr">
        <is>
          <t>SCA</t>
        </is>
      </c>
      <c r="I1285" t="n">
        <v>3.5</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61210-2025</t>
        </is>
      </c>
      <c r="B1286" t="inlineStr">
        <is>
          <t>avverkningsanmälan</t>
        </is>
      </c>
      <c r="C1286" t="inlineStr">
        <is>
          <t>Föryngringsavverkning</t>
        </is>
      </c>
      <c r="D1286" s="1" t="n">
        <v>46000</v>
      </c>
      <c r="E1286" s="1" t="n">
        <v>46318</v>
      </c>
      <c r="F1286" t="inlineStr">
        <is>
          <t>JÄMTLANDS LÄN</t>
        </is>
      </c>
      <c r="G1286" t="inlineStr">
        <is>
          <t>STRÖMSUND</t>
        </is>
      </c>
      <c r="H1286" t="inlineStr">
        <is>
          <t>SCA</t>
        </is>
      </c>
      <c r="I1286" t="n">
        <v>2.9</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9514-2024</t>
        </is>
      </c>
      <c r="B1287" t="inlineStr">
        <is>
          <t>avverkningsanmälan</t>
        </is>
      </c>
      <c r="C1287" t="inlineStr">
        <is>
          <t>Föryngringsavverkning</t>
        </is>
      </c>
      <c r="D1287" s="1" t="n">
        <v>45359</v>
      </c>
      <c r="E1287" s="1" t="n">
        <v>46318</v>
      </c>
      <c r="F1287" t="inlineStr">
        <is>
          <t>JÄMTLANDS LÄN</t>
        </is>
      </c>
      <c r="G1287" t="inlineStr">
        <is>
          <t>STRÖMSUND</t>
        </is>
      </c>
      <c r="I1287" t="n">
        <v>15.9</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17994-2025</t>
        </is>
      </c>
      <c r="B1288" t="inlineStr">
        <is>
          <t>avverkningsanmälan</t>
        </is>
      </c>
      <c r="C1288" t="inlineStr">
        <is>
          <t>Föryngringsavverkning</t>
        </is>
      </c>
      <c r="D1288" s="1" t="n">
        <v>45761</v>
      </c>
      <c r="E1288" s="1" t="n">
        <v>46318</v>
      </c>
      <c r="F1288" t="inlineStr">
        <is>
          <t>JÄMTLANDS LÄN</t>
        </is>
      </c>
      <c r="G1288" t="inlineStr">
        <is>
          <t>STRÖMSUND</t>
        </is>
      </c>
      <c r="H1288" t="inlineStr">
        <is>
          <t>SCA</t>
        </is>
      </c>
      <c r="I1288" t="n">
        <v>2.9</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20505-2024</t>
        </is>
      </c>
      <c r="B1289" t="inlineStr">
        <is>
          <t>avverkningsanmälan</t>
        </is>
      </c>
      <c r="C1289" t="inlineStr">
        <is>
          <t>Avverkning för att bevara och utveckla /försöksver</t>
        </is>
      </c>
      <c r="D1289" s="1" t="n">
        <v>45435</v>
      </c>
      <c r="E1289" s="1" t="n">
        <v>46318</v>
      </c>
      <c r="F1289" t="inlineStr">
        <is>
          <t>JÄMTLANDS LÄN</t>
        </is>
      </c>
      <c r="G1289" t="inlineStr">
        <is>
          <t>STRÖMSUND</t>
        </is>
      </c>
      <c r="H1289" t="inlineStr">
        <is>
          <t>SCA</t>
        </is>
      </c>
      <c r="I1289" t="n">
        <v>2</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61979-2025</t>
        </is>
      </c>
      <c r="B1290" t="inlineStr">
        <is>
          <t>avverkningsanmälan</t>
        </is>
      </c>
      <c r="C1290" t="inlineStr">
        <is>
          <t>Föryngringsavverkning</t>
        </is>
      </c>
      <c r="D1290" s="1" t="n">
        <v>46003</v>
      </c>
      <c r="E1290" s="1" t="n">
        <v>46318</v>
      </c>
      <c r="F1290" t="inlineStr">
        <is>
          <t>JÄMTLANDS LÄN</t>
        </is>
      </c>
      <c r="G1290" t="inlineStr">
        <is>
          <t>STRÖMSUND</t>
        </is>
      </c>
      <c r="H1290" t="inlineStr">
        <is>
          <t>SCA</t>
        </is>
      </c>
      <c r="I1290" t="n">
        <v>2.2</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13044-2025</t>
        </is>
      </c>
      <c r="B1291" t="inlineStr">
        <is>
          <t>avverkningsanmälan</t>
        </is>
      </c>
      <c r="C1291" t="inlineStr">
        <is>
          <t>Föryngringsavverkning</t>
        </is>
      </c>
      <c r="D1291" s="1" t="n">
        <v>45734</v>
      </c>
      <c r="E1291" s="1" t="n">
        <v>46318</v>
      </c>
      <c r="F1291" t="inlineStr">
        <is>
          <t>JÄMTLANDS LÄN</t>
        </is>
      </c>
      <c r="G1291" t="inlineStr">
        <is>
          <t>STRÖMSUND</t>
        </is>
      </c>
      <c r="I1291" t="n">
        <v>1.4</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22071-2025</t>
        </is>
      </c>
      <c r="B1292" t="inlineStr">
        <is>
          <t>avverkningsanmälan</t>
        </is>
      </c>
      <c r="C1292" t="inlineStr">
        <is>
          <t>Föryngringsavverkning</t>
        </is>
      </c>
      <c r="D1292" s="1" t="n">
        <v>45785</v>
      </c>
      <c r="E1292" s="1" t="n">
        <v>46318</v>
      </c>
      <c r="F1292" t="inlineStr">
        <is>
          <t>JÄMTLANDS LÄN</t>
        </is>
      </c>
      <c r="G1292" t="inlineStr">
        <is>
          <t>STRÖMSUND</t>
        </is>
      </c>
      <c r="H1292" t="inlineStr">
        <is>
          <t>SCA</t>
        </is>
      </c>
      <c r="I1292" t="n">
        <v>1.3</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21781-2025</t>
        </is>
      </c>
      <c r="B1293" t="inlineStr">
        <is>
          <t>avverkningsanmälan</t>
        </is>
      </c>
      <c r="C1293" t="inlineStr">
        <is>
          <t>Föryngringsavverkning</t>
        </is>
      </c>
      <c r="D1293" s="1" t="n">
        <v>45783</v>
      </c>
      <c r="E1293" s="1" t="n">
        <v>46318</v>
      </c>
      <c r="F1293" t="inlineStr">
        <is>
          <t>JÄMTLANDS LÄN</t>
        </is>
      </c>
      <c r="G1293" t="inlineStr">
        <is>
          <t>STRÖMSUND</t>
        </is>
      </c>
      <c r="I1293" t="n">
        <v>2.2</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24341-2025</t>
        </is>
      </c>
      <c r="B1294" t="inlineStr">
        <is>
          <t>avverkningsanmälan</t>
        </is>
      </c>
      <c r="C1294" t="inlineStr">
        <is>
          <t>Föryngringsavverkning</t>
        </is>
      </c>
      <c r="D1294" s="1" t="n">
        <v>45797</v>
      </c>
      <c r="E1294" s="1" t="n">
        <v>46318</v>
      </c>
      <c r="F1294" t="inlineStr">
        <is>
          <t>JÄMTLANDS LÄN</t>
        </is>
      </c>
      <c r="G1294" t="inlineStr">
        <is>
          <t>STRÖMSUND</t>
        </is>
      </c>
      <c r="H1294" t="inlineStr">
        <is>
          <t>SCA</t>
        </is>
      </c>
      <c r="I1294" t="n">
        <v>4.3</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58493-2024</t>
        </is>
      </c>
      <c r="B1295" t="inlineStr">
        <is>
          <t>avverkningsanmälan</t>
        </is>
      </c>
      <c r="C1295" t="inlineStr">
        <is>
          <t>Föryngringsavverkning</t>
        </is>
      </c>
      <c r="D1295" s="1" t="n">
        <v>45635</v>
      </c>
      <c r="E1295" s="1" t="n">
        <v>46318</v>
      </c>
      <c r="F1295" t="inlineStr">
        <is>
          <t>JÄMTLANDS LÄN</t>
        </is>
      </c>
      <c r="G1295" t="inlineStr">
        <is>
          <t>STRÖMSUND</t>
        </is>
      </c>
      <c r="I1295" t="n">
        <v>0.7</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17158-2025</t>
        </is>
      </c>
      <c r="B1296" t="inlineStr">
        <is>
          <t>avverkningsanmälan</t>
        </is>
      </c>
      <c r="C1296" t="inlineStr">
        <is>
          <t>Föryngringsavverkning</t>
        </is>
      </c>
      <c r="D1296" s="1" t="n">
        <v>45756</v>
      </c>
      <c r="E1296" s="1" t="n">
        <v>46318</v>
      </c>
      <c r="F1296" t="inlineStr">
        <is>
          <t>JÄMTLANDS LÄN</t>
        </is>
      </c>
      <c r="G1296" t="inlineStr">
        <is>
          <t>STRÖMSUND</t>
        </is>
      </c>
      <c r="H1296" t="inlineStr">
        <is>
          <t>SCA</t>
        </is>
      </c>
      <c r="I1296" t="n">
        <v>1.9</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20263-2025</t>
        </is>
      </c>
      <c r="B1297" t="inlineStr">
        <is>
          <t>avverkningsanmälan</t>
        </is>
      </c>
      <c r="C1297" t="inlineStr">
        <is>
          <t>Föryngringsavverkning</t>
        </is>
      </c>
      <c r="D1297" s="1" t="n">
        <v>45773</v>
      </c>
      <c r="E1297" s="1" t="n">
        <v>46318</v>
      </c>
      <c r="F1297" t="inlineStr">
        <is>
          <t>JÄMTLANDS LÄN</t>
        </is>
      </c>
      <c r="G1297" t="inlineStr">
        <is>
          <t>STRÖMSUND</t>
        </is>
      </c>
      <c r="I1297" t="n">
        <v>1</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45091-2023</t>
        </is>
      </c>
      <c r="B1298" t="inlineStr">
        <is>
          <t>avverkningsanmälan</t>
        </is>
      </c>
      <c r="C1298" t="inlineStr">
        <is>
          <t>Föryngringsavverkning</t>
        </is>
      </c>
      <c r="D1298" s="1" t="n">
        <v>45191</v>
      </c>
      <c r="E1298" s="1" t="n">
        <v>46318</v>
      </c>
      <c r="F1298" t="inlineStr">
        <is>
          <t>JÄMTLANDS LÄN</t>
        </is>
      </c>
      <c r="G1298" t="inlineStr">
        <is>
          <t>STRÖMSUND</t>
        </is>
      </c>
      <c r="I1298" t="n">
        <v>1.7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62011-2025</t>
        </is>
      </c>
      <c r="B1299" t="inlineStr">
        <is>
          <t>avverkningsanmälan</t>
        </is>
      </c>
      <c r="C1299" t="inlineStr">
        <is>
          <t>Föryngringsavverkning</t>
        </is>
      </c>
      <c r="D1299" s="1" t="n">
        <v>46003</v>
      </c>
      <c r="E1299" s="1" t="n">
        <v>46318</v>
      </c>
      <c r="F1299" t="inlineStr">
        <is>
          <t>JÄMTLANDS LÄN</t>
        </is>
      </c>
      <c r="G1299" t="inlineStr">
        <is>
          <t>STRÖMSUND</t>
        </is>
      </c>
      <c r="H1299" t="inlineStr">
        <is>
          <t>SCA</t>
        </is>
      </c>
      <c r="I1299" t="n">
        <v>2.6</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6347-2025</t>
        </is>
      </c>
      <c r="B1300" t="inlineStr">
        <is>
          <t>avverkningsanmälan</t>
        </is>
      </c>
      <c r="C1300" t="inlineStr">
        <is>
          <t>Föryngringsavverkning</t>
        </is>
      </c>
      <c r="D1300" s="1" t="n">
        <v>45699</v>
      </c>
      <c r="E1300" s="1" t="n">
        <v>46318</v>
      </c>
      <c r="F1300" t="inlineStr">
        <is>
          <t>JÄMTLANDS LÄN</t>
        </is>
      </c>
      <c r="G1300" t="inlineStr">
        <is>
          <t>STRÖMSUND</t>
        </is>
      </c>
      <c r="I1300" t="n">
        <v>1.5</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55197-2024</t>
        </is>
      </c>
      <c r="B1301" t="inlineStr">
        <is>
          <t>avverkningsanmälan</t>
        </is>
      </c>
      <c r="C1301" t="inlineStr">
        <is>
          <t>Föryngringsavverkning</t>
        </is>
      </c>
      <c r="D1301" s="1" t="n">
        <v>45621</v>
      </c>
      <c r="E1301" s="1" t="n">
        <v>46318</v>
      </c>
      <c r="F1301" t="inlineStr">
        <is>
          <t>JÄMTLANDS LÄN</t>
        </is>
      </c>
      <c r="G1301" t="inlineStr">
        <is>
          <t>STRÖMSUND</t>
        </is>
      </c>
      <c r="I1301" t="n">
        <v>1.7</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62347-2025</t>
        </is>
      </c>
      <c r="B1302" t="inlineStr">
        <is>
          <t>avverkningsanmälan</t>
        </is>
      </c>
      <c r="C1302" t="inlineStr">
        <is>
          <t>Föryngringsavverkning</t>
        </is>
      </c>
      <c r="D1302" s="1" t="n">
        <v>46006</v>
      </c>
      <c r="E1302" s="1" t="n">
        <v>46318</v>
      </c>
      <c r="F1302" t="inlineStr">
        <is>
          <t>JÄMTLANDS LÄN</t>
        </is>
      </c>
      <c r="G1302" t="inlineStr">
        <is>
          <t>STRÖMSUND</t>
        </is>
      </c>
      <c r="I1302" t="n">
        <v>8.699999999999999</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4910-2025</t>
        </is>
      </c>
      <c r="B1303" t="inlineStr">
        <is>
          <t>avverkningsanmälan</t>
        </is>
      </c>
      <c r="C1303" t="inlineStr">
        <is>
          <t>Föryngringsavverkning</t>
        </is>
      </c>
      <c r="D1303" s="1" t="n">
        <v>45688</v>
      </c>
      <c r="E1303" s="1" t="n">
        <v>46318</v>
      </c>
      <c r="F1303" t="inlineStr">
        <is>
          <t>JÄMTLANDS LÄN</t>
        </is>
      </c>
      <c r="G1303" t="inlineStr">
        <is>
          <t>STRÖMSUND</t>
        </is>
      </c>
      <c r="H1303" t="inlineStr">
        <is>
          <t>SCA</t>
        </is>
      </c>
      <c r="I1303" t="n">
        <v>1.7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22093-2025</t>
        </is>
      </c>
      <c r="B1304" t="inlineStr">
        <is>
          <t>avverkningsanmälan</t>
        </is>
      </c>
      <c r="C1304" t="inlineStr">
        <is>
          <t>Föryngringsavverkning</t>
        </is>
      </c>
      <c r="D1304" s="1" t="n">
        <v>45784</v>
      </c>
      <c r="E1304" s="1" t="n">
        <v>46318</v>
      </c>
      <c r="F1304" t="inlineStr">
        <is>
          <t>JÄMTLANDS LÄN</t>
        </is>
      </c>
      <c r="G1304" t="inlineStr">
        <is>
          <t>STRÖMSUND</t>
        </is>
      </c>
      <c r="I1304" t="n">
        <v>13.7</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62346-2025</t>
        </is>
      </c>
      <c r="B1305" t="inlineStr">
        <is>
          <t>avverkningsanmälan</t>
        </is>
      </c>
      <c r="C1305" t="inlineStr">
        <is>
          <t>Föryngringsavverkning</t>
        </is>
      </c>
      <c r="D1305" s="1" t="n">
        <v>46006</v>
      </c>
      <c r="E1305" s="1" t="n">
        <v>46318</v>
      </c>
      <c r="F1305" t="inlineStr">
        <is>
          <t>JÄMTLANDS LÄN</t>
        </is>
      </c>
      <c r="G1305" t="inlineStr">
        <is>
          <t>STRÖMSUND</t>
        </is>
      </c>
      <c r="I1305" t="n">
        <v>2.2</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62360-2025</t>
        </is>
      </c>
      <c r="B1306" t="inlineStr">
        <is>
          <t>avverkningsanmälan</t>
        </is>
      </c>
      <c r="C1306" t="inlineStr">
        <is>
          <t>Föryngringsavverkning</t>
        </is>
      </c>
      <c r="D1306" s="1" t="n">
        <v>46006</v>
      </c>
      <c r="E1306" s="1" t="n">
        <v>46318</v>
      </c>
      <c r="F1306" t="inlineStr">
        <is>
          <t>JÄMTLANDS LÄN</t>
        </is>
      </c>
      <c r="G1306" t="inlineStr">
        <is>
          <t>STRÖMSUND</t>
        </is>
      </c>
      <c r="I1306" t="n">
        <v>6.7</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20256-2025</t>
        </is>
      </c>
      <c r="B1307" t="inlineStr">
        <is>
          <t>avverkningsanmälan</t>
        </is>
      </c>
      <c r="C1307" t="inlineStr">
        <is>
          <t>Föryngringsavverkning</t>
        </is>
      </c>
      <c r="D1307" s="1" t="n">
        <v>45772</v>
      </c>
      <c r="E1307" s="1" t="n">
        <v>46318</v>
      </c>
      <c r="F1307" t="inlineStr">
        <is>
          <t>JÄMTLANDS LÄN</t>
        </is>
      </c>
      <c r="G1307" t="inlineStr">
        <is>
          <t>STRÖMSUND</t>
        </is>
      </c>
      <c r="I1307" t="n">
        <v>7.9</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5262-2024</t>
        </is>
      </c>
      <c r="B1308" t="inlineStr">
        <is>
          <t>avverkningsanmälan</t>
        </is>
      </c>
      <c r="C1308" t="inlineStr">
        <is>
          <t>Föryngringsavverkning</t>
        </is>
      </c>
      <c r="D1308" s="1" t="n">
        <v>45330</v>
      </c>
      <c r="E1308" s="1" t="n">
        <v>46318</v>
      </c>
      <c r="F1308" t="inlineStr">
        <is>
          <t>JÄMTLANDS LÄN</t>
        </is>
      </c>
      <c r="G1308" t="inlineStr">
        <is>
          <t>STRÖMSUND</t>
        </is>
      </c>
      <c r="H1308" t="inlineStr">
        <is>
          <t>SCA</t>
        </is>
      </c>
      <c r="I1308" t="n">
        <v>19.7</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56480-2023</t>
        </is>
      </c>
      <c r="B1309" t="inlineStr">
        <is>
          <t>avverkningsanmälan</t>
        </is>
      </c>
      <c r="C1309" t="inlineStr">
        <is>
          <t>Föryngringsavverkning</t>
        </is>
      </c>
      <c r="D1309" s="1" t="n">
        <v>45237</v>
      </c>
      <c r="E1309" s="1" t="n">
        <v>46318</v>
      </c>
      <c r="F1309" t="inlineStr">
        <is>
          <t>JÄMTLANDS LÄN</t>
        </is>
      </c>
      <c r="G1309" t="inlineStr">
        <is>
          <t>STRÖMSUND</t>
        </is>
      </c>
      <c r="I1309" t="n">
        <v>0.9</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5267-2024</t>
        </is>
      </c>
      <c r="B1310" t="inlineStr">
        <is>
          <t>avverkningsanmälan</t>
        </is>
      </c>
      <c r="C1310" t="inlineStr">
        <is>
          <t>Föryngringsavverkning</t>
        </is>
      </c>
      <c r="D1310" s="1" t="n">
        <v>45330</v>
      </c>
      <c r="E1310" s="1" t="n">
        <v>46318</v>
      </c>
      <c r="F1310" t="inlineStr">
        <is>
          <t>JÄMTLANDS LÄN</t>
        </is>
      </c>
      <c r="G1310" t="inlineStr">
        <is>
          <t>STRÖMSUND</t>
        </is>
      </c>
      <c r="H1310" t="inlineStr">
        <is>
          <t>SCA</t>
        </is>
      </c>
      <c r="I1310" t="n">
        <v>29.1</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59715-2025</t>
        </is>
      </c>
      <c r="B1311" t="inlineStr">
        <is>
          <t>avverkningsanmälan</t>
        </is>
      </c>
      <c r="C1311" t="inlineStr">
        <is>
          <t>Föryngringsavverkning</t>
        </is>
      </c>
      <c r="D1311" s="1" t="n">
        <v>45992</v>
      </c>
      <c r="E1311" s="1" t="n">
        <v>46318</v>
      </c>
      <c r="F1311" t="inlineStr">
        <is>
          <t>JÄMTLANDS LÄN</t>
        </is>
      </c>
      <c r="G1311" t="inlineStr">
        <is>
          <t>STRÖMSUND</t>
        </is>
      </c>
      <c r="I1311" t="n">
        <v>5.3</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51344-2022</t>
        </is>
      </c>
      <c r="B1312" t="inlineStr">
        <is>
          <t>avverkningsanmälan</t>
        </is>
      </c>
      <c r="C1312" t="inlineStr">
        <is>
          <t>Föryngringsavverkning</t>
        </is>
      </c>
      <c r="D1312" s="1" t="n">
        <v>44866</v>
      </c>
      <c r="E1312" s="1" t="n">
        <v>46318</v>
      </c>
      <c r="F1312" t="inlineStr">
        <is>
          <t>JÄMTLANDS LÄN</t>
        </is>
      </c>
      <c r="G1312" t="inlineStr">
        <is>
          <t>STRÖMSUND</t>
        </is>
      </c>
      <c r="I1312" t="n">
        <v>1.7</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62634-2025</t>
        </is>
      </c>
      <c r="B1313" t="inlineStr">
        <is>
          <t>avverkningsanmälan</t>
        </is>
      </c>
      <c r="C1313" t="inlineStr">
        <is>
          <t>Föryngringsavverkning</t>
        </is>
      </c>
      <c r="D1313" s="1" t="n">
        <v>46008</v>
      </c>
      <c r="E1313" s="1" t="n">
        <v>46318</v>
      </c>
      <c r="F1313" t="inlineStr">
        <is>
          <t>JÄMTLANDS LÄN</t>
        </is>
      </c>
      <c r="G1313" t="inlineStr">
        <is>
          <t>STRÖMSUND</t>
        </is>
      </c>
      <c r="H1313" t="inlineStr">
        <is>
          <t>SCA</t>
        </is>
      </c>
      <c r="I1313" t="n">
        <v>4.8</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18751-2022</t>
        </is>
      </c>
      <c r="B1314" t="inlineStr">
        <is>
          <t>avverkningsanmälan</t>
        </is>
      </c>
      <c r="C1314" t="inlineStr">
        <is>
          <t>Föryngringsavverkning</t>
        </is>
      </c>
      <c r="D1314" s="1" t="n">
        <v>44687</v>
      </c>
      <c r="E1314" s="1" t="n">
        <v>46318</v>
      </c>
      <c r="F1314" t="inlineStr">
        <is>
          <t>JÄMTLANDS LÄN</t>
        </is>
      </c>
      <c r="G1314" t="inlineStr">
        <is>
          <t>STRÖMSUND</t>
        </is>
      </c>
      <c r="H1314" t="inlineStr">
        <is>
          <t>SCA</t>
        </is>
      </c>
      <c r="I1314" t="n">
        <v>1.7</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27170-2025</t>
        </is>
      </c>
      <c r="B1315" t="inlineStr">
        <is>
          <t>avverkningsanmälan</t>
        </is>
      </c>
      <c r="C1315" t="inlineStr">
        <is>
          <t>Föryngringsavverkning</t>
        </is>
      </c>
      <c r="D1315" s="1" t="n">
        <v>45812</v>
      </c>
      <c r="E1315" s="1" t="n">
        <v>46318</v>
      </c>
      <c r="F1315" t="inlineStr">
        <is>
          <t>JÄMTLANDS LÄN</t>
        </is>
      </c>
      <c r="G1315" t="inlineStr">
        <is>
          <t>STRÖMSUND</t>
        </is>
      </c>
      <c r="I1315" t="n">
        <v>12.4</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7547-2025</t>
        </is>
      </c>
      <c r="B1316" t="inlineStr">
        <is>
          <t>avverkningsanmälan</t>
        </is>
      </c>
      <c r="C1316" t="inlineStr">
        <is>
          <t>Avverkning för att bevara och utveckla /försöksver</t>
        </is>
      </c>
      <c r="D1316" s="1" t="n">
        <v>45705</v>
      </c>
      <c r="E1316" s="1" t="n">
        <v>46318</v>
      </c>
      <c r="F1316" t="inlineStr">
        <is>
          <t>JÄMTLANDS LÄN</t>
        </is>
      </c>
      <c r="G1316" t="inlineStr">
        <is>
          <t>STRÖMSUND</t>
        </is>
      </c>
      <c r="H1316" t="inlineStr">
        <is>
          <t>SCA</t>
        </is>
      </c>
      <c r="I1316" t="n">
        <v>2.2</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62635-2025</t>
        </is>
      </c>
      <c r="B1317" t="inlineStr">
        <is>
          <t>avverkningsanmälan</t>
        </is>
      </c>
      <c r="C1317" t="inlineStr">
        <is>
          <t>Föryngringsavverkning</t>
        </is>
      </c>
      <c r="D1317" s="1" t="n">
        <v>46008</v>
      </c>
      <c r="E1317" s="1" t="n">
        <v>46318</v>
      </c>
      <c r="F1317" t="inlineStr">
        <is>
          <t>JÄMTLANDS LÄN</t>
        </is>
      </c>
      <c r="G1317" t="inlineStr">
        <is>
          <t>STRÖMSUND</t>
        </is>
      </c>
      <c r="I1317" t="n">
        <v>4.7</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38280-2024</t>
        </is>
      </c>
      <c r="B1318" t="inlineStr">
        <is>
          <t>avverkningsanmälan</t>
        </is>
      </c>
      <c r="C1318" t="inlineStr">
        <is>
          <t>Föryngringsavverkning</t>
        </is>
      </c>
      <c r="D1318" s="1" t="n">
        <v>45545</v>
      </c>
      <c r="E1318" s="1" t="n">
        <v>46318</v>
      </c>
      <c r="F1318" t="inlineStr">
        <is>
          <t>JÄMTLANDS LÄN</t>
        </is>
      </c>
      <c r="G1318" t="inlineStr">
        <is>
          <t>STRÖMSUND</t>
        </is>
      </c>
      <c r="H1318" t="inlineStr">
        <is>
          <t>SCA</t>
        </is>
      </c>
      <c r="I1318" t="n">
        <v>4.2</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59360-2023</t>
        </is>
      </c>
      <c r="B1319" t="inlineStr">
        <is>
          <t>avverkningsanmälan</t>
        </is>
      </c>
      <c r="C1319" t="inlineStr">
        <is>
          <t>Avverkning för att bevara och utveckla /försöksver</t>
        </is>
      </c>
      <c r="D1319" s="1" t="n">
        <v>45253</v>
      </c>
      <c r="E1319" s="1" t="n">
        <v>46318</v>
      </c>
      <c r="F1319" t="inlineStr">
        <is>
          <t>JÄMTLANDS LÄN</t>
        </is>
      </c>
      <c r="G1319" t="inlineStr">
        <is>
          <t>STRÖMSUND</t>
        </is>
      </c>
      <c r="H1319" t="inlineStr">
        <is>
          <t>Holmen skog AB</t>
        </is>
      </c>
      <c r="I1319" t="n">
        <v>0.3</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24802-2024</t>
        </is>
      </c>
      <c r="B1320" t="inlineStr">
        <is>
          <t>avverkningsanmälan</t>
        </is>
      </c>
      <c r="C1320" t="inlineStr">
        <is>
          <t>Avverkning för att bevara och utveckla /försöksver</t>
        </is>
      </c>
      <c r="D1320" s="1" t="n">
        <v>45460</v>
      </c>
      <c r="E1320" s="1" t="n">
        <v>46318</v>
      </c>
      <c r="F1320" t="inlineStr">
        <is>
          <t>JÄMTLANDS LÄN</t>
        </is>
      </c>
      <c r="G1320" t="inlineStr">
        <is>
          <t>STRÖMSUND</t>
        </is>
      </c>
      <c r="H1320" t="inlineStr">
        <is>
          <t>SCA</t>
        </is>
      </c>
      <c r="I1320" t="n">
        <v>2.3</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24804-2024</t>
        </is>
      </c>
      <c r="B1321" t="inlineStr">
        <is>
          <t>avverkningsanmälan</t>
        </is>
      </c>
      <c r="C1321" t="inlineStr">
        <is>
          <t>Föryngringsavverkning</t>
        </is>
      </c>
      <c r="D1321" s="1" t="n">
        <v>45460</v>
      </c>
      <c r="E1321" s="1" t="n">
        <v>46318</v>
      </c>
      <c r="F1321" t="inlineStr">
        <is>
          <t>JÄMTLANDS LÄN</t>
        </is>
      </c>
      <c r="G1321" t="inlineStr">
        <is>
          <t>STRÖMSUND</t>
        </is>
      </c>
      <c r="H1321" t="inlineStr">
        <is>
          <t>SCA</t>
        </is>
      </c>
      <c r="I1321" t="n">
        <v>0.6</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62780-2025</t>
        </is>
      </c>
      <c r="B1322" t="inlineStr">
        <is>
          <t>avverkningsanmälan</t>
        </is>
      </c>
      <c r="C1322" t="inlineStr">
        <is>
          <t>Föryngringsavverkning</t>
        </is>
      </c>
      <c r="D1322" s="1" t="n">
        <v>46008</v>
      </c>
      <c r="E1322" s="1" t="n">
        <v>46318</v>
      </c>
      <c r="F1322" t="inlineStr">
        <is>
          <t>JÄMTLANDS LÄN</t>
        </is>
      </c>
      <c r="G1322" t="inlineStr">
        <is>
          <t>STRÖMSUND</t>
        </is>
      </c>
      <c r="H1322" t="inlineStr">
        <is>
          <t>SCA</t>
        </is>
      </c>
      <c r="I1322" t="n">
        <v>19.1</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62735-2025</t>
        </is>
      </c>
      <c r="B1323" t="inlineStr">
        <is>
          <t>avverkningsanmälan</t>
        </is>
      </c>
      <c r="C1323" t="inlineStr">
        <is>
          <t>Föryngringsavverkning</t>
        </is>
      </c>
      <c r="D1323" s="1" t="n">
        <v>46008</v>
      </c>
      <c r="E1323" s="1" t="n">
        <v>46318</v>
      </c>
      <c r="F1323" t="inlineStr">
        <is>
          <t>JÄMTLANDS LÄN</t>
        </is>
      </c>
      <c r="G1323" t="inlineStr">
        <is>
          <t>STRÖMSUND</t>
        </is>
      </c>
      <c r="H1323" t="inlineStr">
        <is>
          <t>Holmen skog AB</t>
        </is>
      </c>
      <c r="I1323" t="n">
        <v>1.3</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41605-2024</t>
        </is>
      </c>
      <c r="B1324" t="inlineStr">
        <is>
          <t>avverkningsanmälan</t>
        </is>
      </c>
      <c r="C1324" t="inlineStr">
        <is>
          <t>Avverkning för annat ändamål</t>
        </is>
      </c>
      <c r="D1324" s="1" t="n">
        <v>45560</v>
      </c>
      <c r="E1324" s="1" t="n">
        <v>46318</v>
      </c>
      <c r="F1324" t="inlineStr">
        <is>
          <t>JÄMTLANDS LÄN</t>
        </is>
      </c>
      <c r="G1324" t="inlineStr">
        <is>
          <t>STRÖMSUND</t>
        </is>
      </c>
      <c r="H1324" t="inlineStr">
        <is>
          <t>Sveaskog</t>
        </is>
      </c>
      <c r="I1324" t="n">
        <v>0.5</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29107-2024</t>
        </is>
      </c>
      <c r="B1325" t="inlineStr">
        <is>
          <t>avverkningsanmälan</t>
        </is>
      </c>
      <c r="C1325" t="inlineStr">
        <is>
          <t>Föryngringsavverkning</t>
        </is>
      </c>
      <c r="D1325" s="1" t="n">
        <v>45481</v>
      </c>
      <c r="E1325" s="1" t="n">
        <v>46318</v>
      </c>
      <c r="F1325" t="inlineStr">
        <is>
          <t>JÄMTLANDS LÄN</t>
        </is>
      </c>
      <c r="G1325" t="inlineStr">
        <is>
          <t>STRÖMSUND</t>
        </is>
      </c>
      <c r="H1325" t="inlineStr">
        <is>
          <t>SCA</t>
        </is>
      </c>
      <c r="I1325" t="n">
        <v>7.7</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63393-2025</t>
        </is>
      </c>
      <c r="B1326" t="inlineStr">
        <is>
          <t>avverkningsanmälan</t>
        </is>
      </c>
      <c r="C1326" t="inlineStr">
        <is>
          <t>Avverkning för annat ändamål</t>
        </is>
      </c>
      <c r="D1326" s="1" t="n">
        <v>46011</v>
      </c>
      <c r="E1326" s="1" t="n">
        <v>46318</v>
      </c>
      <c r="F1326" t="inlineStr">
        <is>
          <t>JÄMTLANDS LÄN</t>
        </is>
      </c>
      <c r="G1326" t="inlineStr">
        <is>
          <t>STRÖMSUND</t>
        </is>
      </c>
      <c r="I1326" t="n">
        <v>0.7</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63395-2025</t>
        </is>
      </c>
      <c r="B1327" t="inlineStr">
        <is>
          <t>avverkningsanmälan</t>
        </is>
      </c>
      <c r="C1327" t="inlineStr">
        <is>
          <t>Föryngringsavverkning</t>
        </is>
      </c>
      <c r="D1327" s="1" t="n">
        <v>46012</v>
      </c>
      <c r="E1327" s="1" t="n">
        <v>46318</v>
      </c>
      <c r="F1327" t="inlineStr">
        <is>
          <t>JÄMTLANDS LÄN</t>
        </is>
      </c>
      <c r="G1327" t="inlineStr">
        <is>
          <t>STRÖMSUND</t>
        </is>
      </c>
      <c r="I1327" t="n">
        <v>0.4</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63212-2025</t>
        </is>
      </c>
      <c r="B1328" t="inlineStr">
        <is>
          <t>avverkningsanmälan</t>
        </is>
      </c>
      <c r="C1328" t="inlineStr">
        <is>
          <t>Föryngringsavverkning</t>
        </is>
      </c>
      <c r="D1328" s="1" t="n">
        <v>46010</v>
      </c>
      <c r="E1328" s="1" t="n">
        <v>46318</v>
      </c>
      <c r="F1328" t="inlineStr">
        <is>
          <t>JÄMTLANDS LÄN</t>
        </is>
      </c>
      <c r="G1328" t="inlineStr">
        <is>
          <t>STRÖMSUND</t>
        </is>
      </c>
      <c r="I1328" t="n">
        <v>1.4</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18279-2025</t>
        </is>
      </c>
      <c r="B1329" t="inlineStr">
        <is>
          <t>avverkningsanmälan</t>
        </is>
      </c>
      <c r="C1329" t="inlineStr">
        <is>
          <t>Föryngringsavverkning</t>
        </is>
      </c>
      <c r="D1329" s="1" t="n">
        <v>45762</v>
      </c>
      <c r="E1329" s="1" t="n">
        <v>46318</v>
      </c>
      <c r="F1329" t="inlineStr">
        <is>
          <t>JÄMTLANDS LÄN</t>
        </is>
      </c>
      <c r="G1329" t="inlineStr">
        <is>
          <t>STRÖMSUND</t>
        </is>
      </c>
      <c r="I1329" t="n">
        <v>4.5</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63502-2025</t>
        </is>
      </c>
      <c r="B1330" t="inlineStr">
        <is>
          <t>avverkningsanmälan</t>
        </is>
      </c>
      <c r="C1330" t="inlineStr">
        <is>
          <t>Föryngringsavverkning</t>
        </is>
      </c>
      <c r="D1330" s="1" t="n">
        <v>46013</v>
      </c>
      <c r="E1330" s="1" t="n">
        <v>46318</v>
      </c>
      <c r="F1330" t="inlineStr">
        <is>
          <t>JÄMTLANDS LÄN</t>
        </is>
      </c>
      <c r="G1330" t="inlineStr">
        <is>
          <t>STRÖMSUND</t>
        </is>
      </c>
      <c r="I1330" t="n">
        <v>0.4</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19031-2025</t>
        </is>
      </c>
      <c r="B1331" t="inlineStr">
        <is>
          <t>avverkningsanmälan</t>
        </is>
      </c>
      <c r="C1331" t="inlineStr">
        <is>
          <t>Föryngringsavverkning</t>
        </is>
      </c>
      <c r="D1331" s="1" t="n">
        <v>45764</v>
      </c>
      <c r="E1331" s="1" t="n">
        <v>46318</v>
      </c>
      <c r="F1331" t="inlineStr">
        <is>
          <t>JÄMTLANDS LÄN</t>
        </is>
      </c>
      <c r="G1331" t="inlineStr">
        <is>
          <t>STRÖMSUND</t>
        </is>
      </c>
      <c r="H1331" t="inlineStr">
        <is>
          <t>SCA</t>
        </is>
      </c>
      <c r="I1331" t="n">
        <v>4</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51540-2025</t>
        </is>
      </c>
      <c r="B1332" t="inlineStr">
        <is>
          <t>avverkningsanmälan</t>
        </is>
      </c>
      <c r="C1332" t="inlineStr">
        <is>
          <t>Föryngringsavverkning</t>
        </is>
      </c>
      <c r="D1332" s="1" t="n">
        <v>45950</v>
      </c>
      <c r="E1332" s="1" t="n">
        <v>46318</v>
      </c>
      <c r="F1332" t="inlineStr">
        <is>
          <t>JÄMTLANDS LÄN</t>
        </is>
      </c>
      <c r="G1332" t="inlineStr">
        <is>
          <t>STRÖMSUND</t>
        </is>
      </c>
      <c r="H1332" t="inlineStr">
        <is>
          <t>SCA</t>
        </is>
      </c>
      <c r="I1332" t="n">
        <v>28</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18235-2024</t>
        </is>
      </c>
      <c r="B1333" t="inlineStr">
        <is>
          <t>avverkningsanmälan</t>
        </is>
      </c>
      <c r="C1333" t="inlineStr">
        <is>
          <t>Avverkning för att bevara och utveckla /försöksver</t>
        </is>
      </c>
      <c r="D1333" s="1" t="n">
        <v>45420</v>
      </c>
      <c r="E1333" s="1" t="n">
        <v>46318</v>
      </c>
      <c r="F1333" t="inlineStr">
        <is>
          <t>JÄMTLANDS LÄN</t>
        </is>
      </c>
      <c r="G1333" t="inlineStr">
        <is>
          <t>STRÖMSUND</t>
        </is>
      </c>
      <c r="H1333" t="inlineStr">
        <is>
          <t>SCA</t>
        </is>
      </c>
      <c r="I1333" t="n">
        <v>1.1</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18240-2024</t>
        </is>
      </c>
      <c r="B1334" t="inlineStr">
        <is>
          <t>avverkningsanmälan</t>
        </is>
      </c>
      <c r="C1334" t="inlineStr">
        <is>
          <t>Föryngringsavverkning</t>
        </is>
      </c>
      <c r="D1334" s="1" t="n">
        <v>45420</v>
      </c>
      <c r="E1334" s="1" t="n">
        <v>46318</v>
      </c>
      <c r="F1334" t="inlineStr">
        <is>
          <t>JÄMTLANDS LÄN</t>
        </is>
      </c>
      <c r="G1334" t="inlineStr">
        <is>
          <t>STRÖMSUND</t>
        </is>
      </c>
      <c r="H1334" t="inlineStr">
        <is>
          <t>SCA</t>
        </is>
      </c>
      <c r="I1334" t="n">
        <v>1.3</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63394-2025</t>
        </is>
      </c>
      <c r="B1335" t="inlineStr">
        <is>
          <t>avverkningsanmälan</t>
        </is>
      </c>
      <c r="C1335" t="inlineStr">
        <is>
          <t>Föryngringsavverkning</t>
        </is>
      </c>
      <c r="D1335" s="1" t="n">
        <v>46012</v>
      </c>
      <c r="E1335" s="1" t="n">
        <v>46318</v>
      </c>
      <c r="F1335" t="inlineStr">
        <is>
          <t>JÄMTLANDS LÄN</t>
        </is>
      </c>
      <c r="G1335" t="inlineStr">
        <is>
          <t>STRÖMSUND</t>
        </is>
      </c>
      <c r="I1335" t="n">
        <v>0.7</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63501-2025</t>
        </is>
      </c>
      <c r="B1336" t="inlineStr">
        <is>
          <t>avverkningsanmälan</t>
        </is>
      </c>
      <c r="C1336" t="inlineStr">
        <is>
          <t>Föryngringsavverkning</t>
        </is>
      </c>
      <c r="D1336" s="1" t="n">
        <v>46013</v>
      </c>
      <c r="E1336" s="1" t="n">
        <v>46318</v>
      </c>
      <c r="F1336" t="inlineStr">
        <is>
          <t>JÄMTLANDS LÄN</t>
        </is>
      </c>
      <c r="G1336" t="inlineStr">
        <is>
          <t>STRÖMSUND</t>
        </is>
      </c>
      <c r="I1336" t="n">
        <v>2</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63503-2025</t>
        </is>
      </c>
      <c r="B1337" t="inlineStr">
        <is>
          <t>avverkningsanmälan</t>
        </is>
      </c>
      <c r="C1337" t="inlineStr">
        <is>
          <t>Föryngringsavverkning</t>
        </is>
      </c>
      <c r="D1337" s="1" t="n">
        <v>46013</v>
      </c>
      <c r="E1337" s="1" t="n">
        <v>46318</v>
      </c>
      <c r="F1337" t="inlineStr">
        <is>
          <t>JÄMTLANDS LÄN</t>
        </is>
      </c>
      <c r="G1337" t="inlineStr">
        <is>
          <t>STRÖMSUND</t>
        </is>
      </c>
      <c r="I1337" t="n">
        <v>0.4</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23925-2026</t>
        </is>
      </c>
      <c r="B1338" t="inlineStr">
        <is>
          <t>avverkningsanmälan</t>
        </is>
      </c>
      <c r="C1338" t="inlineStr">
        <is>
          <t>Föryngringsavverkning</t>
        </is>
      </c>
      <c r="D1338" s="1" t="n">
        <v>46167</v>
      </c>
      <c r="E1338" s="1" t="n">
        <v>46318</v>
      </c>
      <c r="F1338" t="inlineStr">
        <is>
          <t>JÄMTLANDS LÄN</t>
        </is>
      </c>
      <c r="G1338" t="inlineStr">
        <is>
          <t>STRÖMSUND</t>
        </is>
      </c>
      <c r="H1338" t="inlineStr">
        <is>
          <t>SCA</t>
        </is>
      </c>
      <c r="I1338" t="n">
        <v>2.2</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63243-2025</t>
        </is>
      </c>
      <c r="B1339" t="inlineStr">
        <is>
          <t>avverkningsanmälan</t>
        </is>
      </c>
      <c r="C1339" t="inlineStr">
        <is>
          <t>Föryngringsavverkning</t>
        </is>
      </c>
      <c r="D1339" s="1" t="n">
        <v>46010</v>
      </c>
      <c r="E1339" s="1" t="n">
        <v>46318</v>
      </c>
      <c r="F1339" t="inlineStr">
        <is>
          <t>JÄMTLANDS LÄN</t>
        </is>
      </c>
      <c r="G1339" t="inlineStr">
        <is>
          <t>STRÖMSUND</t>
        </is>
      </c>
      <c r="H1339" t="inlineStr">
        <is>
          <t>SCA</t>
        </is>
      </c>
      <c r="I1339" t="n">
        <v>4.2</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5930-2024</t>
        </is>
      </c>
      <c r="B1340" t="inlineStr">
        <is>
          <t>avverkningsanmälan</t>
        </is>
      </c>
      <c r="C1340" t="inlineStr">
        <is>
          <t>Avverkning för annat ändamål</t>
        </is>
      </c>
      <c r="D1340" s="1" t="n">
        <v>45336</v>
      </c>
      <c r="E1340" s="1" t="n">
        <v>46318</v>
      </c>
      <c r="F1340" t="inlineStr">
        <is>
          <t>JÄMTLANDS LÄN</t>
        </is>
      </c>
      <c r="G1340" t="inlineStr">
        <is>
          <t>STRÖMSUND</t>
        </is>
      </c>
      <c r="H1340" t="inlineStr">
        <is>
          <t>Holmen skog AB</t>
        </is>
      </c>
      <c r="I1340" t="n">
        <v>0.3</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31846-2022</t>
        </is>
      </c>
      <c r="B1341" t="inlineStr">
        <is>
          <t>avverkningsanmälan</t>
        </is>
      </c>
      <c r="C1341" t="inlineStr">
        <is>
          <t>Föryngringsavverkning</t>
        </is>
      </c>
      <c r="D1341" s="1" t="n">
        <v>44776</v>
      </c>
      <c r="E1341" s="1" t="n">
        <v>46318</v>
      </c>
      <c r="F1341" t="inlineStr">
        <is>
          <t>JÄMTLANDS LÄN</t>
        </is>
      </c>
      <c r="G1341" t="inlineStr">
        <is>
          <t>STRÖMSUND</t>
        </is>
      </c>
      <c r="H1341" t="inlineStr">
        <is>
          <t>SCA</t>
        </is>
      </c>
      <c r="I1341" t="n">
        <v>19.1</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23701-2026</t>
        </is>
      </c>
      <c r="B1342" t="inlineStr">
        <is>
          <t>avverkningsanmälan</t>
        </is>
      </c>
      <c r="C1342" t="inlineStr">
        <is>
          <t>Föryngringsavverkning</t>
        </is>
      </c>
      <c r="D1342" s="1" t="n">
        <v>46164</v>
      </c>
      <c r="E1342" s="1" t="n">
        <v>46318</v>
      </c>
      <c r="F1342" t="inlineStr">
        <is>
          <t>JÄMTLANDS LÄN</t>
        </is>
      </c>
      <c r="G1342" t="inlineStr">
        <is>
          <t>STRÖMSUND</t>
        </is>
      </c>
      <c r="H1342" t="inlineStr">
        <is>
          <t>Holmen skog AB</t>
        </is>
      </c>
      <c r="I1342" t="n">
        <v>4.8</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52906-2024</t>
        </is>
      </c>
      <c r="B1343" t="inlineStr">
        <is>
          <t>avverkningsanmälan</t>
        </is>
      </c>
      <c r="C1343" t="inlineStr">
        <is>
          <t>Föryngringsavverkning</t>
        </is>
      </c>
      <c r="D1343" s="1" t="n">
        <v>45610</v>
      </c>
      <c r="E1343" s="1" t="n">
        <v>46318</v>
      </c>
      <c r="F1343" t="inlineStr">
        <is>
          <t>JÄMTLANDS LÄN</t>
        </is>
      </c>
      <c r="G1343" t="inlineStr">
        <is>
          <t>STRÖMSUND</t>
        </is>
      </c>
      <c r="H1343" t="inlineStr">
        <is>
          <t>SCA</t>
        </is>
      </c>
      <c r="I1343" t="n">
        <v>0.7</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26789-2025</t>
        </is>
      </c>
      <c r="B1344" t="inlineStr">
        <is>
          <t>avverkningsanmälan</t>
        </is>
      </c>
      <c r="C1344" t="inlineStr">
        <is>
          <t>Föryngringsavverkning</t>
        </is>
      </c>
      <c r="D1344" s="1" t="n">
        <v>45810</v>
      </c>
      <c r="E1344" s="1" t="n">
        <v>46318</v>
      </c>
      <c r="F1344" t="inlineStr">
        <is>
          <t>JÄMTLANDS LÄN</t>
        </is>
      </c>
      <c r="G1344" t="inlineStr">
        <is>
          <t>STRÖMSUND</t>
        </is>
      </c>
      <c r="I1344" t="n">
        <v>9.300000000000001</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55325-2024</t>
        </is>
      </c>
      <c r="B1345" t="inlineStr">
        <is>
          <t>avverkningsanmälan</t>
        </is>
      </c>
      <c r="C1345" t="inlineStr">
        <is>
          <t>Föryngringsavverkning</t>
        </is>
      </c>
      <c r="D1345" s="1" t="n">
        <v>45621</v>
      </c>
      <c r="E1345" s="1" t="n">
        <v>46318</v>
      </c>
      <c r="F1345" t="inlineStr">
        <is>
          <t>JÄMTLANDS LÄN</t>
        </is>
      </c>
      <c r="G1345" t="inlineStr">
        <is>
          <t>STRÖMSUND</t>
        </is>
      </c>
      <c r="I1345" t="n">
        <v>3.2</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23406-2023</t>
        </is>
      </c>
      <c r="B1346" t="inlineStr">
        <is>
          <t>avverkningsanmälan</t>
        </is>
      </c>
      <c r="C1346" t="inlineStr">
        <is>
          <t>Föryngringsavverkning</t>
        </is>
      </c>
      <c r="D1346" s="1" t="n">
        <v>45076</v>
      </c>
      <c r="E1346" s="1" t="n">
        <v>46318</v>
      </c>
      <c r="F1346" t="inlineStr">
        <is>
          <t>JÄMTLANDS LÄN</t>
        </is>
      </c>
      <c r="G1346" t="inlineStr">
        <is>
          <t>STRÖMSUND</t>
        </is>
      </c>
      <c r="I1346" t="n">
        <v>11.7</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29242-2024</t>
        </is>
      </c>
      <c r="B1347" t="inlineStr">
        <is>
          <t>avverkningsanmälan</t>
        </is>
      </c>
      <c r="C1347" t="inlineStr">
        <is>
          <t>Avverkning för att bevara och utveckla /försöksver</t>
        </is>
      </c>
      <c r="D1347" s="1" t="n">
        <v>45482</v>
      </c>
      <c r="E1347" s="1" t="n">
        <v>46318</v>
      </c>
      <c r="F1347" t="inlineStr">
        <is>
          <t>JÄMTLANDS LÄN</t>
        </is>
      </c>
      <c r="G1347" t="inlineStr">
        <is>
          <t>STRÖMSUND</t>
        </is>
      </c>
      <c r="H1347" t="inlineStr">
        <is>
          <t>SCA</t>
        </is>
      </c>
      <c r="I1347" t="n">
        <v>2.4</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29243-2024</t>
        </is>
      </c>
      <c r="B1348" t="inlineStr">
        <is>
          <t>avverkningsanmälan</t>
        </is>
      </c>
      <c r="C1348" t="inlineStr">
        <is>
          <t>Föryngringsavverkning</t>
        </is>
      </c>
      <c r="D1348" s="1" t="n">
        <v>45482</v>
      </c>
      <c r="E1348" s="1" t="n">
        <v>46318</v>
      </c>
      <c r="F1348" t="inlineStr">
        <is>
          <t>JÄMTLANDS LÄN</t>
        </is>
      </c>
      <c r="G1348" t="inlineStr">
        <is>
          <t>STRÖMSUND</t>
        </is>
      </c>
      <c r="H1348" t="inlineStr">
        <is>
          <t>SCA</t>
        </is>
      </c>
      <c r="I1348" t="n">
        <v>1.9</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24183-2026</t>
        </is>
      </c>
      <c r="B1349" t="inlineStr">
        <is>
          <t>avverkningsanmälan</t>
        </is>
      </c>
      <c r="C1349" t="inlineStr">
        <is>
          <t>Avverkning för att bevara och utveckla /försöksver</t>
        </is>
      </c>
      <c r="D1349" s="1" t="n">
        <v>46168</v>
      </c>
      <c r="E1349" s="1" t="n">
        <v>46318</v>
      </c>
      <c r="F1349" t="inlineStr">
        <is>
          <t>JÄMTLANDS LÄN</t>
        </is>
      </c>
      <c r="G1349" t="inlineStr">
        <is>
          <t>STRÖMSUND</t>
        </is>
      </c>
      <c r="H1349" t="inlineStr">
        <is>
          <t>SCA</t>
        </is>
      </c>
      <c r="I1349" t="n">
        <v>3.8</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24283-2026</t>
        </is>
      </c>
      <c r="B1350" t="inlineStr">
        <is>
          <t>avverkningsanmälan</t>
        </is>
      </c>
      <c r="C1350" t="inlineStr">
        <is>
          <t>Föryngringsavverkning</t>
        </is>
      </c>
      <c r="D1350" s="1" t="n">
        <v>46169</v>
      </c>
      <c r="E1350" s="1" t="n">
        <v>46318</v>
      </c>
      <c r="F1350" t="inlineStr">
        <is>
          <t>JÄMTLANDS LÄN</t>
        </is>
      </c>
      <c r="G1350" t="inlineStr">
        <is>
          <t>STRÖMSUND</t>
        </is>
      </c>
      <c r="H1350" t="inlineStr">
        <is>
          <t>SCA</t>
        </is>
      </c>
      <c r="I1350" t="n">
        <v>6.3</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41902-2024</t>
        </is>
      </c>
      <c r="B1351" t="inlineStr">
        <is>
          <t>avverkningsanmälan</t>
        </is>
      </c>
      <c r="C1351" t="inlineStr">
        <is>
          <t>Föryngringsavverkning</t>
        </is>
      </c>
      <c r="D1351" s="1" t="n">
        <v>45561</v>
      </c>
      <c r="E1351" s="1" t="n">
        <v>46318</v>
      </c>
      <c r="F1351" t="inlineStr">
        <is>
          <t>JÄMTLANDS LÄN</t>
        </is>
      </c>
      <c r="G1351" t="inlineStr">
        <is>
          <t>STRÖMSUND</t>
        </is>
      </c>
      <c r="H1351" t="inlineStr">
        <is>
          <t>SCA</t>
        </is>
      </c>
      <c r="I1351" t="n">
        <v>2.1</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41905-2024</t>
        </is>
      </c>
      <c r="B1352" t="inlineStr">
        <is>
          <t>avverkningsanmälan</t>
        </is>
      </c>
      <c r="C1352" t="inlineStr">
        <is>
          <t>Avverkning för att bevara och utveckla /försöksver</t>
        </is>
      </c>
      <c r="D1352" s="1" t="n">
        <v>45561</v>
      </c>
      <c r="E1352" s="1" t="n">
        <v>46318</v>
      </c>
      <c r="F1352" t="inlineStr">
        <is>
          <t>JÄMTLANDS LÄN</t>
        </is>
      </c>
      <c r="G1352" t="inlineStr">
        <is>
          <t>STRÖMSUND</t>
        </is>
      </c>
      <c r="H1352" t="inlineStr">
        <is>
          <t>SCA</t>
        </is>
      </c>
      <c r="I1352" t="n">
        <v>2.7</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56691-2023</t>
        </is>
      </c>
      <c r="B1353" t="inlineStr">
        <is>
          <t>avverkningsanmälan</t>
        </is>
      </c>
      <c r="C1353" t="inlineStr">
        <is>
          <t>Föryngringsavverkning</t>
        </is>
      </c>
      <c r="D1353" s="1" t="n">
        <v>45243</v>
      </c>
      <c r="E1353" s="1" t="n">
        <v>46318</v>
      </c>
      <c r="F1353" t="inlineStr">
        <is>
          <t>JÄMTLANDS LÄN</t>
        </is>
      </c>
      <c r="G1353" t="inlineStr">
        <is>
          <t>STRÖMSUND</t>
        </is>
      </c>
      <c r="H1353" t="inlineStr">
        <is>
          <t>SCA</t>
        </is>
      </c>
      <c r="I1353" t="n">
        <v>3.1</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24282-2026</t>
        </is>
      </c>
      <c r="B1354" t="inlineStr">
        <is>
          <t>avverkningsanmälan</t>
        </is>
      </c>
      <c r="C1354" t="inlineStr">
        <is>
          <t>Föryngringsavverkning</t>
        </is>
      </c>
      <c r="D1354" s="1" t="n">
        <v>46169</v>
      </c>
      <c r="E1354" s="1" t="n">
        <v>46318</v>
      </c>
      <c r="F1354" t="inlineStr">
        <is>
          <t>JÄMTLANDS LÄN</t>
        </is>
      </c>
      <c r="G1354" t="inlineStr">
        <is>
          <t>STRÖMSUND</t>
        </is>
      </c>
      <c r="H1354" t="inlineStr">
        <is>
          <t>SCA</t>
        </is>
      </c>
      <c r="I1354" t="n">
        <v>3.6</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24370-2026</t>
        </is>
      </c>
      <c r="B1355" t="inlineStr">
        <is>
          <t>avverkningsanmälan</t>
        </is>
      </c>
      <c r="C1355" t="inlineStr">
        <is>
          <t>Föryngringsavverkning</t>
        </is>
      </c>
      <c r="D1355" s="1" t="n">
        <v>46169</v>
      </c>
      <c r="E1355" s="1" t="n">
        <v>46318</v>
      </c>
      <c r="F1355" t="inlineStr">
        <is>
          <t>JÄMTLANDS LÄN</t>
        </is>
      </c>
      <c r="G1355" t="inlineStr">
        <is>
          <t>STRÖMSUND</t>
        </is>
      </c>
      <c r="H1355" t="inlineStr">
        <is>
          <t>SCA</t>
        </is>
      </c>
      <c r="I1355" t="n">
        <v>10</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24371-2026</t>
        </is>
      </c>
      <c r="B1356" t="inlineStr">
        <is>
          <t>avverkningsanmälan</t>
        </is>
      </c>
      <c r="C1356" t="inlineStr">
        <is>
          <t>Föryngringsavverkning</t>
        </is>
      </c>
      <c r="D1356" s="1" t="n">
        <v>46169</v>
      </c>
      <c r="E1356" s="1" t="n">
        <v>46318</v>
      </c>
      <c r="F1356" t="inlineStr">
        <is>
          <t>JÄMTLANDS LÄN</t>
        </is>
      </c>
      <c r="G1356" t="inlineStr">
        <is>
          <t>STRÖMSUND</t>
        </is>
      </c>
      <c r="H1356" t="inlineStr">
        <is>
          <t>SCA</t>
        </is>
      </c>
      <c r="I1356" t="n">
        <v>2.4</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24182-2026</t>
        </is>
      </c>
      <c r="B1357" t="inlineStr">
        <is>
          <t>avverkningsanmälan</t>
        </is>
      </c>
      <c r="C1357" t="inlineStr">
        <is>
          <t>Avverkning för att bevara och utveckla /försöksver</t>
        </is>
      </c>
      <c r="D1357" s="1" t="n">
        <v>46168</v>
      </c>
      <c r="E1357" s="1" t="n">
        <v>46318</v>
      </c>
      <c r="F1357" t="inlineStr">
        <is>
          <t>JÄMTLANDS LÄN</t>
        </is>
      </c>
      <c r="G1357" t="inlineStr">
        <is>
          <t>STRÖMSUND</t>
        </is>
      </c>
      <c r="H1357" t="inlineStr">
        <is>
          <t>SCA</t>
        </is>
      </c>
      <c r="I1357" t="n">
        <v>1.8</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14344-2023</t>
        </is>
      </c>
      <c r="B1358" t="inlineStr">
        <is>
          <t>avverkningsanmälan</t>
        </is>
      </c>
      <c r="C1358" t="inlineStr">
        <is>
          <t>Avverkning för annat ändamål</t>
        </is>
      </c>
      <c r="D1358" s="1" t="n">
        <v>45012</v>
      </c>
      <c r="E1358" s="1" t="n">
        <v>46318</v>
      </c>
      <c r="F1358" t="inlineStr">
        <is>
          <t>JÄMTLANDS LÄN</t>
        </is>
      </c>
      <c r="G1358" t="inlineStr">
        <is>
          <t>STRÖMSUND</t>
        </is>
      </c>
      <c r="I1358" t="n">
        <v>0.2</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62229-2022</t>
        </is>
      </c>
      <c r="B1359" t="inlineStr">
        <is>
          <t>avverkningsanmälan</t>
        </is>
      </c>
      <c r="C1359" t="inlineStr">
        <is>
          <t>Föryngringsavverkning</t>
        </is>
      </c>
      <c r="D1359" s="1" t="n">
        <v>44916</v>
      </c>
      <c r="E1359" s="1" t="n">
        <v>46318</v>
      </c>
      <c r="F1359" t="inlineStr">
        <is>
          <t>JÄMTLANDS LÄN</t>
        </is>
      </c>
      <c r="G1359" t="inlineStr">
        <is>
          <t>STRÖMSUND</t>
        </is>
      </c>
      <c r="I1359" t="n">
        <v>0.9</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57429-2023</t>
        </is>
      </c>
      <c r="B1360" t="inlineStr">
        <is>
          <t>avverkningsanmälan</t>
        </is>
      </c>
      <c r="C1360" t="inlineStr">
        <is>
          <t>Föryngringsavverkning</t>
        </is>
      </c>
      <c r="D1360" s="1" t="n">
        <v>45240</v>
      </c>
      <c r="E1360" s="1" t="n">
        <v>46318</v>
      </c>
      <c r="F1360" t="inlineStr">
        <is>
          <t>JÄMTLANDS LÄN</t>
        </is>
      </c>
      <c r="G1360" t="inlineStr">
        <is>
          <t>STRÖMSUND</t>
        </is>
      </c>
      <c r="I1360" t="n">
        <v>0.7</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237-2026</t>
        </is>
      </c>
      <c r="B1361" t="inlineStr">
        <is>
          <t>avverkningsanmälan</t>
        </is>
      </c>
      <c r="C1361" t="inlineStr">
        <is>
          <t>Föryngringsavverkning</t>
        </is>
      </c>
      <c r="D1361" s="1" t="n">
        <v>46027</v>
      </c>
      <c r="E1361" s="1" t="n">
        <v>46318</v>
      </c>
      <c r="F1361" t="inlineStr">
        <is>
          <t>JÄMTLANDS LÄN</t>
        </is>
      </c>
      <c r="G1361" t="inlineStr">
        <is>
          <t>STRÖMSUND</t>
        </is>
      </c>
      <c r="H1361" t="inlineStr">
        <is>
          <t>SCA</t>
        </is>
      </c>
      <c r="I1361" t="n">
        <v>4.5</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30707-2026</t>
        </is>
      </c>
      <c r="B1362" t="inlineStr">
        <is>
          <t>avverkningsanmälan</t>
        </is>
      </c>
      <c r="C1362" t="inlineStr">
        <is>
          <t>Avverkning för annat ändamål</t>
        </is>
      </c>
      <c r="D1362" s="1" t="n">
        <v>46211</v>
      </c>
      <c r="E1362" s="1" t="n">
        <v>46318</v>
      </c>
      <c r="F1362" t="inlineStr">
        <is>
          <t>JÄMTLANDS LÄN</t>
        </is>
      </c>
      <c r="G1362" t="inlineStr">
        <is>
          <t>STRÖMSUND</t>
        </is>
      </c>
      <c r="I1362" t="n">
        <v>64.7</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41150-2023</t>
        </is>
      </c>
      <c r="B1363" t="inlineStr">
        <is>
          <t>avverkningsanmälan</t>
        </is>
      </c>
      <c r="C1363" t="inlineStr">
        <is>
          <t>Föryngringsavverkning</t>
        </is>
      </c>
      <c r="D1363" s="1" t="n">
        <v>45173</v>
      </c>
      <c r="E1363" s="1" t="n">
        <v>46318</v>
      </c>
      <c r="F1363" t="inlineStr">
        <is>
          <t>JÄMTLANDS LÄN</t>
        </is>
      </c>
      <c r="G1363" t="inlineStr">
        <is>
          <t>STRÖMSUND</t>
        </is>
      </c>
      <c r="H1363" t="inlineStr">
        <is>
          <t>SCA</t>
        </is>
      </c>
      <c r="I1363" t="n">
        <v>1.1</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24405-2026</t>
        </is>
      </c>
      <c r="B1364" t="inlineStr">
        <is>
          <t>avverkningsanmälan</t>
        </is>
      </c>
      <c r="C1364" t="inlineStr">
        <is>
          <t>Avverkning för annat ändamål</t>
        </is>
      </c>
      <c r="D1364" s="1" t="n">
        <v>46169</v>
      </c>
      <c r="E1364" s="1" t="n">
        <v>46318</v>
      </c>
      <c r="F1364" t="inlineStr">
        <is>
          <t>JÄMTLANDS LÄN</t>
        </is>
      </c>
      <c r="G1364" t="inlineStr">
        <is>
          <t>STRÖMSUND</t>
        </is>
      </c>
      <c r="I1364" t="n">
        <v>0.7</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55340-2023</t>
        </is>
      </c>
      <c r="B1365" t="inlineStr">
        <is>
          <t>avverkningsanmälan</t>
        </is>
      </c>
      <c r="C1365" t="inlineStr">
        <is>
          <t>Föryngringsavverkning</t>
        </is>
      </c>
      <c r="D1365" s="1" t="n">
        <v>45237</v>
      </c>
      <c r="E1365" s="1" t="n">
        <v>46318</v>
      </c>
      <c r="F1365" t="inlineStr">
        <is>
          <t>JÄMTLANDS LÄN</t>
        </is>
      </c>
      <c r="G1365" t="inlineStr">
        <is>
          <t>STRÖMSUND</t>
        </is>
      </c>
      <c r="H1365" t="inlineStr">
        <is>
          <t>SCA</t>
        </is>
      </c>
      <c r="I1365" t="n">
        <v>4</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493-2026</t>
        </is>
      </c>
      <c r="B1366" t="inlineStr">
        <is>
          <t>avverkningsanmälan</t>
        </is>
      </c>
      <c r="C1366" t="inlineStr">
        <is>
          <t>Föryngringsavverkning</t>
        </is>
      </c>
      <c r="D1366" s="1" t="n">
        <v>46029</v>
      </c>
      <c r="E1366" s="1" t="n">
        <v>46318</v>
      </c>
      <c r="F1366" t="inlineStr">
        <is>
          <t>JÄMTLANDS LÄN</t>
        </is>
      </c>
      <c r="G1366" t="inlineStr">
        <is>
          <t>STRÖMSUND</t>
        </is>
      </c>
      <c r="H1366" t="inlineStr">
        <is>
          <t>SCA</t>
        </is>
      </c>
      <c r="I1366" t="n">
        <v>20.8</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701-2026</t>
        </is>
      </c>
      <c r="B1367" t="inlineStr">
        <is>
          <t>avverkningsanmälan</t>
        </is>
      </c>
      <c r="C1367" t="inlineStr">
        <is>
          <t>Föryngringsavverkning</t>
        </is>
      </c>
      <c r="D1367" s="1" t="n">
        <v>46029</v>
      </c>
      <c r="E1367" s="1" t="n">
        <v>46318</v>
      </c>
      <c r="F1367" t="inlineStr">
        <is>
          <t>JÄMTLANDS LÄN</t>
        </is>
      </c>
      <c r="G1367" t="inlineStr">
        <is>
          <t>STRÖMSUND</t>
        </is>
      </c>
      <c r="H1367" t="inlineStr">
        <is>
          <t>SCA</t>
        </is>
      </c>
      <c r="I1367" t="n">
        <v>13</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528-2026</t>
        </is>
      </c>
      <c r="B1368" t="inlineStr">
        <is>
          <t>avverkningsanmälan</t>
        </is>
      </c>
      <c r="C1368" t="inlineStr">
        <is>
          <t>Föryngringsavverkning</t>
        </is>
      </c>
      <c r="D1368" s="1" t="n">
        <v>46029</v>
      </c>
      <c r="E1368" s="1" t="n">
        <v>46318</v>
      </c>
      <c r="F1368" t="inlineStr">
        <is>
          <t>JÄMTLANDS LÄN</t>
        </is>
      </c>
      <c r="G1368" t="inlineStr">
        <is>
          <t>STRÖMSUND</t>
        </is>
      </c>
      <c r="I1368" t="n">
        <v>5.3</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631-2026</t>
        </is>
      </c>
      <c r="B1369" t="inlineStr">
        <is>
          <t>avverkningsanmälan</t>
        </is>
      </c>
      <c r="C1369" t="inlineStr">
        <is>
          <t>Föryngringsavverkning</t>
        </is>
      </c>
      <c r="D1369" s="1" t="n">
        <v>46029</v>
      </c>
      <c r="E1369" s="1" t="n">
        <v>46318</v>
      </c>
      <c r="F1369" t="inlineStr">
        <is>
          <t>JÄMTLANDS LÄN</t>
        </is>
      </c>
      <c r="G1369" t="inlineStr">
        <is>
          <t>STRÖMSUND</t>
        </is>
      </c>
      <c r="I1369" t="n">
        <v>7.9</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52559-2024</t>
        </is>
      </c>
      <c r="B1370" t="inlineStr">
        <is>
          <t>avverkningsanmälan</t>
        </is>
      </c>
      <c r="C1370" t="inlineStr">
        <is>
          <t>Föryngringsavverkning</t>
        </is>
      </c>
      <c r="D1370" s="1" t="n">
        <v>45609</v>
      </c>
      <c r="E1370" s="1" t="n">
        <v>46318</v>
      </c>
      <c r="F1370" t="inlineStr">
        <is>
          <t>JÄMTLANDS LÄN</t>
        </is>
      </c>
      <c r="G1370" t="inlineStr">
        <is>
          <t>STRÖMSUND</t>
        </is>
      </c>
      <c r="H1370" t="inlineStr">
        <is>
          <t>Holmen skog AB</t>
        </is>
      </c>
      <c r="I1370" t="n">
        <v>0.6</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10422-2024</t>
        </is>
      </c>
      <c r="B1371" t="inlineStr">
        <is>
          <t>avverkningsanmälan</t>
        </is>
      </c>
      <c r="C1371" t="inlineStr">
        <is>
          <t>Föryngringsavverkning</t>
        </is>
      </c>
      <c r="D1371" s="1" t="n">
        <v>45365</v>
      </c>
      <c r="E1371" s="1" t="n">
        <v>46318</v>
      </c>
      <c r="F1371" t="inlineStr">
        <is>
          <t>JÄMTLANDS LÄN</t>
        </is>
      </c>
      <c r="G1371" t="inlineStr">
        <is>
          <t>STRÖMSUND</t>
        </is>
      </c>
      <c r="I1371" t="n">
        <v>9.9</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25231-2026</t>
        </is>
      </c>
      <c r="B1372" t="inlineStr">
        <is>
          <t>avverkningsanmälan</t>
        </is>
      </c>
      <c r="C1372" t="inlineStr">
        <is>
          <t>Avverkning för annat ändamål</t>
        </is>
      </c>
      <c r="D1372" s="1" t="n">
        <v>46171</v>
      </c>
      <c r="E1372" s="1" t="n">
        <v>46318</v>
      </c>
      <c r="F1372" t="inlineStr">
        <is>
          <t>JÄMTLANDS LÄN</t>
        </is>
      </c>
      <c r="G1372" t="inlineStr">
        <is>
          <t>STRÖMSUND</t>
        </is>
      </c>
      <c r="I1372" t="n">
        <v>2.2</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40103-2023</t>
        </is>
      </c>
      <c r="B1373" t="inlineStr">
        <is>
          <t>avverkningsanmälan</t>
        </is>
      </c>
      <c r="C1373" t="inlineStr">
        <is>
          <t>Föryngringsavverkning</t>
        </is>
      </c>
      <c r="D1373" s="1" t="n">
        <v>45168</v>
      </c>
      <c r="E1373" s="1" t="n">
        <v>46318</v>
      </c>
      <c r="F1373" t="inlineStr">
        <is>
          <t>JÄMTLANDS LÄN</t>
        </is>
      </c>
      <c r="G1373" t="inlineStr">
        <is>
          <t>STRÖMSUND</t>
        </is>
      </c>
      <c r="H1373" t="inlineStr">
        <is>
          <t>SCA</t>
        </is>
      </c>
      <c r="I1373" t="n">
        <v>0.6</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24580-2026</t>
        </is>
      </c>
      <c r="B1374" t="inlineStr">
        <is>
          <t>avverkningsanmälan</t>
        </is>
      </c>
      <c r="C1374" t="inlineStr">
        <is>
          <t>Föryngringsavverkning</t>
        </is>
      </c>
      <c r="D1374" s="1" t="n">
        <v>46170</v>
      </c>
      <c r="E1374" s="1" t="n">
        <v>46318</v>
      </c>
      <c r="F1374" t="inlineStr">
        <is>
          <t>JÄMTLANDS LÄN</t>
        </is>
      </c>
      <c r="G1374" t="inlineStr">
        <is>
          <t>STRÖMSUND</t>
        </is>
      </c>
      <c r="H1374" t="inlineStr">
        <is>
          <t>SCA</t>
        </is>
      </c>
      <c r="I1374" t="n">
        <v>6.5</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1351-2026</t>
        </is>
      </c>
      <c r="B1375" t="inlineStr">
        <is>
          <t>avverkningsanmälan</t>
        </is>
      </c>
      <c r="C1375" t="inlineStr">
        <is>
          <t>Föryngringsavverkning</t>
        </is>
      </c>
      <c r="D1375" s="1" t="n">
        <v>46031</v>
      </c>
      <c r="E1375" s="1" t="n">
        <v>46318</v>
      </c>
      <c r="F1375" t="inlineStr">
        <is>
          <t>JÄMTLANDS LÄN</t>
        </is>
      </c>
      <c r="G1375" t="inlineStr">
        <is>
          <t>STRÖMSUND</t>
        </is>
      </c>
      <c r="H1375" t="inlineStr">
        <is>
          <t>SCA</t>
        </is>
      </c>
      <c r="I1375" t="n">
        <v>33.4</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59436-2023</t>
        </is>
      </c>
      <c r="B1376" t="inlineStr">
        <is>
          <t>avverkningsanmälan</t>
        </is>
      </c>
      <c r="C1376" t="inlineStr">
        <is>
          <t>Avverkning för annat ändamål</t>
        </is>
      </c>
      <c r="D1376" s="1" t="n">
        <v>45253</v>
      </c>
      <c r="E1376" s="1" t="n">
        <v>46318</v>
      </c>
      <c r="F1376" t="inlineStr">
        <is>
          <t>JÄMTLANDS LÄN</t>
        </is>
      </c>
      <c r="G1376" t="inlineStr">
        <is>
          <t>STRÖMSUND</t>
        </is>
      </c>
      <c r="I1376" t="n">
        <v>5</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34817-2024</t>
        </is>
      </c>
      <c r="B1377" t="inlineStr">
        <is>
          <t>avverkningsanmälan</t>
        </is>
      </c>
      <c r="C1377" t="inlineStr">
        <is>
          <t>Föryngringsavverkning</t>
        </is>
      </c>
      <c r="D1377" s="1" t="n">
        <v>45526</v>
      </c>
      <c r="E1377" s="1" t="n">
        <v>46318</v>
      </c>
      <c r="F1377" t="inlineStr">
        <is>
          <t>JÄMTLANDS LÄN</t>
        </is>
      </c>
      <c r="G1377" t="inlineStr">
        <is>
          <t>STRÖMSUND</t>
        </is>
      </c>
      <c r="H1377" t="inlineStr">
        <is>
          <t>SCA</t>
        </is>
      </c>
      <c r="I1377" t="n">
        <v>2.1</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1228-2026</t>
        </is>
      </c>
      <c r="B1378" t="inlineStr">
        <is>
          <t>avverkningsanmälan</t>
        </is>
      </c>
      <c r="C1378" t="inlineStr">
        <is>
          <t>Föryngringsavverkning</t>
        </is>
      </c>
      <c r="D1378" s="1" t="n">
        <v>46031</v>
      </c>
      <c r="E1378" s="1" t="n">
        <v>46318</v>
      </c>
      <c r="F1378" t="inlineStr">
        <is>
          <t>JÄMTLANDS LÄN</t>
        </is>
      </c>
      <c r="G1378" t="inlineStr">
        <is>
          <t>STRÖMSUND</t>
        </is>
      </c>
      <c r="I1378" t="n">
        <v>4.8</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24499-2026</t>
        </is>
      </c>
      <c r="B1379" t="inlineStr">
        <is>
          <t>avverkningsanmälan</t>
        </is>
      </c>
      <c r="C1379" t="inlineStr">
        <is>
          <t>Föryngringsavverkning</t>
        </is>
      </c>
      <c r="D1379" s="1" t="n">
        <v>46170</v>
      </c>
      <c r="E1379" s="1" t="n">
        <v>46318</v>
      </c>
      <c r="F1379" t="inlineStr">
        <is>
          <t>JÄMTLANDS LÄN</t>
        </is>
      </c>
      <c r="G1379" t="inlineStr">
        <is>
          <t>STRÖMSUND</t>
        </is>
      </c>
      <c r="H1379" t="inlineStr">
        <is>
          <t>SCA</t>
        </is>
      </c>
      <c r="I1379" t="n">
        <v>1.4</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24791-2026</t>
        </is>
      </c>
      <c r="B1380" t="inlineStr">
        <is>
          <t>avverkningsanmälan</t>
        </is>
      </c>
      <c r="C1380" t="inlineStr">
        <is>
          <t>Avverkning för annat ändamål</t>
        </is>
      </c>
      <c r="D1380" s="1" t="n">
        <v>46170</v>
      </c>
      <c r="E1380" s="1" t="n">
        <v>46318</v>
      </c>
      <c r="F1380" t="inlineStr">
        <is>
          <t>JÄMTLANDS LÄN</t>
        </is>
      </c>
      <c r="G1380" t="inlineStr">
        <is>
          <t>STRÖMSUND</t>
        </is>
      </c>
      <c r="I1380" t="n">
        <v>1</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1084-2026</t>
        </is>
      </c>
      <c r="B1381" t="inlineStr">
        <is>
          <t>avverkningsanmälan</t>
        </is>
      </c>
      <c r="C1381" t="inlineStr">
        <is>
          <t>Föryngringsavverkning</t>
        </is>
      </c>
      <c r="D1381" s="1" t="n">
        <v>46030</v>
      </c>
      <c r="E1381" s="1" t="n">
        <v>46318</v>
      </c>
      <c r="F1381" t="inlineStr">
        <is>
          <t>JÄMTLANDS LÄN</t>
        </is>
      </c>
      <c r="G1381" t="inlineStr">
        <is>
          <t>STRÖMSUND</t>
        </is>
      </c>
      <c r="H1381" t="inlineStr">
        <is>
          <t>SCA</t>
        </is>
      </c>
      <c r="I1381" t="n">
        <v>1.9</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40105-2023</t>
        </is>
      </c>
      <c r="B1382" t="inlineStr">
        <is>
          <t>avverkningsanmälan</t>
        </is>
      </c>
      <c r="C1382" t="inlineStr">
        <is>
          <t>Föryngringsavverkning</t>
        </is>
      </c>
      <c r="D1382" s="1" t="n">
        <v>45168</v>
      </c>
      <c r="E1382" s="1" t="n">
        <v>46318</v>
      </c>
      <c r="F1382" t="inlineStr">
        <is>
          <t>JÄMTLANDS LÄN</t>
        </is>
      </c>
      <c r="G1382" t="inlineStr">
        <is>
          <t>STRÖMSUND</t>
        </is>
      </c>
      <c r="H1382" t="inlineStr">
        <is>
          <t>SCA</t>
        </is>
      </c>
      <c r="I1382" t="n">
        <v>1.5</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4507-2024</t>
        </is>
      </c>
      <c r="B1383" t="inlineStr">
        <is>
          <t>avverkningsanmälan</t>
        </is>
      </c>
      <c r="C1383" t="inlineStr">
        <is>
          <t>Föryngringsavverkning</t>
        </is>
      </c>
      <c r="D1383" s="1" t="n">
        <v>45327</v>
      </c>
      <c r="E1383" s="1" t="n">
        <v>46318</v>
      </c>
      <c r="F1383" t="inlineStr">
        <is>
          <t>JÄMTLANDS LÄN</t>
        </is>
      </c>
      <c r="G1383" t="inlineStr">
        <is>
          <t>STRÖMSUND</t>
        </is>
      </c>
      <c r="H1383" t="inlineStr">
        <is>
          <t>Kyrkan</t>
        </is>
      </c>
      <c r="I1383" t="n">
        <v>1.1</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29335-2023</t>
        </is>
      </c>
      <c r="B1384" t="inlineStr">
        <is>
          <t>avverkningsanmälan</t>
        </is>
      </c>
      <c r="C1384" t="inlineStr">
        <is>
          <t>Avverkning för att bevara och utveckla /försöksver</t>
        </is>
      </c>
      <c r="D1384" s="1" t="n">
        <v>45105</v>
      </c>
      <c r="E1384" s="1" t="n">
        <v>46318</v>
      </c>
      <c r="F1384" t="inlineStr">
        <is>
          <t>JÄMTLANDS LÄN</t>
        </is>
      </c>
      <c r="G1384" t="inlineStr">
        <is>
          <t>STRÖMSUND</t>
        </is>
      </c>
      <c r="H1384" t="inlineStr">
        <is>
          <t>SCA</t>
        </is>
      </c>
      <c r="I1384" t="n">
        <v>4.2</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1229-2026</t>
        </is>
      </c>
      <c r="B1385" t="inlineStr">
        <is>
          <t>avverkningsanmälan</t>
        </is>
      </c>
      <c r="C1385" t="inlineStr">
        <is>
          <t>Föryngringsavverkning</t>
        </is>
      </c>
      <c r="D1385" s="1" t="n">
        <v>46031</v>
      </c>
      <c r="E1385" s="1" t="n">
        <v>46318</v>
      </c>
      <c r="F1385" t="inlineStr">
        <is>
          <t>JÄMTLANDS LÄN</t>
        </is>
      </c>
      <c r="G1385" t="inlineStr">
        <is>
          <t>STRÖMSUND</t>
        </is>
      </c>
      <c r="I1385" t="n">
        <v>3</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25012-2026</t>
        </is>
      </c>
      <c r="B1386" t="inlineStr">
        <is>
          <t>avverkningsanmälan</t>
        </is>
      </c>
      <c r="C1386" t="inlineStr">
        <is>
          <t>Föryngringsavverkning</t>
        </is>
      </c>
      <c r="D1386" s="1" t="n">
        <v>46174</v>
      </c>
      <c r="E1386" s="1" t="n">
        <v>46318</v>
      </c>
      <c r="F1386" t="inlineStr">
        <is>
          <t>JÄMTLANDS LÄN</t>
        </is>
      </c>
      <c r="G1386" t="inlineStr">
        <is>
          <t>STRÖMSUND</t>
        </is>
      </c>
      <c r="I1386" t="n">
        <v>10.6</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25051-2026</t>
        </is>
      </c>
      <c r="B1387" t="inlineStr">
        <is>
          <t>avverkningsanmälan</t>
        </is>
      </c>
      <c r="C1387" t="inlineStr">
        <is>
          <t>Föryngringsavverkning</t>
        </is>
      </c>
      <c r="D1387" s="1" t="n">
        <v>46174</v>
      </c>
      <c r="E1387" s="1" t="n">
        <v>46318</v>
      </c>
      <c r="F1387" t="inlineStr">
        <is>
          <t>JÄMTLANDS LÄN</t>
        </is>
      </c>
      <c r="G1387" t="inlineStr">
        <is>
          <t>STRÖMSUND</t>
        </is>
      </c>
      <c r="I1387" t="n">
        <v>9.4</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1719-2026</t>
        </is>
      </c>
      <c r="B1388" t="inlineStr">
        <is>
          <t>avverkningsanmälan</t>
        </is>
      </c>
      <c r="C1388" t="inlineStr">
        <is>
          <t>Föryngringsavverkning</t>
        </is>
      </c>
      <c r="D1388" s="1" t="n">
        <v>46034</v>
      </c>
      <c r="E1388" s="1" t="n">
        <v>46318</v>
      </c>
      <c r="F1388" t="inlineStr">
        <is>
          <t>JÄMTLANDS LÄN</t>
        </is>
      </c>
      <c r="G1388" t="inlineStr">
        <is>
          <t>STRÖMSUND</t>
        </is>
      </c>
      <c r="H1388" t="inlineStr">
        <is>
          <t>SCA</t>
        </is>
      </c>
      <c r="I1388" t="n">
        <v>15.7</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54294-2025</t>
        </is>
      </c>
      <c r="B1389" t="inlineStr">
        <is>
          <t>avverkningsanmälan</t>
        </is>
      </c>
      <c r="C1389" t="inlineStr">
        <is>
          <t>Föryngringsavverkning</t>
        </is>
      </c>
      <c r="D1389" s="1" t="n">
        <v>45964</v>
      </c>
      <c r="E1389" s="1" t="n">
        <v>46318</v>
      </c>
      <c r="F1389" t="inlineStr">
        <is>
          <t>JÄMTLANDS LÄN</t>
        </is>
      </c>
      <c r="G1389" t="inlineStr">
        <is>
          <t>STRÖMSUND</t>
        </is>
      </c>
      <c r="I1389" t="n">
        <v>1.7</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24711-2026</t>
        </is>
      </c>
      <c r="B1390" t="inlineStr">
        <is>
          <t>avverkningsanmälan</t>
        </is>
      </c>
      <c r="C1390" t="inlineStr">
        <is>
          <t>Avverkning för att bevara och utveckla /försöksver</t>
        </is>
      </c>
      <c r="D1390" s="1" t="n">
        <v>46171</v>
      </c>
      <c r="E1390" s="1" t="n">
        <v>46318</v>
      </c>
      <c r="F1390" t="inlineStr">
        <is>
          <t>JÄMTLANDS LÄN</t>
        </is>
      </c>
      <c r="G1390" t="inlineStr">
        <is>
          <t>STRÖMSUND</t>
        </is>
      </c>
      <c r="H1390" t="inlineStr">
        <is>
          <t>SCA</t>
        </is>
      </c>
      <c r="I1390" t="n">
        <v>5.3</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42949-2024</t>
        </is>
      </c>
      <c r="B1391" t="inlineStr">
        <is>
          <t>avverkningsanmälan</t>
        </is>
      </c>
      <c r="C1391" t="inlineStr">
        <is>
          <t>Föryngringsavverkning</t>
        </is>
      </c>
      <c r="D1391" s="1" t="n">
        <v>45567</v>
      </c>
      <c r="E1391" s="1" t="n">
        <v>46318</v>
      </c>
      <c r="F1391" t="inlineStr">
        <is>
          <t>JÄMTLANDS LÄN</t>
        </is>
      </c>
      <c r="G1391" t="inlineStr">
        <is>
          <t>STRÖMSUND</t>
        </is>
      </c>
      <c r="H1391" t="inlineStr">
        <is>
          <t>SCA</t>
        </is>
      </c>
      <c r="I1391" t="n">
        <v>0.7</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42960-2024</t>
        </is>
      </c>
      <c r="B1392" t="inlineStr">
        <is>
          <t>avverkningsanmälan</t>
        </is>
      </c>
      <c r="C1392" t="inlineStr">
        <is>
          <t>Föryngringsavverkning</t>
        </is>
      </c>
      <c r="D1392" s="1" t="n">
        <v>45567</v>
      </c>
      <c r="E1392" s="1" t="n">
        <v>46318</v>
      </c>
      <c r="F1392" t="inlineStr">
        <is>
          <t>JÄMTLANDS LÄN</t>
        </is>
      </c>
      <c r="G1392" t="inlineStr">
        <is>
          <t>STRÖMSUND</t>
        </is>
      </c>
      <c r="H1392" t="inlineStr">
        <is>
          <t>SCA</t>
        </is>
      </c>
      <c r="I1392" t="n">
        <v>6.1</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43890-2024</t>
        </is>
      </c>
      <c r="B1393" t="inlineStr">
        <is>
          <t>avverkningsanmälan</t>
        </is>
      </c>
      <c r="C1393" t="inlineStr">
        <is>
          <t>Föryngringsavverkning</t>
        </is>
      </c>
      <c r="D1393" s="1" t="n">
        <v>45572</v>
      </c>
      <c r="E1393" s="1" t="n">
        <v>46318</v>
      </c>
      <c r="F1393" t="inlineStr">
        <is>
          <t>JÄMTLANDS LÄN</t>
        </is>
      </c>
      <c r="G1393" t="inlineStr">
        <is>
          <t>STRÖMSUND</t>
        </is>
      </c>
      <c r="I1393" t="n">
        <v>0.5</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9035-2024</t>
        </is>
      </c>
      <c r="B1394" t="inlineStr">
        <is>
          <t>avverkningsanmälan</t>
        </is>
      </c>
      <c r="C1394" t="inlineStr">
        <is>
          <t>Avverkning för annat ändamål</t>
        </is>
      </c>
      <c r="D1394" s="1" t="n">
        <v>45356</v>
      </c>
      <c r="E1394" s="1" t="n">
        <v>46318</v>
      </c>
      <c r="F1394" t="inlineStr">
        <is>
          <t>JÄMTLANDS LÄN</t>
        </is>
      </c>
      <c r="G1394" t="inlineStr">
        <is>
          <t>STRÖMSUND</t>
        </is>
      </c>
      <c r="I1394" t="n">
        <v>1.8</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4419-2025</t>
        </is>
      </c>
      <c r="B1395" t="inlineStr">
        <is>
          <t>avverkningsanmälan</t>
        </is>
      </c>
      <c r="C1395" t="inlineStr">
        <is>
          <t>Föryngringsavverkning</t>
        </is>
      </c>
      <c r="D1395" s="1" t="n">
        <v>45686</v>
      </c>
      <c r="E1395" s="1" t="n">
        <v>46318</v>
      </c>
      <c r="F1395" t="inlineStr">
        <is>
          <t>JÄMTLANDS LÄN</t>
        </is>
      </c>
      <c r="G1395" t="inlineStr">
        <is>
          <t>STRÖMSUND</t>
        </is>
      </c>
      <c r="I1395" t="n">
        <v>2.9</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33756-2025</t>
        </is>
      </c>
      <c r="B1396" t="inlineStr">
        <is>
          <t>avverkningsanmälan</t>
        </is>
      </c>
      <c r="C1396" t="inlineStr">
        <is>
          <t>Föryngringsavverkning</t>
        </is>
      </c>
      <c r="D1396" s="1" t="n">
        <v>45842</v>
      </c>
      <c r="E1396" s="1" t="n">
        <v>46318</v>
      </c>
      <c r="F1396" t="inlineStr">
        <is>
          <t>JÄMTLANDS LÄN</t>
        </is>
      </c>
      <c r="G1396" t="inlineStr">
        <is>
          <t>STRÖMSUND</t>
        </is>
      </c>
      <c r="I1396" t="n">
        <v>10.1</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1908-2026</t>
        </is>
      </c>
      <c r="B1397" t="inlineStr">
        <is>
          <t>avverkningsanmälan</t>
        </is>
      </c>
      <c r="C1397" t="inlineStr">
        <is>
          <t>Föryngringsavverkning</t>
        </is>
      </c>
      <c r="D1397" s="1" t="n">
        <v>46035</v>
      </c>
      <c r="E1397" s="1" t="n">
        <v>46318</v>
      </c>
      <c r="F1397" t="inlineStr">
        <is>
          <t>JÄMTLANDS LÄN</t>
        </is>
      </c>
      <c r="G1397" t="inlineStr">
        <is>
          <t>STRÖMSUND</t>
        </is>
      </c>
      <c r="H1397" t="inlineStr">
        <is>
          <t>SCA</t>
        </is>
      </c>
      <c r="I1397" t="n">
        <v>5.6</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57748-2023</t>
        </is>
      </c>
      <c r="B1398" t="inlineStr">
        <is>
          <t>avverkningsanmälan</t>
        </is>
      </c>
      <c r="C1398" t="inlineStr">
        <is>
          <t>Föryngringsavverkning</t>
        </is>
      </c>
      <c r="D1398" s="1" t="n">
        <v>45246</v>
      </c>
      <c r="E1398" s="1" t="n">
        <v>46318</v>
      </c>
      <c r="F1398" t="inlineStr">
        <is>
          <t>JÄMTLANDS LÄN</t>
        </is>
      </c>
      <c r="G1398" t="inlineStr">
        <is>
          <t>STRÖMSUND</t>
        </is>
      </c>
      <c r="I1398" t="n">
        <v>1.9</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16317-2022</t>
        </is>
      </c>
      <c r="B1399" t="inlineStr">
        <is>
          <t>avverkningsanmälan</t>
        </is>
      </c>
      <c r="C1399" t="inlineStr">
        <is>
          <t>Föryngringsavverkning</t>
        </is>
      </c>
      <c r="D1399" s="1" t="n">
        <v>44670</v>
      </c>
      <c r="E1399" s="1" t="n">
        <v>46318</v>
      </c>
      <c r="F1399" t="inlineStr">
        <is>
          <t>JÄMTLANDS LÄN</t>
        </is>
      </c>
      <c r="G1399" t="inlineStr">
        <is>
          <t>STRÖMSUND</t>
        </is>
      </c>
      <c r="I1399" t="n">
        <v>3.1</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1611-2026</t>
        </is>
      </c>
      <c r="B1400" t="inlineStr">
        <is>
          <t>avverkningsanmälan</t>
        </is>
      </c>
      <c r="C1400" t="inlineStr">
        <is>
          <t>Föryngringsavverkning</t>
        </is>
      </c>
      <c r="D1400" s="1" t="n">
        <v>46034</v>
      </c>
      <c r="E1400" s="1" t="n">
        <v>46318</v>
      </c>
      <c r="F1400" t="inlineStr">
        <is>
          <t>JÄMTLANDS LÄN</t>
        </is>
      </c>
      <c r="G1400" t="inlineStr">
        <is>
          <t>STRÖMSUND</t>
        </is>
      </c>
      <c r="H1400" t="inlineStr">
        <is>
          <t>SCA</t>
        </is>
      </c>
      <c r="I1400" t="n">
        <v>16</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1985-2026</t>
        </is>
      </c>
      <c r="B1401" t="inlineStr">
        <is>
          <t>avverkningsanmälan</t>
        </is>
      </c>
      <c r="C1401" t="inlineStr">
        <is>
          <t>Föryngringsavverkning</t>
        </is>
      </c>
      <c r="D1401" s="1" t="n">
        <v>46035</v>
      </c>
      <c r="E1401" s="1" t="n">
        <v>46318</v>
      </c>
      <c r="F1401" t="inlineStr">
        <is>
          <t>JÄMTLANDS LÄN</t>
        </is>
      </c>
      <c r="G1401" t="inlineStr">
        <is>
          <t>STRÖMSUND</t>
        </is>
      </c>
      <c r="H1401" t="inlineStr">
        <is>
          <t>SCA</t>
        </is>
      </c>
      <c r="I1401" t="n">
        <v>1.8</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61481-2024</t>
        </is>
      </c>
      <c r="B1402" t="inlineStr">
        <is>
          <t>avverkningsanmälan</t>
        </is>
      </c>
      <c r="C1402" t="inlineStr">
        <is>
          <t>Föryngringsavverkning</t>
        </is>
      </c>
      <c r="D1402" s="1" t="n">
        <v>45645</v>
      </c>
      <c r="E1402" s="1" t="n">
        <v>46318</v>
      </c>
      <c r="F1402" t="inlineStr">
        <is>
          <t>JÄMTLANDS LÄN</t>
        </is>
      </c>
      <c r="G1402" t="inlineStr">
        <is>
          <t>STRÖMSUND</t>
        </is>
      </c>
      <c r="I1402" t="n">
        <v>0.4</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24851-2026</t>
        </is>
      </c>
      <c r="B1403" t="inlineStr">
        <is>
          <t>avverkningsanmälan</t>
        </is>
      </c>
      <c r="C1403" t="inlineStr">
        <is>
          <t>Föryngringsavverkning</t>
        </is>
      </c>
      <c r="D1403" s="1" t="n">
        <v>46174</v>
      </c>
      <c r="E1403" s="1" t="n">
        <v>46318</v>
      </c>
      <c r="F1403" t="inlineStr">
        <is>
          <t>JÄMTLANDS LÄN</t>
        </is>
      </c>
      <c r="G1403" t="inlineStr">
        <is>
          <t>STRÖMSUND</t>
        </is>
      </c>
      <c r="H1403" t="inlineStr">
        <is>
          <t>SCA</t>
        </is>
      </c>
      <c r="I1403" t="n">
        <v>14.3</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43889-2024</t>
        </is>
      </c>
      <c r="B1404" t="inlineStr">
        <is>
          <t>avverkningsanmälan</t>
        </is>
      </c>
      <c r="C1404" t="inlineStr">
        <is>
          <t>Föryngringsavverkning</t>
        </is>
      </c>
      <c r="D1404" s="1" t="n">
        <v>45572</v>
      </c>
      <c r="E1404" s="1" t="n">
        <v>46318</v>
      </c>
      <c r="F1404" t="inlineStr">
        <is>
          <t>JÄMTLANDS LÄN</t>
        </is>
      </c>
      <c r="G1404" t="inlineStr">
        <is>
          <t>STRÖMSUND</t>
        </is>
      </c>
      <c r="I1404" t="n">
        <v>0.8</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24843-2026</t>
        </is>
      </c>
      <c r="B1405" t="inlineStr">
        <is>
          <t>avverkningsanmälan</t>
        </is>
      </c>
      <c r="C1405" t="inlineStr">
        <is>
          <t>Föryngringsavverkning</t>
        </is>
      </c>
      <c r="D1405" s="1" t="n">
        <v>46174</v>
      </c>
      <c r="E1405" s="1" t="n">
        <v>46318</v>
      </c>
      <c r="F1405" t="inlineStr">
        <is>
          <t>JÄMTLANDS LÄN</t>
        </is>
      </c>
      <c r="G1405" t="inlineStr">
        <is>
          <t>STRÖMSUND</t>
        </is>
      </c>
      <c r="H1405" t="inlineStr">
        <is>
          <t>Holmen skog AB</t>
        </is>
      </c>
      <c r="I1405" t="n">
        <v>22</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41970-2023</t>
        </is>
      </c>
      <c r="B1406" t="inlineStr">
        <is>
          <t>avverkningsanmälan</t>
        </is>
      </c>
      <c r="C1406" t="inlineStr">
        <is>
          <t>Föryngringsavverkning</t>
        </is>
      </c>
      <c r="D1406" s="1" t="n">
        <v>45174</v>
      </c>
      <c r="E1406" s="1" t="n">
        <v>46318</v>
      </c>
      <c r="F1406" t="inlineStr">
        <is>
          <t>JÄMTLANDS LÄN</t>
        </is>
      </c>
      <c r="G1406" t="inlineStr">
        <is>
          <t>STRÖMSUND</t>
        </is>
      </c>
      <c r="I1406" t="n">
        <v>5</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10180-2025</t>
        </is>
      </c>
      <c r="B1407" t="inlineStr">
        <is>
          <t>avverkningsanmälan</t>
        </is>
      </c>
      <c r="C1407" t="inlineStr">
        <is>
          <t>Föryngringsavverkning</t>
        </is>
      </c>
      <c r="D1407" s="1" t="n">
        <v>45719</v>
      </c>
      <c r="E1407" s="1" t="n">
        <v>46318</v>
      </c>
      <c r="F1407" t="inlineStr">
        <is>
          <t>JÄMTLANDS LÄN</t>
        </is>
      </c>
      <c r="G1407" t="inlineStr">
        <is>
          <t>STRÖMSUND</t>
        </is>
      </c>
      <c r="I1407" t="n">
        <v>0.8</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20275-2024</t>
        </is>
      </c>
      <c r="B1408" t="inlineStr">
        <is>
          <t>avverkningsanmälan</t>
        </is>
      </c>
      <c r="C1408" t="inlineStr">
        <is>
          <t>Avverkning för att bevara och utveckla /försöksver</t>
        </is>
      </c>
      <c r="D1408" s="1" t="n">
        <v>45434</v>
      </c>
      <c r="E1408" s="1" t="n">
        <v>46318</v>
      </c>
      <c r="F1408" t="inlineStr">
        <is>
          <t>JÄMTLANDS LÄN</t>
        </is>
      </c>
      <c r="G1408" t="inlineStr">
        <is>
          <t>STRÖMSUND</t>
        </is>
      </c>
      <c r="H1408" t="inlineStr">
        <is>
          <t>SCA</t>
        </is>
      </c>
      <c r="I1408" t="n">
        <v>8.300000000000001</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27651-2025</t>
        </is>
      </c>
      <c r="B1409" t="inlineStr">
        <is>
          <t>avverkningsanmälan</t>
        </is>
      </c>
      <c r="C1409" t="inlineStr">
        <is>
          <t>Avverkning för annat ändamål</t>
        </is>
      </c>
      <c r="D1409" s="1" t="n">
        <v>45813</v>
      </c>
      <c r="E1409" s="1" t="n">
        <v>46318</v>
      </c>
      <c r="F1409" t="inlineStr">
        <is>
          <t>JÄMTLANDS LÄN</t>
        </is>
      </c>
      <c r="G1409" t="inlineStr">
        <is>
          <t>STRÖMSUND</t>
        </is>
      </c>
      <c r="I1409" t="n">
        <v>1.9</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2035-2026</t>
        </is>
      </c>
      <c r="B1410" t="inlineStr">
        <is>
          <t>avverkningsanmälan</t>
        </is>
      </c>
      <c r="C1410" t="inlineStr">
        <is>
          <t>Föryngringsavverkning</t>
        </is>
      </c>
      <c r="D1410" s="1" t="n">
        <v>46035</v>
      </c>
      <c r="E1410" s="1" t="n">
        <v>46318</v>
      </c>
      <c r="F1410" t="inlineStr">
        <is>
          <t>JÄMTLANDS LÄN</t>
        </is>
      </c>
      <c r="G1410" t="inlineStr">
        <is>
          <t>STRÖMSUND</t>
        </is>
      </c>
      <c r="I1410" t="n">
        <v>1.1</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24641-2026</t>
        </is>
      </c>
      <c r="B1411" t="inlineStr">
        <is>
          <t>avverkningsanmälan</t>
        </is>
      </c>
      <c r="C1411" t="inlineStr">
        <is>
          <t>Föryngringsavverkning</t>
        </is>
      </c>
      <c r="D1411" s="1" t="n">
        <v>46171</v>
      </c>
      <c r="E1411" s="1" t="n">
        <v>46318</v>
      </c>
      <c r="F1411" t="inlineStr">
        <is>
          <t>JÄMTLANDS LÄN</t>
        </is>
      </c>
      <c r="G1411" t="inlineStr">
        <is>
          <t>STRÖMSUND</t>
        </is>
      </c>
      <c r="H1411" t="inlineStr">
        <is>
          <t>SCA</t>
        </is>
      </c>
      <c r="I1411" t="n">
        <v>13.8</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2337-2026</t>
        </is>
      </c>
      <c r="B1412" t="inlineStr">
        <is>
          <t>avverkningsanmälan</t>
        </is>
      </c>
      <c r="C1412" t="inlineStr">
        <is>
          <t>Föryngringsavverkning</t>
        </is>
      </c>
      <c r="D1412" s="1" t="n">
        <v>46036</v>
      </c>
      <c r="E1412" s="1" t="n">
        <v>46318</v>
      </c>
      <c r="F1412" t="inlineStr">
        <is>
          <t>JÄMTLANDS LÄN</t>
        </is>
      </c>
      <c r="G1412" t="inlineStr">
        <is>
          <t>STRÖMSUND</t>
        </is>
      </c>
      <c r="H1412" t="inlineStr">
        <is>
          <t>SCA</t>
        </is>
      </c>
      <c r="I1412" t="n">
        <v>22.1</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11102-2026</t>
        </is>
      </c>
      <c r="B1413" t="inlineStr">
        <is>
          <t>avverkningsanmälan</t>
        </is>
      </c>
      <c r="C1413" t="inlineStr">
        <is>
          <t>Avverkning för annat ändamål</t>
        </is>
      </c>
      <c r="D1413" s="1" t="n">
        <v>46079</v>
      </c>
      <c r="E1413" s="1" t="n">
        <v>46318</v>
      </c>
      <c r="F1413" t="inlineStr">
        <is>
          <t>JÄMTLANDS LÄN</t>
        </is>
      </c>
      <c r="G1413" t="inlineStr">
        <is>
          <t>STRÖMSUND</t>
        </is>
      </c>
      <c r="I1413" t="n">
        <v>2.4</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8809-2025</t>
        </is>
      </c>
      <c r="B1414" t="inlineStr">
        <is>
          <t>avverkningsanmälan</t>
        </is>
      </c>
      <c r="C1414" t="inlineStr">
        <is>
          <t>Föryngringsavverkning</t>
        </is>
      </c>
      <c r="D1414" s="1" t="n">
        <v>45712</v>
      </c>
      <c r="E1414" s="1" t="n">
        <v>46318</v>
      </c>
      <c r="F1414" t="inlineStr">
        <is>
          <t>JÄMTLANDS LÄN</t>
        </is>
      </c>
      <c r="G1414" t="inlineStr">
        <is>
          <t>STRÖMSUND</t>
        </is>
      </c>
      <c r="H1414" t="inlineStr">
        <is>
          <t>SCA</t>
        </is>
      </c>
      <c r="I1414" t="n">
        <v>5.2</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35747-2024</t>
        </is>
      </c>
      <c r="B1415" t="inlineStr">
        <is>
          <t>avverkningsanmälan</t>
        </is>
      </c>
      <c r="C1415" t="inlineStr">
        <is>
          <t>Föryngringsavverkning</t>
        </is>
      </c>
      <c r="D1415" s="1" t="n">
        <v>45532</v>
      </c>
      <c r="E1415" s="1" t="n">
        <v>46318</v>
      </c>
      <c r="F1415" t="inlineStr">
        <is>
          <t>JÄMTLANDS LÄN</t>
        </is>
      </c>
      <c r="G1415" t="inlineStr">
        <is>
          <t>STRÖMSUND</t>
        </is>
      </c>
      <c r="I1415" t="n">
        <v>1.5</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2501-2026</t>
        </is>
      </c>
      <c r="B1416" t="inlineStr">
        <is>
          <t>avverkningsanmälan</t>
        </is>
      </c>
      <c r="C1416" t="inlineStr">
        <is>
          <t>Föryngringsavverkning</t>
        </is>
      </c>
      <c r="D1416" s="1" t="n">
        <v>46037</v>
      </c>
      <c r="E1416" s="1" t="n">
        <v>46318</v>
      </c>
      <c r="F1416" t="inlineStr">
        <is>
          <t>JÄMTLANDS LÄN</t>
        </is>
      </c>
      <c r="G1416" t="inlineStr">
        <is>
          <t>STRÖMSUND</t>
        </is>
      </c>
      <c r="H1416" t="inlineStr">
        <is>
          <t>SCA</t>
        </is>
      </c>
      <c r="I1416" t="n">
        <v>6.1</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1189-2026</t>
        </is>
      </c>
      <c r="B1417" t="inlineStr">
        <is>
          <t>avverkningsanmälan</t>
        </is>
      </c>
      <c r="C1417" t="inlineStr">
        <is>
          <t>Föryngringsavverkning</t>
        </is>
      </c>
      <c r="D1417" s="1" t="n">
        <v>46031</v>
      </c>
      <c r="E1417" s="1" t="n">
        <v>46318</v>
      </c>
      <c r="F1417" t="inlineStr">
        <is>
          <t>JÄMTLANDS LÄN</t>
        </is>
      </c>
      <c r="G1417" t="inlineStr">
        <is>
          <t>STRÖMSUND</t>
        </is>
      </c>
      <c r="H1417" t="inlineStr">
        <is>
          <t>SCA</t>
        </is>
      </c>
      <c r="I1417" t="n">
        <v>24</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2874-2026</t>
        </is>
      </c>
      <c r="B1418" t="inlineStr">
        <is>
          <t>avverkningsanmälan</t>
        </is>
      </c>
      <c r="C1418" t="inlineStr">
        <is>
          <t>Föryngringsavverkning</t>
        </is>
      </c>
      <c r="D1418" s="1" t="n">
        <v>46038</v>
      </c>
      <c r="E1418" s="1" t="n">
        <v>46318</v>
      </c>
      <c r="F1418" t="inlineStr">
        <is>
          <t>JÄMTLANDS LÄN</t>
        </is>
      </c>
      <c r="G1418" t="inlineStr">
        <is>
          <t>STRÖMSUND</t>
        </is>
      </c>
      <c r="H1418" t="inlineStr">
        <is>
          <t>SCA</t>
        </is>
      </c>
      <c r="I1418" t="n">
        <v>19.5</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3153-2026</t>
        </is>
      </c>
      <c r="B1419" t="inlineStr">
        <is>
          <t>avverkningsanmälan</t>
        </is>
      </c>
      <c r="C1419" t="inlineStr">
        <is>
          <t>Föryngringsavverkning</t>
        </is>
      </c>
      <c r="D1419" s="1" t="n">
        <v>46041</v>
      </c>
      <c r="E1419" s="1" t="n">
        <v>46318</v>
      </c>
      <c r="F1419" t="inlineStr">
        <is>
          <t>JÄMTLANDS LÄN</t>
        </is>
      </c>
      <c r="G1419" t="inlineStr">
        <is>
          <t>STRÖMSUND</t>
        </is>
      </c>
      <c r="H1419" t="inlineStr">
        <is>
          <t>SCA</t>
        </is>
      </c>
      <c r="I1419" t="n">
        <v>35.8</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25285-2026</t>
        </is>
      </c>
      <c r="B1420" t="inlineStr">
        <is>
          <t>avverkningsanmälan</t>
        </is>
      </c>
      <c r="C1420" t="inlineStr">
        <is>
          <t>Föryngringsavverkning</t>
        </is>
      </c>
      <c r="D1420" s="1" t="n">
        <v>46176</v>
      </c>
      <c r="E1420" s="1" t="n">
        <v>46318</v>
      </c>
      <c r="F1420" t="inlineStr">
        <is>
          <t>JÄMTLANDS LÄN</t>
        </is>
      </c>
      <c r="G1420" t="inlineStr">
        <is>
          <t>STRÖMSUND</t>
        </is>
      </c>
      <c r="H1420" t="inlineStr">
        <is>
          <t>SCA</t>
        </is>
      </c>
      <c r="I1420" t="n">
        <v>1</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2964-2026</t>
        </is>
      </c>
      <c r="B1421" t="inlineStr">
        <is>
          <t>avverkningsanmälan</t>
        </is>
      </c>
      <c r="C1421" t="inlineStr">
        <is>
          <t>Föryngringsavverkning</t>
        </is>
      </c>
      <c r="D1421" s="1" t="n">
        <v>46038</v>
      </c>
      <c r="E1421" s="1" t="n">
        <v>46318</v>
      </c>
      <c r="F1421" t="inlineStr">
        <is>
          <t>JÄMTLANDS LÄN</t>
        </is>
      </c>
      <c r="G1421" t="inlineStr">
        <is>
          <t>STRÖMSUND</t>
        </is>
      </c>
      <c r="I1421" t="n">
        <v>4</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2873-2026</t>
        </is>
      </c>
      <c r="B1422" t="inlineStr">
        <is>
          <t>avverkningsanmälan</t>
        </is>
      </c>
      <c r="C1422" t="inlineStr">
        <is>
          <t>Föryngringsavverkning</t>
        </is>
      </c>
      <c r="D1422" s="1" t="n">
        <v>46038</v>
      </c>
      <c r="E1422" s="1" t="n">
        <v>46318</v>
      </c>
      <c r="F1422" t="inlineStr">
        <is>
          <t>JÄMTLANDS LÄN</t>
        </is>
      </c>
      <c r="G1422" t="inlineStr">
        <is>
          <t>STRÖMSUND</t>
        </is>
      </c>
      <c r="H1422" t="inlineStr">
        <is>
          <t>SCA</t>
        </is>
      </c>
      <c r="I1422" t="n">
        <v>4.7</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21349-2026</t>
        </is>
      </c>
      <c r="B1423" t="inlineStr">
        <is>
          <t>avverkningsanmälan</t>
        </is>
      </c>
      <c r="C1423" t="inlineStr">
        <is>
          <t>Föryngringsavverkning</t>
        </is>
      </c>
      <c r="D1423" s="1" t="n">
        <v>46142</v>
      </c>
      <c r="E1423" s="1" t="n">
        <v>46318</v>
      </c>
      <c r="F1423" t="inlineStr">
        <is>
          <t>JÄMTLANDS LÄN</t>
        </is>
      </c>
      <c r="G1423" t="inlineStr">
        <is>
          <t>STRÖMSUND</t>
        </is>
      </c>
      <c r="I1423" t="n">
        <v>4.3</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37272-2025</t>
        </is>
      </c>
      <c r="B1424" t="inlineStr">
        <is>
          <t>avverkningsanmälan</t>
        </is>
      </c>
      <c r="C1424" t="inlineStr">
        <is>
          <t>Föryngringsavverkning</t>
        </is>
      </c>
      <c r="D1424" s="1" t="n">
        <v>45876</v>
      </c>
      <c r="E1424" s="1" t="n">
        <v>46318</v>
      </c>
      <c r="F1424" t="inlineStr">
        <is>
          <t>JÄMTLANDS LÄN</t>
        </is>
      </c>
      <c r="G1424" t="inlineStr">
        <is>
          <t>STRÖMSUND</t>
        </is>
      </c>
      <c r="I1424" t="n">
        <v>7.5</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25135-2026</t>
        </is>
      </c>
      <c r="B1425" t="inlineStr">
        <is>
          <t>avverkningsanmälan</t>
        </is>
      </c>
      <c r="C1425" t="inlineStr">
        <is>
          <t>Föryngringsavverkning</t>
        </is>
      </c>
      <c r="D1425" s="1" t="n">
        <v>46175</v>
      </c>
      <c r="E1425" s="1" t="n">
        <v>46318</v>
      </c>
      <c r="F1425" t="inlineStr">
        <is>
          <t>JÄMTLANDS LÄN</t>
        </is>
      </c>
      <c r="G1425" t="inlineStr">
        <is>
          <t>STRÖMSUND</t>
        </is>
      </c>
      <c r="H1425" t="inlineStr">
        <is>
          <t>SCA</t>
        </is>
      </c>
      <c r="I1425" t="n">
        <v>31.4</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25188-2026</t>
        </is>
      </c>
      <c r="B1426" t="inlineStr">
        <is>
          <t>avverkningsanmälan</t>
        </is>
      </c>
      <c r="C1426" t="inlineStr">
        <is>
          <t>Föryngringsavverkning</t>
        </is>
      </c>
      <c r="D1426" s="1" t="n">
        <v>46175</v>
      </c>
      <c r="E1426" s="1" t="n">
        <v>46318</v>
      </c>
      <c r="F1426" t="inlineStr">
        <is>
          <t>JÄMTLANDS LÄN</t>
        </is>
      </c>
      <c r="G1426" t="inlineStr">
        <is>
          <t>STRÖMSUND</t>
        </is>
      </c>
      <c r="I1426" t="n">
        <v>9.800000000000001</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34005-2023</t>
        </is>
      </c>
      <c r="B1427" t="inlineStr">
        <is>
          <t>avverkningsanmälan</t>
        </is>
      </c>
      <c r="C1427" t="inlineStr">
        <is>
          <t>Föryngringsavverkning</t>
        </is>
      </c>
      <c r="D1427" s="1" t="n">
        <v>45134</v>
      </c>
      <c r="E1427" s="1" t="n">
        <v>46318</v>
      </c>
      <c r="F1427" t="inlineStr">
        <is>
          <t>JÄMTLANDS LÄN</t>
        </is>
      </c>
      <c r="G1427" t="inlineStr">
        <is>
          <t>STRÖMSUND</t>
        </is>
      </c>
      <c r="H1427" t="inlineStr">
        <is>
          <t>SCA</t>
        </is>
      </c>
      <c r="I1427" t="n">
        <v>3.8</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25387-2026</t>
        </is>
      </c>
      <c r="B1428" t="inlineStr">
        <is>
          <t>avverkningsanmälan</t>
        </is>
      </c>
      <c r="C1428" t="inlineStr">
        <is>
          <t>Föryngringsavverkning</t>
        </is>
      </c>
      <c r="D1428" s="1" t="n">
        <v>46176</v>
      </c>
      <c r="E1428" s="1" t="n">
        <v>46318</v>
      </c>
      <c r="F1428" t="inlineStr">
        <is>
          <t>JÄMTLANDS LÄN</t>
        </is>
      </c>
      <c r="G1428" t="inlineStr">
        <is>
          <t>STRÖMSUND</t>
        </is>
      </c>
      <c r="H1428" t="inlineStr">
        <is>
          <t>SCA</t>
        </is>
      </c>
      <c r="I1428" t="n">
        <v>1</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44761-2025</t>
        </is>
      </c>
      <c r="B1429" t="inlineStr">
        <is>
          <t>avverkningsanmälan</t>
        </is>
      </c>
      <c r="C1429" t="inlineStr">
        <is>
          <t>Föryngringsavverkning</t>
        </is>
      </c>
      <c r="D1429" s="1" t="n">
        <v>45917</v>
      </c>
      <c r="E1429" s="1" t="n">
        <v>46318</v>
      </c>
      <c r="F1429" t="inlineStr">
        <is>
          <t>JÄMTLANDS LÄN</t>
        </is>
      </c>
      <c r="G1429" t="inlineStr">
        <is>
          <t>STRÖMSUND</t>
        </is>
      </c>
      <c r="H1429" t="inlineStr">
        <is>
          <t>SCA</t>
        </is>
      </c>
      <c r="I1429" t="n">
        <v>29.7</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29605-2023</t>
        </is>
      </c>
      <c r="B1430" t="inlineStr">
        <is>
          <t>avverkningsanmälan</t>
        </is>
      </c>
      <c r="C1430" t="inlineStr">
        <is>
          <t>Föryngringsavverkning</t>
        </is>
      </c>
      <c r="D1430" s="1" t="n">
        <v>45106</v>
      </c>
      <c r="E1430" s="1" t="n">
        <v>46318</v>
      </c>
      <c r="F1430" t="inlineStr">
        <is>
          <t>JÄMTLANDS LÄN</t>
        </is>
      </c>
      <c r="G1430" t="inlineStr">
        <is>
          <t>STRÖMSUND</t>
        </is>
      </c>
      <c r="H1430" t="inlineStr">
        <is>
          <t>SCA</t>
        </is>
      </c>
      <c r="I1430" t="n">
        <v>6.5</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25881-2026</t>
        </is>
      </c>
      <c r="B1431" t="inlineStr">
        <is>
          <t>avverkningsanmälan</t>
        </is>
      </c>
      <c r="C1431" t="inlineStr">
        <is>
          <t>Föryngringsavverkning</t>
        </is>
      </c>
      <c r="D1431" s="1" t="n">
        <v>46178</v>
      </c>
      <c r="E1431" s="1" t="n">
        <v>46318</v>
      </c>
      <c r="F1431" t="inlineStr">
        <is>
          <t>JÄMTLANDS LÄN</t>
        </is>
      </c>
      <c r="G1431" t="inlineStr">
        <is>
          <t>STRÖMSUND</t>
        </is>
      </c>
      <c r="H1431" t="inlineStr">
        <is>
          <t>SCA</t>
        </is>
      </c>
      <c r="I1431" t="n">
        <v>2.9</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25999-2024</t>
        </is>
      </c>
      <c r="B1432" t="inlineStr">
        <is>
          <t>avverkningsanmälan</t>
        </is>
      </c>
      <c r="C1432" t="inlineStr">
        <is>
          <t>Föryngringsavverkning</t>
        </is>
      </c>
      <c r="D1432" s="1" t="n">
        <v>45467</v>
      </c>
      <c r="E1432" s="1" t="n">
        <v>46318</v>
      </c>
      <c r="F1432" t="inlineStr">
        <is>
          <t>JÄMTLANDS LÄN</t>
        </is>
      </c>
      <c r="G1432" t="inlineStr">
        <is>
          <t>STRÖMSUND</t>
        </is>
      </c>
      <c r="I1432" t="n">
        <v>1.6</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59530-2024</t>
        </is>
      </c>
      <c r="B1433" t="inlineStr">
        <is>
          <t>avverkningsanmälan</t>
        </is>
      </c>
      <c r="C1433" t="inlineStr">
        <is>
          <t>Föryngringsavverkning</t>
        </is>
      </c>
      <c r="D1433" s="1" t="n">
        <v>45638</v>
      </c>
      <c r="E1433" s="1" t="n">
        <v>46318</v>
      </c>
      <c r="F1433" t="inlineStr">
        <is>
          <t>JÄMTLANDS LÄN</t>
        </is>
      </c>
      <c r="G1433" t="inlineStr">
        <is>
          <t>STRÖMSUND</t>
        </is>
      </c>
      <c r="H1433" t="inlineStr">
        <is>
          <t>SCA</t>
        </is>
      </c>
      <c r="I1433" t="n">
        <v>1.8</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39517-2024</t>
        </is>
      </c>
      <c r="B1434" t="inlineStr">
        <is>
          <t>avverkningsanmälan</t>
        </is>
      </c>
      <c r="C1434" t="inlineStr">
        <is>
          <t>Föryngringsavverkning</t>
        </is>
      </c>
      <c r="D1434" s="1" t="n">
        <v>45551</v>
      </c>
      <c r="E1434" s="1" t="n">
        <v>46318</v>
      </c>
      <c r="F1434" t="inlineStr">
        <is>
          <t>JÄMTLANDS LÄN</t>
        </is>
      </c>
      <c r="G1434" t="inlineStr">
        <is>
          <t>STRÖMSUND</t>
        </is>
      </c>
      <c r="H1434" t="inlineStr">
        <is>
          <t>SCA</t>
        </is>
      </c>
      <c r="I1434" t="n">
        <v>1.3</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25678-2026</t>
        </is>
      </c>
      <c r="B1435" t="inlineStr">
        <is>
          <t>avverkningsanmälan</t>
        </is>
      </c>
      <c r="C1435" t="inlineStr">
        <is>
          <t>Föryngringsavverkning</t>
        </is>
      </c>
      <c r="D1435" s="1" t="n">
        <v>46178</v>
      </c>
      <c r="E1435" s="1" t="n">
        <v>46318</v>
      </c>
      <c r="F1435" t="inlineStr">
        <is>
          <t>JÄMTLANDS LÄN</t>
        </is>
      </c>
      <c r="G1435" t="inlineStr">
        <is>
          <t>STRÖMSUND</t>
        </is>
      </c>
      <c r="H1435" t="inlineStr">
        <is>
          <t>SCA</t>
        </is>
      </c>
      <c r="I1435" t="n">
        <v>1</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4173-2026</t>
        </is>
      </c>
      <c r="B1436" t="inlineStr">
        <is>
          <t>avverkningsanmälan</t>
        </is>
      </c>
      <c r="C1436" t="inlineStr">
        <is>
          <t>Föryngringsavverkning</t>
        </is>
      </c>
      <c r="D1436" s="1" t="n">
        <v>46044</v>
      </c>
      <c r="E1436" s="1" t="n">
        <v>46318</v>
      </c>
      <c r="F1436" t="inlineStr">
        <is>
          <t>JÄMTLANDS LÄN</t>
        </is>
      </c>
      <c r="G1436" t="inlineStr">
        <is>
          <t>STRÖMSUND</t>
        </is>
      </c>
      <c r="I1436" t="n">
        <v>2.9</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4174-2026</t>
        </is>
      </c>
      <c r="B1437" t="inlineStr">
        <is>
          <t>avverkningsanmälan</t>
        </is>
      </c>
      <c r="C1437" t="inlineStr">
        <is>
          <t>Föryngringsavverkning</t>
        </is>
      </c>
      <c r="D1437" s="1" t="n">
        <v>46044</v>
      </c>
      <c r="E1437" s="1" t="n">
        <v>46318</v>
      </c>
      <c r="F1437" t="inlineStr">
        <is>
          <t>JÄMTLANDS LÄN</t>
        </is>
      </c>
      <c r="G1437" t="inlineStr">
        <is>
          <t>STRÖMSUND</t>
        </is>
      </c>
      <c r="I1437" t="n">
        <v>0.7</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7085-2025</t>
        </is>
      </c>
      <c r="B1438" t="inlineStr">
        <is>
          <t>avverkningsanmälan</t>
        </is>
      </c>
      <c r="C1438" t="inlineStr">
        <is>
          <t>Föryngringsavverkning</t>
        </is>
      </c>
      <c r="D1438" s="1" t="n">
        <v>45701</v>
      </c>
      <c r="E1438" s="1" t="n">
        <v>46318</v>
      </c>
      <c r="F1438" t="inlineStr">
        <is>
          <t>JÄMTLANDS LÄN</t>
        </is>
      </c>
      <c r="G1438" t="inlineStr">
        <is>
          <t>STRÖMSUND</t>
        </is>
      </c>
      <c r="I1438" t="n">
        <v>7.8</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10948-2026</t>
        </is>
      </c>
      <c r="B1439" t="inlineStr">
        <is>
          <t>avverkningsanmälan</t>
        </is>
      </c>
      <c r="C1439" t="inlineStr">
        <is>
          <t>Föryngringsavverkning</t>
        </is>
      </c>
      <c r="D1439" s="1" t="n">
        <v>46079</v>
      </c>
      <c r="E1439" s="1" t="n">
        <v>46318</v>
      </c>
      <c r="F1439" t="inlineStr">
        <is>
          <t>JÄMTLANDS LÄN</t>
        </is>
      </c>
      <c r="G1439" t="inlineStr">
        <is>
          <t>STRÖMSUND</t>
        </is>
      </c>
      <c r="H1439" t="inlineStr">
        <is>
          <t>SCA</t>
        </is>
      </c>
      <c r="I1439" t="n">
        <v>15.4</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25579-2026</t>
        </is>
      </c>
      <c r="B1440" t="inlineStr">
        <is>
          <t>avverkningsanmälan</t>
        </is>
      </c>
      <c r="C1440" t="inlineStr">
        <is>
          <t>Föryngringsavverkning</t>
        </is>
      </c>
      <c r="D1440" s="1" t="n">
        <v>46177</v>
      </c>
      <c r="E1440" s="1" t="n">
        <v>46318</v>
      </c>
      <c r="F1440" t="inlineStr">
        <is>
          <t>JÄMTLANDS LÄN</t>
        </is>
      </c>
      <c r="G1440" t="inlineStr">
        <is>
          <t>STRÖMSUND</t>
        </is>
      </c>
      <c r="I1440" t="n">
        <v>1.3</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61540-2024</t>
        </is>
      </c>
      <c r="B1441" t="inlineStr">
        <is>
          <t>avverkningsanmälan</t>
        </is>
      </c>
      <c r="C1441" t="inlineStr">
        <is>
          <t>Föryngringsavverkning</t>
        </is>
      </c>
      <c r="D1441" s="1" t="n">
        <v>45646</v>
      </c>
      <c r="E1441" s="1" t="n">
        <v>46318</v>
      </c>
      <c r="F1441" t="inlineStr">
        <is>
          <t>JÄMTLANDS LÄN</t>
        </is>
      </c>
      <c r="G1441" t="inlineStr">
        <is>
          <t>STRÖMSUND</t>
        </is>
      </c>
      <c r="H1441" t="inlineStr">
        <is>
          <t>SCA</t>
        </is>
      </c>
      <c r="I1441" t="n">
        <v>18.2</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4175-2026</t>
        </is>
      </c>
      <c r="B1442" t="inlineStr">
        <is>
          <t>avverkningsanmälan</t>
        </is>
      </c>
      <c r="C1442" t="inlineStr">
        <is>
          <t>Föryngringsavverkning</t>
        </is>
      </c>
      <c r="D1442" s="1" t="n">
        <v>46044</v>
      </c>
      <c r="E1442" s="1" t="n">
        <v>46318</v>
      </c>
      <c r="F1442" t="inlineStr">
        <is>
          <t>JÄMTLANDS LÄN</t>
        </is>
      </c>
      <c r="G1442" t="inlineStr">
        <is>
          <t>STRÖMSUND</t>
        </is>
      </c>
      <c r="I1442" t="n">
        <v>0.5</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20273-2024</t>
        </is>
      </c>
      <c r="B1443" t="inlineStr">
        <is>
          <t>avverkningsanmälan</t>
        </is>
      </c>
      <c r="C1443" t="inlineStr">
        <is>
          <t>Föryngringsavverkning</t>
        </is>
      </c>
      <c r="D1443" s="1" t="n">
        <v>45434</v>
      </c>
      <c r="E1443" s="1" t="n">
        <v>46318</v>
      </c>
      <c r="F1443" t="inlineStr">
        <is>
          <t>JÄMTLANDS LÄN</t>
        </is>
      </c>
      <c r="G1443" t="inlineStr">
        <is>
          <t>STRÖMSUND</t>
        </is>
      </c>
      <c r="H1443" t="inlineStr">
        <is>
          <t>SCA</t>
        </is>
      </c>
      <c r="I1443" t="n">
        <v>0.2</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56961-2024</t>
        </is>
      </c>
      <c r="B1444" t="inlineStr">
        <is>
          <t>avverkningsanmälan</t>
        </is>
      </c>
      <c r="C1444" t="inlineStr">
        <is>
          <t>Föryngringsavverkning</t>
        </is>
      </c>
      <c r="D1444" s="1" t="n">
        <v>45628</v>
      </c>
      <c r="E1444" s="1" t="n">
        <v>46318</v>
      </c>
      <c r="F1444" t="inlineStr">
        <is>
          <t>JÄMTLANDS LÄN</t>
        </is>
      </c>
      <c r="G1444" t="inlineStr">
        <is>
          <t>STRÖMSUND</t>
        </is>
      </c>
      <c r="I1444" t="n">
        <v>1</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46776-2023</t>
        </is>
      </c>
      <c r="B1445" t="inlineStr">
        <is>
          <t>avverkningsanmälan</t>
        </is>
      </c>
      <c r="C1445" t="inlineStr">
        <is>
          <t>Föryngringsavverkning</t>
        </is>
      </c>
      <c r="D1445" s="1" t="n">
        <v>45195</v>
      </c>
      <c r="E1445" s="1" t="n">
        <v>46318</v>
      </c>
      <c r="F1445" t="inlineStr">
        <is>
          <t>JÄMTLANDS LÄN</t>
        </is>
      </c>
      <c r="G1445" t="inlineStr">
        <is>
          <t>STRÖMSUND</t>
        </is>
      </c>
      <c r="I1445" t="n">
        <v>10.4</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10865-2026</t>
        </is>
      </c>
      <c r="B1446" t="inlineStr">
        <is>
          <t>avverkningsanmälan</t>
        </is>
      </c>
      <c r="C1446" t="inlineStr">
        <is>
          <t>Föryngringsavverkning</t>
        </is>
      </c>
      <c r="D1446" s="1" t="n">
        <v>46078</v>
      </c>
      <c r="E1446" s="1" t="n">
        <v>46318</v>
      </c>
      <c r="F1446" t="inlineStr">
        <is>
          <t>JÄMTLANDS LÄN</t>
        </is>
      </c>
      <c r="G1446" t="inlineStr">
        <is>
          <t>STRÖMSUND</t>
        </is>
      </c>
      <c r="H1446" t="inlineStr">
        <is>
          <t>SCA</t>
        </is>
      </c>
      <c r="I1446" t="n">
        <v>15.4</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18994-2022</t>
        </is>
      </c>
      <c r="B1447" t="inlineStr">
        <is>
          <t>avverkningsanmälan</t>
        </is>
      </c>
      <c r="C1447" t="inlineStr">
        <is>
          <t>Avverkning för annat ändamål</t>
        </is>
      </c>
      <c r="D1447" s="1" t="n">
        <v>44690</v>
      </c>
      <c r="E1447" s="1" t="n">
        <v>46318</v>
      </c>
      <c r="F1447" t="inlineStr">
        <is>
          <t>JÄMTLANDS LÄN</t>
        </is>
      </c>
      <c r="G1447" t="inlineStr">
        <is>
          <t>STRÖMSUND</t>
        </is>
      </c>
      <c r="H1447" t="inlineStr">
        <is>
          <t>SCA</t>
        </is>
      </c>
      <c r="I1447" t="n">
        <v>2.9</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5091-2026</t>
        </is>
      </c>
      <c r="B1448" t="inlineStr">
        <is>
          <t>avverkningsanmälan</t>
        </is>
      </c>
      <c r="C1448" t="inlineStr">
        <is>
          <t>Föryngringsavverkning</t>
        </is>
      </c>
      <c r="D1448" s="1" t="n">
        <v>46049</v>
      </c>
      <c r="E1448" s="1" t="n">
        <v>46318</v>
      </c>
      <c r="F1448" t="inlineStr">
        <is>
          <t>JÄMTLANDS LÄN</t>
        </is>
      </c>
      <c r="G1448" t="inlineStr">
        <is>
          <t>STRÖMSUND</t>
        </is>
      </c>
      <c r="H1448" t="inlineStr">
        <is>
          <t>SCA</t>
        </is>
      </c>
      <c r="I1448" t="n">
        <v>9.4</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17105-2024</t>
        </is>
      </c>
      <c r="B1449" t="inlineStr">
        <is>
          <t>avverkningsanmälan</t>
        </is>
      </c>
      <c r="C1449" t="inlineStr">
        <is>
          <t>Avverkning för annat ändamål</t>
        </is>
      </c>
      <c r="D1449" s="1" t="n">
        <v>45412</v>
      </c>
      <c r="E1449" s="1" t="n">
        <v>46318</v>
      </c>
      <c r="F1449" t="inlineStr">
        <is>
          <t>JÄMTLANDS LÄN</t>
        </is>
      </c>
      <c r="G1449" t="inlineStr">
        <is>
          <t>STRÖMSUND</t>
        </is>
      </c>
      <c r="I1449" t="n">
        <v>1.4</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6394-2026</t>
        </is>
      </c>
      <c r="B1450" t="inlineStr">
        <is>
          <t>avverkningsanmälan</t>
        </is>
      </c>
      <c r="C1450" t="inlineStr">
        <is>
          <t>Föryngringsavverkning</t>
        </is>
      </c>
      <c r="D1450" s="1" t="n">
        <v>46051</v>
      </c>
      <c r="E1450" s="1" t="n">
        <v>46318</v>
      </c>
      <c r="F1450" t="inlineStr">
        <is>
          <t>JÄMTLANDS LÄN</t>
        </is>
      </c>
      <c r="G1450" t="inlineStr">
        <is>
          <t>STRÖMSUND</t>
        </is>
      </c>
      <c r="I1450" t="n">
        <v>1</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25831-2026</t>
        </is>
      </c>
      <c r="B1451" t="inlineStr">
        <is>
          <t>avverkningsanmälan</t>
        </is>
      </c>
      <c r="C1451" t="inlineStr">
        <is>
          <t>Föryngringsavverkning</t>
        </is>
      </c>
      <c r="D1451" s="1" t="n">
        <v>46178</v>
      </c>
      <c r="E1451" s="1" t="n">
        <v>46318</v>
      </c>
      <c r="F1451" t="inlineStr">
        <is>
          <t>JÄMTLANDS LÄN</t>
        </is>
      </c>
      <c r="G1451" t="inlineStr">
        <is>
          <t>STRÖMSUND</t>
        </is>
      </c>
      <c r="H1451" t="inlineStr">
        <is>
          <t>Sveaskog</t>
        </is>
      </c>
      <c r="I1451" t="n">
        <v>1.4</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25839-2026</t>
        </is>
      </c>
      <c r="B1452" t="inlineStr">
        <is>
          <t>avverkningsanmälan</t>
        </is>
      </c>
      <c r="C1452" t="inlineStr">
        <is>
          <t>Föryngringsavverkning</t>
        </is>
      </c>
      <c r="D1452" s="1" t="n">
        <v>46178</v>
      </c>
      <c r="E1452" s="1" t="n">
        <v>46318</v>
      </c>
      <c r="F1452" t="inlineStr">
        <is>
          <t>JÄMTLANDS LÄN</t>
        </is>
      </c>
      <c r="G1452" t="inlineStr">
        <is>
          <t>STRÖMSUND</t>
        </is>
      </c>
      <c r="H1452" t="inlineStr">
        <is>
          <t>Sveaskog</t>
        </is>
      </c>
      <c r="I1452" t="n">
        <v>10.6</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25481-2026</t>
        </is>
      </c>
      <c r="B1453" t="inlineStr">
        <is>
          <t>avverkningsanmälan</t>
        </is>
      </c>
      <c r="C1453" t="inlineStr">
        <is>
          <t>Föryngringsavverkning</t>
        </is>
      </c>
      <c r="D1453" s="1" t="n">
        <v>46177</v>
      </c>
      <c r="E1453" s="1" t="n">
        <v>46318</v>
      </c>
      <c r="F1453" t="inlineStr">
        <is>
          <t>JÄMTLANDS LÄN</t>
        </is>
      </c>
      <c r="G1453" t="inlineStr">
        <is>
          <t>STRÖMSUND</t>
        </is>
      </c>
      <c r="H1453" t="inlineStr">
        <is>
          <t>SCA</t>
        </is>
      </c>
      <c r="I1453" t="n">
        <v>25.1</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25855-2026</t>
        </is>
      </c>
      <c r="B1454" t="inlineStr">
        <is>
          <t>avverkningsanmälan</t>
        </is>
      </c>
      <c r="C1454" t="inlineStr">
        <is>
          <t>Föryngringsavverkning</t>
        </is>
      </c>
      <c r="D1454" s="1" t="n">
        <v>46178</v>
      </c>
      <c r="E1454" s="1" t="n">
        <v>46318</v>
      </c>
      <c r="F1454" t="inlineStr">
        <is>
          <t>JÄMTLANDS LÄN</t>
        </is>
      </c>
      <c r="G1454" t="inlineStr">
        <is>
          <t>STRÖMSUND</t>
        </is>
      </c>
      <c r="H1454" t="inlineStr">
        <is>
          <t>Sveaskog</t>
        </is>
      </c>
      <c r="I1454" t="n">
        <v>3.4</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25743-2026</t>
        </is>
      </c>
      <c r="B1455" t="inlineStr">
        <is>
          <t>avverkningsanmälan</t>
        </is>
      </c>
      <c r="C1455" t="inlineStr">
        <is>
          <t>Avverkning för att bevara och utveckla /försöksver</t>
        </is>
      </c>
      <c r="D1455" s="1" t="n">
        <v>46178</v>
      </c>
      <c r="E1455" s="1" t="n">
        <v>46318</v>
      </c>
      <c r="F1455" t="inlineStr">
        <is>
          <t>JÄMTLANDS LÄN</t>
        </is>
      </c>
      <c r="G1455" t="inlineStr">
        <is>
          <t>STRÖMSUND</t>
        </is>
      </c>
      <c r="H1455" t="inlineStr">
        <is>
          <t>SCA</t>
        </is>
      </c>
      <c r="I1455" t="n">
        <v>3.5</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18912-2024</t>
        </is>
      </c>
      <c r="B1456" t="inlineStr">
        <is>
          <t>avverkningsanmälan</t>
        </is>
      </c>
      <c r="C1456" t="inlineStr">
        <is>
          <t>Föryngringsavverkning</t>
        </is>
      </c>
      <c r="D1456" s="1" t="n">
        <v>45426</v>
      </c>
      <c r="E1456" s="1" t="n">
        <v>46318</v>
      </c>
      <c r="F1456" t="inlineStr">
        <is>
          <t>JÄMTLANDS LÄN</t>
        </is>
      </c>
      <c r="G1456" t="inlineStr">
        <is>
          <t>STRÖMSUND</t>
        </is>
      </c>
      <c r="I1456" t="n">
        <v>1.4</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35418-2024</t>
        </is>
      </c>
      <c r="B1457" t="inlineStr">
        <is>
          <t>avverkningsanmälan</t>
        </is>
      </c>
      <c r="C1457" t="inlineStr">
        <is>
          <t>Avverkning för att bevara och utveckla /försöksver</t>
        </is>
      </c>
      <c r="D1457" s="1" t="n">
        <v>45531</v>
      </c>
      <c r="E1457" s="1" t="n">
        <v>46318</v>
      </c>
      <c r="F1457" t="inlineStr">
        <is>
          <t>JÄMTLANDS LÄN</t>
        </is>
      </c>
      <c r="G1457" t="inlineStr">
        <is>
          <t>STRÖMSUND</t>
        </is>
      </c>
      <c r="H1457" t="inlineStr">
        <is>
          <t>SCA</t>
        </is>
      </c>
      <c r="I1457" t="n">
        <v>3.2</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25679-2026</t>
        </is>
      </c>
      <c r="B1458" t="inlineStr">
        <is>
          <t>avverkningsanmälan</t>
        </is>
      </c>
      <c r="C1458" t="inlineStr">
        <is>
          <t>Föryngringsavverkning</t>
        </is>
      </c>
      <c r="D1458" s="1" t="n">
        <v>46178</v>
      </c>
      <c r="E1458" s="1" t="n">
        <v>46318</v>
      </c>
      <c r="F1458" t="inlineStr">
        <is>
          <t>JÄMTLANDS LÄN</t>
        </is>
      </c>
      <c r="G1458" t="inlineStr">
        <is>
          <t>STRÖMSUND</t>
        </is>
      </c>
      <c r="H1458" t="inlineStr">
        <is>
          <t>SCA</t>
        </is>
      </c>
      <c r="I1458" t="n">
        <v>7.3</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5632-2026</t>
        </is>
      </c>
      <c r="B1459" t="inlineStr">
        <is>
          <t>avverkningsanmälan</t>
        </is>
      </c>
      <c r="C1459" t="inlineStr">
        <is>
          <t>Avverkning för annat ändamål</t>
        </is>
      </c>
      <c r="D1459" s="1" t="n">
        <v>46051</v>
      </c>
      <c r="E1459" s="1" t="n">
        <v>46318</v>
      </c>
      <c r="F1459" t="inlineStr">
        <is>
          <t>JÄMTLANDS LÄN</t>
        </is>
      </c>
      <c r="G1459" t="inlineStr">
        <is>
          <t>STRÖMSUND</t>
        </is>
      </c>
      <c r="I1459" t="n">
        <v>0.2</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25883-2026</t>
        </is>
      </c>
      <c r="B1460" t="inlineStr">
        <is>
          <t>avverkningsanmälan</t>
        </is>
      </c>
      <c r="C1460" t="inlineStr">
        <is>
          <t>Föryngringsavverkning</t>
        </is>
      </c>
      <c r="D1460" s="1" t="n">
        <v>46178</v>
      </c>
      <c r="E1460" s="1" t="n">
        <v>46318</v>
      </c>
      <c r="F1460" t="inlineStr">
        <is>
          <t>JÄMTLANDS LÄN</t>
        </is>
      </c>
      <c r="G1460" t="inlineStr">
        <is>
          <t>STRÖMSUND</t>
        </is>
      </c>
      <c r="H1460" t="inlineStr">
        <is>
          <t>SCA</t>
        </is>
      </c>
      <c r="I1460" t="n">
        <v>10.5</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6375-2026</t>
        </is>
      </c>
      <c r="B1461" t="inlineStr">
        <is>
          <t>avverkningsanmälan</t>
        </is>
      </c>
      <c r="C1461" t="inlineStr">
        <is>
          <t>Föryngringsavverkning</t>
        </is>
      </c>
      <c r="D1461" s="1" t="n">
        <v>46051</v>
      </c>
      <c r="E1461" s="1" t="n">
        <v>46318</v>
      </c>
      <c r="F1461" t="inlineStr">
        <is>
          <t>JÄMTLANDS LÄN</t>
        </is>
      </c>
      <c r="G1461" t="inlineStr">
        <is>
          <t>STRÖMSUND</t>
        </is>
      </c>
      <c r="I1461" t="n">
        <v>17.6</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25992-2026</t>
        </is>
      </c>
      <c r="B1462" t="inlineStr">
        <is>
          <t>avverkningsanmälan</t>
        </is>
      </c>
      <c r="C1462" t="inlineStr">
        <is>
          <t>Föryngringsavverkning</t>
        </is>
      </c>
      <c r="D1462" s="1" t="n">
        <v>46181</v>
      </c>
      <c r="E1462" s="1" t="n">
        <v>46318</v>
      </c>
      <c r="F1462" t="inlineStr">
        <is>
          <t>JÄMTLANDS LÄN</t>
        </is>
      </c>
      <c r="G1462" t="inlineStr">
        <is>
          <t>STRÖMSUND</t>
        </is>
      </c>
      <c r="H1462" t="inlineStr">
        <is>
          <t>Holmen skog AB</t>
        </is>
      </c>
      <c r="I1462" t="n">
        <v>17.9</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18780-2025</t>
        </is>
      </c>
      <c r="B1463" t="inlineStr">
        <is>
          <t>avverkningsanmälan</t>
        </is>
      </c>
      <c r="C1463" t="inlineStr">
        <is>
          <t>Föryngringsavverkning</t>
        </is>
      </c>
      <c r="D1463" s="1" t="n">
        <v>45763</v>
      </c>
      <c r="E1463" s="1" t="n">
        <v>46318</v>
      </c>
      <c r="F1463" t="inlineStr">
        <is>
          <t>JÄMTLANDS LÄN</t>
        </is>
      </c>
      <c r="G1463" t="inlineStr">
        <is>
          <t>STRÖMSUND</t>
        </is>
      </c>
      <c r="I1463" t="n">
        <v>3</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12666-2025</t>
        </is>
      </c>
      <c r="B1464" t="inlineStr">
        <is>
          <t>avverkningsanmälan</t>
        </is>
      </c>
      <c r="C1464" t="inlineStr">
        <is>
          <t>Föryngringsavverkning</t>
        </is>
      </c>
      <c r="D1464" s="1" t="n">
        <v>45733</v>
      </c>
      <c r="E1464" s="1" t="n">
        <v>46318</v>
      </c>
      <c r="F1464" t="inlineStr">
        <is>
          <t>JÄMTLANDS LÄN</t>
        </is>
      </c>
      <c r="G1464" t="inlineStr">
        <is>
          <t>STRÖMSUND</t>
        </is>
      </c>
      <c r="H1464" t="inlineStr">
        <is>
          <t>SCA</t>
        </is>
      </c>
      <c r="I1464" t="n">
        <v>1.8</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20783-2025</t>
        </is>
      </c>
      <c r="B1465" t="inlineStr">
        <is>
          <t>avverkningsanmälan</t>
        </is>
      </c>
      <c r="C1465" t="inlineStr">
        <is>
          <t>Föryngringsavverkning</t>
        </is>
      </c>
      <c r="D1465" s="1" t="n">
        <v>45776</v>
      </c>
      <c r="E1465" s="1" t="n">
        <v>46318</v>
      </c>
      <c r="F1465" t="inlineStr">
        <is>
          <t>JÄMTLANDS LÄN</t>
        </is>
      </c>
      <c r="G1465" t="inlineStr">
        <is>
          <t>STRÖMSUND</t>
        </is>
      </c>
      <c r="I1465" t="n">
        <v>4.8</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13022-2025</t>
        </is>
      </c>
      <c r="B1466" t="inlineStr">
        <is>
          <t>avverkningsanmälan</t>
        </is>
      </c>
      <c r="C1466" t="inlineStr">
        <is>
          <t>Föryngringsavverkning</t>
        </is>
      </c>
      <c r="D1466" s="1" t="n">
        <v>45734</v>
      </c>
      <c r="E1466" s="1" t="n">
        <v>46318</v>
      </c>
      <c r="F1466" t="inlineStr">
        <is>
          <t>JÄMTLANDS LÄN</t>
        </is>
      </c>
      <c r="G1466" t="inlineStr">
        <is>
          <t>STRÖMSUND</t>
        </is>
      </c>
      <c r="I1466" t="n">
        <v>2.3</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13146-2025</t>
        </is>
      </c>
      <c r="B1467" t="inlineStr">
        <is>
          <t>avverkningsanmälan</t>
        </is>
      </c>
      <c r="C1467" t="inlineStr">
        <is>
          <t>Avverkning för annat ändamål</t>
        </is>
      </c>
      <c r="D1467" s="1" t="n">
        <v>45734</v>
      </c>
      <c r="E1467" s="1" t="n">
        <v>46318</v>
      </c>
      <c r="F1467" t="inlineStr">
        <is>
          <t>JÄMTLANDS LÄN</t>
        </is>
      </c>
      <c r="G1467" t="inlineStr">
        <is>
          <t>STRÖMSUND</t>
        </is>
      </c>
      <c r="I1467" t="n">
        <v>0.5</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51006-2025</t>
        </is>
      </c>
      <c r="B1468" t="inlineStr">
        <is>
          <t>avverkningsanmälan</t>
        </is>
      </c>
      <c r="C1468" t="inlineStr">
        <is>
          <t>Föryngringsavverkning</t>
        </is>
      </c>
      <c r="D1468" s="1" t="n">
        <v>45947</v>
      </c>
      <c r="E1468" s="1" t="n">
        <v>46318</v>
      </c>
      <c r="F1468" t="inlineStr">
        <is>
          <t>JÄMTLANDS LÄN</t>
        </is>
      </c>
      <c r="G1468" t="inlineStr">
        <is>
          <t>STRÖMSUND</t>
        </is>
      </c>
      <c r="I1468" t="n">
        <v>4.4</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21180-2025</t>
        </is>
      </c>
      <c r="B1469" t="inlineStr">
        <is>
          <t>avverkningsanmälan</t>
        </is>
      </c>
      <c r="C1469" t="inlineStr">
        <is>
          <t>Föryngringsavverkning</t>
        </is>
      </c>
      <c r="D1469" s="1" t="n">
        <v>45779</v>
      </c>
      <c r="E1469" s="1" t="n">
        <v>46318</v>
      </c>
      <c r="F1469" t="inlineStr">
        <is>
          <t>JÄMTLANDS LÄN</t>
        </is>
      </c>
      <c r="G1469" t="inlineStr">
        <is>
          <t>STRÖMSUND</t>
        </is>
      </c>
      <c r="I1469" t="n">
        <v>14.5</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26037-2024</t>
        </is>
      </c>
      <c r="B1470" t="inlineStr">
        <is>
          <t>avverkningsanmälan</t>
        </is>
      </c>
      <c r="C1470" t="inlineStr">
        <is>
          <t>Avverkning för att bevara och utveckla /försöksver</t>
        </is>
      </c>
      <c r="D1470" s="1" t="n">
        <v>45467</v>
      </c>
      <c r="E1470" s="1" t="n">
        <v>46318</v>
      </c>
      <c r="F1470" t="inlineStr">
        <is>
          <t>JÄMTLANDS LÄN</t>
        </is>
      </c>
      <c r="G1470" t="inlineStr">
        <is>
          <t>STRÖMSUND</t>
        </is>
      </c>
      <c r="H1470" t="inlineStr">
        <is>
          <t>SCA</t>
        </is>
      </c>
      <c r="I1470" t="n">
        <v>3.3</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13617-2025</t>
        </is>
      </c>
      <c r="B1471" t="inlineStr">
        <is>
          <t>avverkningsanmälan</t>
        </is>
      </c>
      <c r="C1471" t="inlineStr">
        <is>
          <t>Föryngringsavverkning</t>
        </is>
      </c>
      <c r="D1471" s="1" t="n">
        <v>45736</v>
      </c>
      <c r="E1471" s="1" t="n">
        <v>46318</v>
      </c>
      <c r="F1471" t="inlineStr">
        <is>
          <t>JÄMTLANDS LÄN</t>
        </is>
      </c>
      <c r="G1471" t="inlineStr">
        <is>
          <t>STRÖMSUND</t>
        </is>
      </c>
      <c r="I1471" t="n">
        <v>3.5</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13654-2025</t>
        </is>
      </c>
      <c r="B1472" t="inlineStr">
        <is>
          <t>avverkningsanmälan</t>
        </is>
      </c>
      <c r="C1472" t="inlineStr">
        <is>
          <t>Avverkning för att bevara och utveckla /försöksver</t>
        </is>
      </c>
      <c r="D1472" s="1" t="n">
        <v>45736</v>
      </c>
      <c r="E1472" s="1" t="n">
        <v>46318</v>
      </c>
      <c r="F1472" t="inlineStr">
        <is>
          <t>JÄMTLANDS LÄN</t>
        </is>
      </c>
      <c r="G1472" t="inlineStr">
        <is>
          <t>STRÖMSUND</t>
        </is>
      </c>
      <c r="H1472" t="inlineStr">
        <is>
          <t>SCA</t>
        </is>
      </c>
      <c r="I1472" t="n">
        <v>4.8</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7714-2023</t>
        </is>
      </c>
      <c r="B1473" t="inlineStr">
        <is>
          <t>avverkningsanmälan</t>
        </is>
      </c>
      <c r="C1473" t="inlineStr">
        <is>
          <t>Föryngringsavverkning</t>
        </is>
      </c>
      <c r="D1473" s="1" t="n">
        <v>44972</v>
      </c>
      <c r="E1473" s="1" t="n">
        <v>46318</v>
      </c>
      <c r="F1473" t="inlineStr">
        <is>
          <t>JÄMTLANDS LÄN</t>
        </is>
      </c>
      <c r="G1473" t="inlineStr">
        <is>
          <t>STRÖMSUND</t>
        </is>
      </c>
      <c r="I1473" t="n">
        <v>23.9</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15064-2023</t>
        </is>
      </c>
      <c r="B1474" t="inlineStr">
        <is>
          <t>avverkningsanmälan</t>
        </is>
      </c>
      <c r="C1474" t="inlineStr">
        <is>
          <t>Föryngringsavverkning</t>
        </is>
      </c>
      <c r="D1474" s="1" t="n">
        <v>45015</v>
      </c>
      <c r="E1474" s="1" t="n">
        <v>46318</v>
      </c>
      <c r="F1474" t="inlineStr">
        <is>
          <t>JÄMTLANDS LÄN</t>
        </is>
      </c>
      <c r="G1474" t="inlineStr">
        <is>
          <t>STRÖMSUND</t>
        </is>
      </c>
      <c r="I1474" t="n">
        <v>4.4</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41292-2024</t>
        </is>
      </c>
      <c r="B1475" t="inlineStr">
        <is>
          <t>avverkningsanmälan</t>
        </is>
      </c>
      <c r="C1475" t="inlineStr">
        <is>
          <t>Föryngringsavverkning</t>
        </is>
      </c>
      <c r="D1475" s="1" t="n">
        <v>45559</v>
      </c>
      <c r="E1475" s="1" t="n">
        <v>46318</v>
      </c>
      <c r="F1475" t="inlineStr">
        <is>
          <t>JÄMTLANDS LÄN</t>
        </is>
      </c>
      <c r="G1475" t="inlineStr">
        <is>
          <t>STRÖMSUND</t>
        </is>
      </c>
      <c r="I1475" t="n">
        <v>1.3</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26167-2026</t>
        </is>
      </c>
      <c r="B1476" t="inlineStr">
        <is>
          <t>avverkningsanmälan</t>
        </is>
      </c>
      <c r="C1476" t="inlineStr">
        <is>
          <t>Föryngringsavverkning</t>
        </is>
      </c>
      <c r="D1476" s="1" t="n">
        <v>46181</v>
      </c>
      <c r="E1476" s="1" t="n">
        <v>46318</v>
      </c>
      <c r="F1476" t="inlineStr">
        <is>
          <t>JÄMTLANDS LÄN</t>
        </is>
      </c>
      <c r="G1476" t="inlineStr">
        <is>
          <t>STRÖMSUND</t>
        </is>
      </c>
      <c r="I1476" t="n">
        <v>1.2</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13236-2024</t>
        </is>
      </c>
      <c r="B1477" t="inlineStr">
        <is>
          <t>avverkningsanmälan</t>
        </is>
      </c>
      <c r="C1477" t="inlineStr">
        <is>
          <t>Föryngringsavverkning</t>
        </is>
      </c>
      <c r="D1477" s="1" t="n">
        <v>45386</v>
      </c>
      <c r="E1477" s="1" t="n">
        <v>46318</v>
      </c>
      <c r="F1477" t="inlineStr">
        <is>
          <t>JÄMTLANDS LÄN</t>
        </is>
      </c>
      <c r="G1477" t="inlineStr">
        <is>
          <t>STRÖMSUND</t>
        </is>
      </c>
      <c r="I1477" t="n">
        <v>12.1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26219-2026</t>
        </is>
      </c>
      <c r="B1478" t="inlineStr">
        <is>
          <t>avverkningsanmälan</t>
        </is>
      </c>
      <c r="C1478" t="inlineStr">
        <is>
          <t>Föryngringsavverkning</t>
        </is>
      </c>
      <c r="D1478" s="1" t="n">
        <v>46182</v>
      </c>
      <c r="E1478" s="1" t="n">
        <v>46318</v>
      </c>
      <c r="F1478" t="inlineStr">
        <is>
          <t>JÄMTLANDS LÄN</t>
        </is>
      </c>
      <c r="G1478" t="inlineStr">
        <is>
          <t>STRÖMSUND</t>
        </is>
      </c>
      <c r="I1478" t="n">
        <v>13.8</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26226-2026</t>
        </is>
      </c>
      <c r="B1479" t="inlineStr">
        <is>
          <t>avverkningsanmälan</t>
        </is>
      </c>
      <c r="C1479" t="inlineStr">
        <is>
          <t>Föryngringsavverkning</t>
        </is>
      </c>
      <c r="D1479" s="1" t="n">
        <v>46182</v>
      </c>
      <c r="E1479" s="1" t="n">
        <v>46318</v>
      </c>
      <c r="F1479" t="inlineStr">
        <is>
          <t>JÄMTLANDS LÄN</t>
        </is>
      </c>
      <c r="G1479" t="inlineStr">
        <is>
          <t>STRÖMSUND</t>
        </is>
      </c>
      <c r="I1479" t="n">
        <v>3.6</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31606-2024</t>
        </is>
      </c>
      <c r="B1480" t="inlineStr">
        <is>
          <t>avverkningsanmälan</t>
        </is>
      </c>
      <c r="C1480" t="inlineStr">
        <is>
          <t>Avverkning för annat ändamål</t>
        </is>
      </c>
      <c r="D1480" s="1" t="n">
        <v>45506</v>
      </c>
      <c r="E1480" s="1" t="n">
        <v>46318</v>
      </c>
      <c r="F1480" t="inlineStr">
        <is>
          <t>JÄMTLANDS LÄN</t>
        </is>
      </c>
      <c r="G1480" t="inlineStr">
        <is>
          <t>STRÖMSUND</t>
        </is>
      </c>
      <c r="I1480" t="n">
        <v>1.3</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6414-2025</t>
        </is>
      </c>
      <c r="B1481" t="inlineStr">
        <is>
          <t>avverkningsanmälan</t>
        </is>
      </c>
      <c r="C1481" t="inlineStr">
        <is>
          <t>Avverkning för annat ändamål</t>
        </is>
      </c>
      <c r="D1481" s="1" t="n">
        <v>45699</v>
      </c>
      <c r="E1481" s="1" t="n">
        <v>46318</v>
      </c>
      <c r="F1481" t="inlineStr">
        <is>
          <t>JÄMTLANDS LÄN</t>
        </is>
      </c>
      <c r="G1481" t="inlineStr">
        <is>
          <t>STRÖMSUND</t>
        </is>
      </c>
      <c r="I1481" t="n">
        <v>1.6</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61833-2023</t>
        </is>
      </c>
      <c r="B1482" t="inlineStr">
        <is>
          <t>avverkningsanmälan</t>
        </is>
      </c>
      <c r="C1482" t="inlineStr">
        <is>
          <t>Föryngringsavverkning</t>
        </is>
      </c>
      <c r="D1482" s="1" t="n">
        <v>45264</v>
      </c>
      <c r="E1482" s="1" t="n">
        <v>46318</v>
      </c>
      <c r="F1482" t="inlineStr">
        <is>
          <t>JÄMTLANDS LÄN</t>
        </is>
      </c>
      <c r="G1482" t="inlineStr">
        <is>
          <t>STRÖMSUND</t>
        </is>
      </c>
      <c r="I1482" t="n">
        <v>4.8</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12099-2025</t>
        </is>
      </c>
      <c r="B1483" t="inlineStr">
        <is>
          <t>avverkningsanmälan</t>
        </is>
      </c>
      <c r="C1483" t="inlineStr">
        <is>
          <t>Föryngringsavverkning</t>
        </is>
      </c>
      <c r="D1483" s="1" t="n">
        <v>45729</v>
      </c>
      <c r="E1483" s="1" t="n">
        <v>46318</v>
      </c>
      <c r="F1483" t="inlineStr">
        <is>
          <t>JÄMTLANDS LÄN</t>
        </is>
      </c>
      <c r="G1483" t="inlineStr">
        <is>
          <t>STRÖMSUND</t>
        </is>
      </c>
      <c r="I1483" t="n">
        <v>3.2</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28016-2023</t>
        </is>
      </c>
      <c r="B1484" t="inlineStr">
        <is>
          <t>avverkningsanmälan</t>
        </is>
      </c>
      <c r="C1484" t="inlineStr">
        <is>
          <t>Föryngringsavverkning</t>
        </is>
      </c>
      <c r="D1484" s="1" t="n">
        <v>45098</v>
      </c>
      <c r="E1484" s="1" t="n">
        <v>46318</v>
      </c>
      <c r="F1484" t="inlineStr">
        <is>
          <t>JÄMTLANDS LÄN</t>
        </is>
      </c>
      <c r="G1484" t="inlineStr">
        <is>
          <t>STRÖMSUND</t>
        </is>
      </c>
      <c r="H1484" t="inlineStr">
        <is>
          <t>SCA</t>
        </is>
      </c>
      <c r="I1484" t="n">
        <v>0.4</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21322-2025</t>
        </is>
      </c>
      <c r="B1485" t="inlineStr">
        <is>
          <t>avverkningsanmälan</t>
        </is>
      </c>
      <c r="C1485" t="inlineStr">
        <is>
          <t>Föryngringsavverkning</t>
        </is>
      </c>
      <c r="D1485" s="1" t="n">
        <v>45782</v>
      </c>
      <c r="E1485" s="1" t="n">
        <v>46318</v>
      </c>
      <c r="F1485" t="inlineStr">
        <is>
          <t>JÄMTLANDS LÄN</t>
        </is>
      </c>
      <c r="G1485" t="inlineStr">
        <is>
          <t>STRÖMSUND</t>
        </is>
      </c>
      <c r="H1485" t="inlineStr">
        <is>
          <t>SCA</t>
        </is>
      </c>
      <c r="I1485" t="n">
        <v>1.5</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12870-2025</t>
        </is>
      </c>
      <c r="B1486" t="inlineStr">
        <is>
          <t>avverkningsanmälan</t>
        </is>
      </c>
      <c r="C1486" t="inlineStr">
        <is>
          <t>Föryngringsavverkning</t>
        </is>
      </c>
      <c r="D1486" s="1" t="n">
        <v>45733</v>
      </c>
      <c r="E1486" s="1" t="n">
        <v>46318</v>
      </c>
      <c r="F1486" t="inlineStr">
        <is>
          <t>JÄMTLANDS LÄN</t>
        </is>
      </c>
      <c r="G1486" t="inlineStr">
        <is>
          <t>STRÖMSUND</t>
        </is>
      </c>
      <c r="H1486" t="inlineStr">
        <is>
          <t>SCA</t>
        </is>
      </c>
      <c r="I1486" t="n">
        <v>1</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13262-2025</t>
        </is>
      </c>
      <c r="B1487" t="inlineStr">
        <is>
          <t>avverkningsanmälan</t>
        </is>
      </c>
      <c r="C1487" t="inlineStr">
        <is>
          <t>Föryngringsavverkning</t>
        </is>
      </c>
      <c r="D1487" s="1" t="n">
        <v>45735</v>
      </c>
      <c r="E1487" s="1" t="n">
        <v>46318</v>
      </c>
      <c r="F1487" t="inlineStr">
        <is>
          <t>JÄMTLANDS LÄN</t>
        </is>
      </c>
      <c r="G1487" t="inlineStr">
        <is>
          <t>STRÖMSUND</t>
        </is>
      </c>
      <c r="H1487" t="inlineStr">
        <is>
          <t>SCA</t>
        </is>
      </c>
      <c r="I1487" t="n">
        <v>2.9</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11157-2025</t>
        </is>
      </c>
      <c r="B1488" t="inlineStr">
        <is>
          <t>avverkningsanmälan</t>
        </is>
      </c>
      <c r="C1488" t="inlineStr">
        <is>
          <t>Föryngringsavverkning</t>
        </is>
      </c>
      <c r="D1488" s="1" t="n">
        <v>45723</v>
      </c>
      <c r="E1488" s="1" t="n">
        <v>46318</v>
      </c>
      <c r="F1488" t="inlineStr">
        <is>
          <t>JÄMTLANDS LÄN</t>
        </is>
      </c>
      <c r="G1488" t="inlineStr">
        <is>
          <t>STRÖMSUND</t>
        </is>
      </c>
      <c r="I1488" t="n">
        <v>1.4</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21353-2025</t>
        </is>
      </c>
      <c r="B1489" t="inlineStr">
        <is>
          <t>avverkningsanmälan</t>
        </is>
      </c>
      <c r="C1489" t="inlineStr">
        <is>
          <t>Föryngringsavverkning</t>
        </is>
      </c>
      <c r="D1489" s="1" t="n">
        <v>45782</v>
      </c>
      <c r="E1489" s="1" t="n">
        <v>46318</v>
      </c>
      <c r="F1489" t="inlineStr">
        <is>
          <t>JÄMTLANDS LÄN</t>
        </is>
      </c>
      <c r="G1489" t="inlineStr">
        <is>
          <t>STRÖMSUND</t>
        </is>
      </c>
      <c r="H1489" t="inlineStr">
        <is>
          <t>Holmen skog AB</t>
        </is>
      </c>
      <c r="I1489" t="n">
        <v>1</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10504-2025</t>
        </is>
      </c>
      <c r="B1490" t="inlineStr">
        <is>
          <t>avverkningsanmälan</t>
        </is>
      </c>
      <c r="C1490" t="inlineStr">
        <is>
          <t>Föryngringsavverkning</t>
        </is>
      </c>
      <c r="D1490" s="1" t="n">
        <v>45721</v>
      </c>
      <c r="E1490" s="1" t="n">
        <v>46318</v>
      </c>
      <c r="F1490" t="inlineStr">
        <is>
          <t>JÄMTLANDS LÄN</t>
        </is>
      </c>
      <c r="G1490" t="inlineStr">
        <is>
          <t>STRÖMSUND</t>
        </is>
      </c>
      <c r="H1490" t="inlineStr">
        <is>
          <t>SCA</t>
        </is>
      </c>
      <c r="I1490" t="n">
        <v>13.2</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13522-2025</t>
        </is>
      </c>
      <c r="B1491" t="inlineStr">
        <is>
          <t>avverkningsanmälan</t>
        </is>
      </c>
      <c r="C1491" t="inlineStr">
        <is>
          <t>Föryngringsavverkning</t>
        </is>
      </c>
      <c r="D1491" s="1" t="n">
        <v>45736</v>
      </c>
      <c r="E1491" s="1" t="n">
        <v>46318</v>
      </c>
      <c r="F1491" t="inlineStr">
        <is>
          <t>JÄMTLANDS LÄN</t>
        </is>
      </c>
      <c r="G1491" t="inlineStr">
        <is>
          <t>STRÖMSUND</t>
        </is>
      </c>
      <c r="H1491" t="inlineStr">
        <is>
          <t>SCA</t>
        </is>
      </c>
      <c r="I1491" t="n">
        <v>4.5</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13898-2025</t>
        </is>
      </c>
      <c r="B1492" t="inlineStr">
        <is>
          <t>avverkningsanmälan</t>
        </is>
      </c>
      <c r="C1492" t="inlineStr">
        <is>
          <t>Föryngringsavverkning</t>
        </is>
      </c>
      <c r="D1492" s="1" t="n">
        <v>45737</v>
      </c>
      <c r="E1492" s="1" t="n">
        <v>46318</v>
      </c>
      <c r="F1492" t="inlineStr">
        <is>
          <t>JÄMTLANDS LÄN</t>
        </is>
      </c>
      <c r="G1492" t="inlineStr">
        <is>
          <t>STRÖMSUND</t>
        </is>
      </c>
      <c r="I1492" t="n">
        <v>4</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1642-2023</t>
        </is>
      </c>
      <c r="B1493" t="inlineStr">
        <is>
          <t>avverkningsanmälan</t>
        </is>
      </c>
      <c r="C1493" t="inlineStr">
        <is>
          <t>Föryngringsavverkning</t>
        </is>
      </c>
      <c r="D1493" s="1" t="n">
        <v>44937</v>
      </c>
      <c r="E1493" s="1" t="n">
        <v>46318</v>
      </c>
      <c r="F1493" t="inlineStr">
        <is>
          <t>JÄMTLANDS LÄN</t>
        </is>
      </c>
      <c r="G1493" t="inlineStr">
        <is>
          <t>STRÖMSUND</t>
        </is>
      </c>
      <c r="I1493" t="n">
        <v>0.7</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6512-2024</t>
        </is>
      </c>
      <c r="B1494" t="inlineStr">
        <is>
          <t>avverkningsanmälan</t>
        </is>
      </c>
      <c r="C1494" t="inlineStr">
        <is>
          <t>Föryngringsavverkning</t>
        </is>
      </c>
      <c r="D1494" s="1" t="n">
        <v>45340</v>
      </c>
      <c r="E1494" s="1" t="n">
        <v>46318</v>
      </c>
      <c r="F1494" t="inlineStr">
        <is>
          <t>JÄMTLANDS LÄN</t>
        </is>
      </c>
      <c r="G1494" t="inlineStr">
        <is>
          <t>STRÖMSUND</t>
        </is>
      </c>
      <c r="I1494" t="n">
        <v>3.8</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39516-2024</t>
        </is>
      </c>
      <c r="B1495" t="inlineStr">
        <is>
          <t>avverkningsanmälan</t>
        </is>
      </c>
      <c r="C1495" t="inlineStr">
        <is>
          <t>Föryngringsavverkning</t>
        </is>
      </c>
      <c r="D1495" s="1" t="n">
        <v>45551</v>
      </c>
      <c r="E1495" s="1" t="n">
        <v>46318</v>
      </c>
      <c r="F1495" t="inlineStr">
        <is>
          <t>JÄMTLANDS LÄN</t>
        </is>
      </c>
      <c r="G1495" t="inlineStr">
        <is>
          <t>STRÖMSUND</t>
        </is>
      </c>
      <c r="H1495" t="inlineStr">
        <is>
          <t>SCA</t>
        </is>
      </c>
      <c r="I1495" t="n">
        <v>1.7</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13777-2025</t>
        </is>
      </c>
      <c r="B1496" t="inlineStr">
        <is>
          <t>avverkningsanmälan</t>
        </is>
      </c>
      <c r="C1496" t="inlineStr">
        <is>
          <t>Föryngringsavverkning</t>
        </is>
      </c>
      <c r="D1496" s="1" t="n">
        <v>45736</v>
      </c>
      <c r="E1496" s="1" t="n">
        <v>46318</v>
      </c>
      <c r="F1496" t="inlineStr">
        <is>
          <t>JÄMTLANDS LÄN</t>
        </is>
      </c>
      <c r="G1496" t="inlineStr">
        <is>
          <t>STRÖMSUND</t>
        </is>
      </c>
      <c r="I1496" t="n">
        <v>3.1</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13782-2025</t>
        </is>
      </c>
      <c r="B1497" t="inlineStr">
        <is>
          <t>avverkningsanmälan</t>
        </is>
      </c>
      <c r="C1497" t="inlineStr">
        <is>
          <t>Föryngringsavverkning</t>
        </is>
      </c>
      <c r="D1497" s="1" t="n">
        <v>45736</v>
      </c>
      <c r="E1497" s="1" t="n">
        <v>46318</v>
      </c>
      <c r="F1497" t="inlineStr">
        <is>
          <t>JÄMTLANDS LÄN</t>
        </is>
      </c>
      <c r="G1497" t="inlineStr">
        <is>
          <t>STRÖMSUND</t>
        </is>
      </c>
      <c r="I1497" t="n">
        <v>3.5</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57361-2023</t>
        </is>
      </c>
      <c r="B1498" t="inlineStr">
        <is>
          <t>avverkningsanmälan</t>
        </is>
      </c>
      <c r="C1498" t="inlineStr">
        <is>
          <t>Föryngringsavverkning</t>
        </is>
      </c>
      <c r="D1498" s="1" t="n">
        <v>45240</v>
      </c>
      <c r="E1498" s="1" t="n">
        <v>46318</v>
      </c>
      <c r="F1498" t="inlineStr">
        <is>
          <t>JÄMTLANDS LÄN</t>
        </is>
      </c>
      <c r="G1498" t="inlineStr">
        <is>
          <t>STRÖMSUND</t>
        </is>
      </c>
      <c r="I1498" t="n">
        <v>1.5</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6668-2026</t>
        </is>
      </c>
      <c r="B1499" t="inlineStr">
        <is>
          <t>avverkningsanmälan</t>
        </is>
      </c>
      <c r="C1499" t="inlineStr">
        <is>
          <t>Föryngringsavverkning</t>
        </is>
      </c>
      <c r="D1499" s="1" t="n">
        <v>46056</v>
      </c>
      <c r="E1499" s="1" t="n">
        <v>46318</v>
      </c>
      <c r="F1499" t="inlineStr">
        <is>
          <t>JÄMTLANDS LÄN</t>
        </is>
      </c>
      <c r="G1499" t="inlineStr">
        <is>
          <t>STRÖMSUND</t>
        </is>
      </c>
      <c r="I1499" t="n">
        <v>1.1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6992-2026</t>
        </is>
      </c>
      <c r="B1500" t="inlineStr">
        <is>
          <t>avverkningsanmälan</t>
        </is>
      </c>
      <c r="C1500" t="inlineStr">
        <is>
          <t>Föryngringsavverkning</t>
        </is>
      </c>
      <c r="D1500" s="1" t="n">
        <v>46056</v>
      </c>
      <c r="E1500" s="1" t="n">
        <v>46318</v>
      </c>
      <c r="F1500" t="inlineStr">
        <is>
          <t>JÄMTLANDS LÄN</t>
        </is>
      </c>
      <c r="G1500" t="inlineStr">
        <is>
          <t>STRÖMSUND</t>
        </is>
      </c>
      <c r="I1500" t="n">
        <v>3.9</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6617-2026</t>
        </is>
      </c>
      <c r="B1501" t="inlineStr">
        <is>
          <t>avverkningsanmälan</t>
        </is>
      </c>
      <c r="C1501" t="inlineStr">
        <is>
          <t>Föryngringsavverkning</t>
        </is>
      </c>
      <c r="D1501" s="1" t="n">
        <v>46056</v>
      </c>
      <c r="E1501" s="1" t="n">
        <v>46318</v>
      </c>
      <c r="F1501" t="inlineStr">
        <is>
          <t>JÄMTLANDS LÄN</t>
        </is>
      </c>
      <c r="G1501" t="inlineStr">
        <is>
          <t>STRÖMSUND</t>
        </is>
      </c>
      <c r="H1501" t="inlineStr">
        <is>
          <t>SCA</t>
        </is>
      </c>
      <c r="I1501" t="n">
        <v>8.800000000000001</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6988-2026</t>
        </is>
      </c>
      <c r="B1502" t="inlineStr">
        <is>
          <t>avverkningsanmälan</t>
        </is>
      </c>
      <c r="C1502" t="inlineStr">
        <is>
          <t>Föryngringsavverkning</t>
        </is>
      </c>
      <c r="D1502" s="1" t="n">
        <v>46056</v>
      </c>
      <c r="E1502" s="1" t="n">
        <v>46318</v>
      </c>
      <c r="F1502" t="inlineStr">
        <is>
          <t>JÄMTLANDS LÄN</t>
        </is>
      </c>
      <c r="G1502" t="inlineStr">
        <is>
          <t>STRÖMSUND</t>
        </is>
      </c>
      <c r="I1502" t="n">
        <v>2.5</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32724-2023</t>
        </is>
      </c>
      <c r="B1503" t="inlineStr">
        <is>
          <t>avverkningsanmälan</t>
        </is>
      </c>
      <c r="C1503" t="inlineStr">
        <is>
          <t>Föryngringsavverkning</t>
        </is>
      </c>
      <c r="D1503" s="1" t="n">
        <v>45121</v>
      </c>
      <c r="E1503" s="1" t="n">
        <v>46318</v>
      </c>
      <c r="F1503" t="inlineStr">
        <is>
          <t>JÄMTLANDS LÄN</t>
        </is>
      </c>
      <c r="G1503" t="inlineStr">
        <is>
          <t>STRÖMSUND</t>
        </is>
      </c>
      <c r="H1503" t="inlineStr">
        <is>
          <t>SCA</t>
        </is>
      </c>
      <c r="I1503" t="n">
        <v>6.5</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22001-2025</t>
        </is>
      </c>
      <c r="B1504" t="inlineStr">
        <is>
          <t>avverkningsanmälan</t>
        </is>
      </c>
      <c r="C1504" t="inlineStr">
        <is>
          <t>Föryngringsavverkning</t>
        </is>
      </c>
      <c r="D1504" s="1" t="n">
        <v>45784</v>
      </c>
      <c r="E1504" s="1" t="n">
        <v>46318</v>
      </c>
      <c r="F1504" t="inlineStr">
        <is>
          <t>JÄMTLANDS LÄN</t>
        </is>
      </c>
      <c r="G1504" t="inlineStr">
        <is>
          <t>STRÖMSUND</t>
        </is>
      </c>
      <c r="H1504" t="inlineStr">
        <is>
          <t>SCA</t>
        </is>
      </c>
      <c r="I1504" t="n">
        <v>1.1</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7104-2026</t>
        </is>
      </c>
      <c r="B1505" t="inlineStr">
        <is>
          <t>avverkningsanmälan</t>
        </is>
      </c>
      <c r="C1505" t="inlineStr">
        <is>
          <t>Föryngringsavverkning</t>
        </is>
      </c>
      <c r="D1505" s="1" t="n">
        <v>46058</v>
      </c>
      <c r="E1505" s="1" t="n">
        <v>46318</v>
      </c>
      <c r="F1505" t="inlineStr">
        <is>
          <t>JÄMTLANDS LÄN</t>
        </is>
      </c>
      <c r="G1505" t="inlineStr">
        <is>
          <t>STRÖMSUND</t>
        </is>
      </c>
      <c r="I1505" t="n">
        <v>31.3</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60335-2023</t>
        </is>
      </c>
      <c r="B1506" t="inlineStr">
        <is>
          <t>avverkningsanmälan</t>
        </is>
      </c>
      <c r="C1506" t="inlineStr">
        <is>
          <t>Avverkning för att bevara och utveckla /försöksver</t>
        </is>
      </c>
      <c r="D1506" s="1" t="n">
        <v>45258</v>
      </c>
      <c r="E1506" s="1" t="n">
        <v>46318</v>
      </c>
      <c r="F1506" t="inlineStr">
        <is>
          <t>JÄMTLANDS LÄN</t>
        </is>
      </c>
      <c r="G1506" t="inlineStr">
        <is>
          <t>STRÖMSUND</t>
        </is>
      </c>
      <c r="H1506" t="inlineStr">
        <is>
          <t>SCA</t>
        </is>
      </c>
      <c r="I1506" t="n">
        <v>5.6</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53131-2024</t>
        </is>
      </c>
      <c r="B1507" t="inlineStr">
        <is>
          <t>avverkningsanmälan</t>
        </is>
      </c>
      <c r="C1507" t="inlineStr">
        <is>
          <t>Föryngringsavverkning</t>
        </is>
      </c>
      <c r="D1507" s="1" t="n">
        <v>45611</v>
      </c>
      <c r="E1507" s="1" t="n">
        <v>46318</v>
      </c>
      <c r="F1507" t="inlineStr">
        <is>
          <t>JÄMTLANDS LÄN</t>
        </is>
      </c>
      <c r="G1507" t="inlineStr">
        <is>
          <t>STRÖMSUND</t>
        </is>
      </c>
      <c r="H1507" t="inlineStr">
        <is>
          <t>SCA</t>
        </is>
      </c>
      <c r="I1507" t="n">
        <v>0.4</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60742-2022</t>
        </is>
      </c>
      <c r="B1508" t="inlineStr">
        <is>
          <t>avverkningsanmälan</t>
        </is>
      </c>
      <c r="C1508" t="inlineStr">
        <is>
          <t>Föryngringsavverkning</t>
        </is>
      </c>
      <c r="D1508" s="1" t="n">
        <v>44913</v>
      </c>
      <c r="E1508" s="1" t="n">
        <v>46318</v>
      </c>
      <c r="F1508" t="inlineStr">
        <is>
          <t>JÄMTLANDS LÄN</t>
        </is>
      </c>
      <c r="G1508" t="inlineStr">
        <is>
          <t>STRÖMSUND</t>
        </is>
      </c>
      <c r="H1508" t="inlineStr">
        <is>
          <t>SCA</t>
        </is>
      </c>
      <c r="I1508" t="n">
        <v>1.1</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60667-2022</t>
        </is>
      </c>
      <c r="B1509" t="inlineStr">
        <is>
          <t>avverkningsanmälan</t>
        </is>
      </c>
      <c r="C1509" t="inlineStr">
        <is>
          <t>Föryngringsavverkning</t>
        </is>
      </c>
      <c r="D1509" s="1" t="n">
        <v>44911</v>
      </c>
      <c r="E1509" s="1" t="n">
        <v>46318</v>
      </c>
      <c r="F1509" t="inlineStr">
        <is>
          <t>JÄMTLANDS LÄN</t>
        </is>
      </c>
      <c r="G1509" t="inlineStr">
        <is>
          <t>STRÖMSUND</t>
        </is>
      </c>
      <c r="H1509" t="inlineStr">
        <is>
          <t>SCA</t>
        </is>
      </c>
      <c r="I1509" t="n">
        <v>5.1</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56426-2024</t>
        </is>
      </c>
      <c r="B1510" t="inlineStr">
        <is>
          <t>avverkningsanmälan</t>
        </is>
      </c>
      <c r="C1510" t="inlineStr">
        <is>
          <t>Föryngringsavverkning</t>
        </is>
      </c>
      <c r="D1510" s="1" t="n">
        <v>45624</v>
      </c>
      <c r="E1510" s="1" t="n">
        <v>46318</v>
      </c>
      <c r="F1510" t="inlineStr">
        <is>
          <t>JÄMTLANDS LÄN</t>
        </is>
      </c>
      <c r="G1510" t="inlineStr">
        <is>
          <t>STRÖMSUND</t>
        </is>
      </c>
      <c r="I1510" t="n">
        <v>16.2</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14568-2024</t>
        </is>
      </c>
      <c r="B1511" t="inlineStr">
        <is>
          <t>avverkningsanmälan</t>
        </is>
      </c>
      <c r="C1511" t="inlineStr">
        <is>
          <t>Föryngringsavverkning</t>
        </is>
      </c>
      <c r="D1511" s="1" t="n">
        <v>45394</v>
      </c>
      <c r="E1511" s="1" t="n">
        <v>46318</v>
      </c>
      <c r="F1511" t="inlineStr">
        <is>
          <t>JÄMTLANDS LÄN</t>
        </is>
      </c>
      <c r="G1511" t="inlineStr">
        <is>
          <t>STRÖMSUND</t>
        </is>
      </c>
      <c r="I1511" t="n">
        <v>0.4</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26313-2026</t>
        </is>
      </c>
      <c r="B1512" t="inlineStr">
        <is>
          <t>avverkningsanmälan</t>
        </is>
      </c>
      <c r="C1512" t="inlineStr">
        <is>
          <t>Avverkning för annat ändamål</t>
        </is>
      </c>
      <c r="D1512" s="1" t="n">
        <v>46182</v>
      </c>
      <c r="E1512" s="1" t="n">
        <v>46318</v>
      </c>
      <c r="F1512" t="inlineStr">
        <is>
          <t>JÄMTLANDS LÄN</t>
        </is>
      </c>
      <c r="G1512" t="inlineStr">
        <is>
          <t>STRÖMSUND</t>
        </is>
      </c>
      <c r="H1512" t="inlineStr">
        <is>
          <t>SCA</t>
        </is>
      </c>
      <c r="I1512" t="n">
        <v>0.6</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48936-2024</t>
        </is>
      </c>
      <c r="B1513" t="inlineStr">
        <is>
          <t>avverkningsanmälan</t>
        </is>
      </c>
      <c r="C1513" t="inlineStr">
        <is>
          <t>Föryngringsavverkning</t>
        </is>
      </c>
      <c r="D1513" s="1" t="n">
        <v>45594</v>
      </c>
      <c r="E1513" s="1" t="n">
        <v>46318</v>
      </c>
      <c r="F1513" t="inlineStr">
        <is>
          <t>JÄMTLANDS LÄN</t>
        </is>
      </c>
      <c r="G1513" t="inlineStr">
        <is>
          <t>STRÖMSUND</t>
        </is>
      </c>
      <c r="I1513" t="n">
        <v>1.1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7824-2026</t>
        </is>
      </c>
      <c r="B1514" t="inlineStr">
        <is>
          <t>avverkningsanmälan</t>
        </is>
      </c>
      <c r="C1514" t="inlineStr">
        <is>
          <t>Föryngringsavverkning</t>
        </is>
      </c>
      <c r="D1514" s="1" t="n">
        <v>46062</v>
      </c>
      <c r="E1514" s="1" t="n">
        <v>46318</v>
      </c>
      <c r="F1514" t="inlineStr">
        <is>
          <t>JÄMTLANDS LÄN</t>
        </is>
      </c>
      <c r="G1514" t="inlineStr">
        <is>
          <t>STRÖMSUND</t>
        </is>
      </c>
      <c r="H1514" t="inlineStr">
        <is>
          <t>SCA</t>
        </is>
      </c>
      <c r="I1514" t="n">
        <v>3.8</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22239-2025</t>
        </is>
      </c>
      <c r="B1515" t="inlineStr">
        <is>
          <t>avverkningsanmälan</t>
        </is>
      </c>
      <c r="C1515" t="inlineStr">
        <is>
          <t>Föryngringsavverkning</t>
        </is>
      </c>
      <c r="D1515" s="1" t="n">
        <v>45785</v>
      </c>
      <c r="E1515" s="1" t="n">
        <v>46318</v>
      </c>
      <c r="F1515" t="inlineStr">
        <is>
          <t>JÄMTLANDS LÄN</t>
        </is>
      </c>
      <c r="G1515" t="inlineStr">
        <is>
          <t>STRÖMSUND</t>
        </is>
      </c>
      <c r="H1515" t="inlineStr">
        <is>
          <t>SCA</t>
        </is>
      </c>
      <c r="I1515" t="n">
        <v>0.3</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11856-2022</t>
        </is>
      </c>
      <c r="B1516" t="inlineStr">
        <is>
          <t>avverkningsanmälan</t>
        </is>
      </c>
      <c r="C1516" t="inlineStr">
        <is>
          <t>Föryngringsavverkning</t>
        </is>
      </c>
      <c r="D1516" s="1" t="n">
        <v>44635</v>
      </c>
      <c r="E1516" s="1" t="n">
        <v>46318</v>
      </c>
      <c r="F1516" t="inlineStr">
        <is>
          <t>JÄMTLANDS LÄN</t>
        </is>
      </c>
      <c r="G1516" t="inlineStr">
        <is>
          <t>STRÖMSUND</t>
        </is>
      </c>
      <c r="I1516" t="n">
        <v>7.4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61136-2023</t>
        </is>
      </c>
      <c r="B1517" t="inlineStr">
        <is>
          <t>avverkningsanmälan</t>
        </is>
      </c>
      <c r="C1517" t="inlineStr">
        <is>
          <t>Föryngringsavverkning</t>
        </is>
      </c>
      <c r="D1517" s="1" t="n">
        <v>45261</v>
      </c>
      <c r="E1517" s="1" t="n">
        <v>46318</v>
      </c>
      <c r="F1517" t="inlineStr">
        <is>
          <t>JÄMTLANDS LÄN</t>
        </is>
      </c>
      <c r="G1517" t="inlineStr">
        <is>
          <t>STRÖMSUND</t>
        </is>
      </c>
      <c r="I1517" t="n">
        <v>3.9</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60661-2023</t>
        </is>
      </c>
      <c r="B1518" t="inlineStr">
        <is>
          <t>avverkningsanmälan</t>
        </is>
      </c>
      <c r="C1518" t="inlineStr">
        <is>
          <t>Avverkning för annat ändamål</t>
        </is>
      </c>
      <c r="D1518" s="1" t="n">
        <v>45259</v>
      </c>
      <c r="E1518" s="1" t="n">
        <v>46318</v>
      </c>
      <c r="F1518" t="inlineStr">
        <is>
          <t>JÄMTLANDS LÄN</t>
        </is>
      </c>
      <c r="G1518" t="inlineStr">
        <is>
          <t>STRÖMSUND</t>
        </is>
      </c>
      <c r="I1518" t="n">
        <v>2.2</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7715-2026</t>
        </is>
      </c>
      <c r="B1519" t="inlineStr">
        <is>
          <t>avverkningsanmälan</t>
        </is>
      </c>
      <c r="C1519" t="inlineStr">
        <is>
          <t>Föryngringsavverkning</t>
        </is>
      </c>
      <c r="D1519" s="1" t="n">
        <v>46062</v>
      </c>
      <c r="E1519" s="1" t="n">
        <v>46318</v>
      </c>
      <c r="F1519" t="inlineStr">
        <is>
          <t>JÄMTLANDS LÄN</t>
        </is>
      </c>
      <c r="G1519" t="inlineStr">
        <is>
          <t>STRÖMSUND</t>
        </is>
      </c>
      <c r="H1519" t="inlineStr">
        <is>
          <t>SCA</t>
        </is>
      </c>
      <c r="I1519" t="n">
        <v>1.7</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44390-2023</t>
        </is>
      </c>
      <c r="B1520" t="inlineStr">
        <is>
          <t>avverkningsanmälan</t>
        </is>
      </c>
      <c r="C1520" t="inlineStr">
        <is>
          <t>Föryngringsavverkning</t>
        </is>
      </c>
      <c r="D1520" s="1" t="n">
        <v>45188</v>
      </c>
      <c r="E1520" s="1" t="n">
        <v>46318</v>
      </c>
      <c r="F1520" t="inlineStr">
        <is>
          <t>JÄMTLANDS LÄN</t>
        </is>
      </c>
      <c r="G1520" t="inlineStr">
        <is>
          <t>STRÖMSUND</t>
        </is>
      </c>
      <c r="H1520" t="inlineStr">
        <is>
          <t>SCA</t>
        </is>
      </c>
      <c r="I1520" t="n">
        <v>3</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40862-2022</t>
        </is>
      </c>
      <c r="B1521" t="inlineStr">
        <is>
          <t>avverkningsanmälan</t>
        </is>
      </c>
      <c r="C1521" t="inlineStr">
        <is>
          <t>Avverkning för annat ändamål</t>
        </is>
      </c>
      <c r="D1521" s="1" t="n">
        <v>44820</v>
      </c>
      <c r="E1521" s="1" t="n">
        <v>46318</v>
      </c>
      <c r="F1521" t="inlineStr">
        <is>
          <t>JÄMTLANDS LÄN</t>
        </is>
      </c>
      <c r="G1521" t="inlineStr">
        <is>
          <t>STRÖMSUND</t>
        </is>
      </c>
      <c r="I1521" t="n">
        <v>2</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12265-2025</t>
        </is>
      </c>
      <c r="B1522" t="inlineStr">
        <is>
          <t>avverkningsanmälan</t>
        </is>
      </c>
      <c r="C1522" t="inlineStr">
        <is>
          <t>Föryngringsavverkning</t>
        </is>
      </c>
      <c r="D1522" s="1" t="n">
        <v>45729</v>
      </c>
      <c r="E1522" s="1" t="n">
        <v>46318</v>
      </c>
      <c r="F1522" t="inlineStr">
        <is>
          <t>JÄMTLANDS LÄN</t>
        </is>
      </c>
      <c r="G1522" t="inlineStr">
        <is>
          <t>STRÖMSUND</t>
        </is>
      </c>
      <c r="I1522" t="n">
        <v>0.7</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8293-2026</t>
        </is>
      </c>
      <c r="B1523" t="inlineStr">
        <is>
          <t>avverkningsanmälan</t>
        </is>
      </c>
      <c r="C1523" t="inlineStr">
        <is>
          <t>Avverkning för annat ändamål</t>
        </is>
      </c>
      <c r="D1523" s="1" t="n">
        <v>46063</v>
      </c>
      <c r="E1523" s="1" t="n">
        <v>46318</v>
      </c>
      <c r="F1523" t="inlineStr">
        <is>
          <t>JÄMTLANDS LÄN</t>
        </is>
      </c>
      <c r="G1523" t="inlineStr">
        <is>
          <t>STRÖMSUND</t>
        </is>
      </c>
      <c r="I1523" t="n">
        <v>0.9</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40272-2022</t>
        </is>
      </c>
      <c r="B1524" t="inlineStr">
        <is>
          <t>avverkningsanmälan</t>
        </is>
      </c>
      <c r="C1524" t="inlineStr">
        <is>
          <t>Avverkning för att bevara och utveckla /försöksver</t>
        </is>
      </c>
      <c r="D1524" s="1" t="n">
        <v>44820</v>
      </c>
      <c r="E1524" s="1" t="n">
        <v>46318</v>
      </c>
      <c r="F1524" t="inlineStr">
        <is>
          <t>JÄMTLANDS LÄN</t>
        </is>
      </c>
      <c r="G1524" t="inlineStr">
        <is>
          <t>STRÖMSUND</t>
        </is>
      </c>
      <c r="H1524" t="inlineStr">
        <is>
          <t>SCA</t>
        </is>
      </c>
      <c r="I1524" t="n">
        <v>1.7</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64505-2021</t>
        </is>
      </c>
      <c r="B1525" t="inlineStr">
        <is>
          <t>avverkningsanmälan</t>
        </is>
      </c>
      <c r="C1525" t="inlineStr">
        <is>
          <t>Föryngringsavverkning</t>
        </is>
      </c>
      <c r="D1525" s="1" t="n">
        <v>44511</v>
      </c>
      <c r="E1525" s="1" t="n">
        <v>46318</v>
      </c>
      <c r="F1525" t="inlineStr">
        <is>
          <t>JÄMTLANDS LÄN</t>
        </is>
      </c>
      <c r="G1525" t="inlineStr">
        <is>
          <t>STRÖMSUND</t>
        </is>
      </c>
      <c r="I1525" t="n">
        <v>0.7</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8449-2026</t>
        </is>
      </c>
      <c r="B1526" t="inlineStr">
        <is>
          <t>avverkningsanmälan</t>
        </is>
      </c>
      <c r="C1526" t="inlineStr">
        <is>
          <t>Föryngringsavverkning</t>
        </is>
      </c>
      <c r="D1526" s="1" t="n">
        <v>46065</v>
      </c>
      <c r="E1526" s="1" t="n">
        <v>46318</v>
      </c>
      <c r="F1526" t="inlineStr">
        <is>
          <t>JÄMTLANDS LÄN</t>
        </is>
      </c>
      <c r="G1526" t="inlineStr">
        <is>
          <t>STRÖMSUND</t>
        </is>
      </c>
      <c r="H1526" t="inlineStr">
        <is>
          <t>SCA</t>
        </is>
      </c>
      <c r="I1526" t="n">
        <v>9.800000000000001</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8468-2026</t>
        </is>
      </c>
      <c r="B1527" t="inlineStr">
        <is>
          <t>avverkningsanmälan</t>
        </is>
      </c>
      <c r="C1527" t="inlineStr">
        <is>
          <t>Föryngringsavverkning</t>
        </is>
      </c>
      <c r="D1527" s="1" t="n">
        <v>46065</v>
      </c>
      <c r="E1527" s="1" t="n">
        <v>46318</v>
      </c>
      <c r="F1527" t="inlineStr">
        <is>
          <t>JÄMTLANDS LÄN</t>
        </is>
      </c>
      <c r="G1527" t="inlineStr">
        <is>
          <t>STRÖMSUND</t>
        </is>
      </c>
      <c r="H1527" t="inlineStr">
        <is>
          <t>SCA</t>
        </is>
      </c>
      <c r="I1527" t="n">
        <v>15.9</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26376-2026</t>
        </is>
      </c>
      <c r="B1528" t="inlineStr">
        <is>
          <t>avverkningsanmälan</t>
        </is>
      </c>
      <c r="C1528" t="inlineStr">
        <is>
          <t>Föryngringsavverkning</t>
        </is>
      </c>
      <c r="D1528" s="1" t="n">
        <v>46183</v>
      </c>
      <c r="E1528" s="1" t="n">
        <v>46318</v>
      </c>
      <c r="F1528" t="inlineStr">
        <is>
          <t>JÄMTLANDS LÄN</t>
        </is>
      </c>
      <c r="G1528" t="inlineStr">
        <is>
          <t>STRÖMSUND</t>
        </is>
      </c>
      <c r="H1528" t="inlineStr">
        <is>
          <t>Holmen skog AB</t>
        </is>
      </c>
      <c r="I1528" t="n">
        <v>1.5</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8332-2026</t>
        </is>
      </c>
      <c r="B1529" t="inlineStr">
        <is>
          <t>avverkningsanmälan</t>
        </is>
      </c>
      <c r="C1529" t="inlineStr">
        <is>
          <t>Föryngringsavverkning</t>
        </is>
      </c>
      <c r="D1529" s="1" t="n">
        <v>46064</v>
      </c>
      <c r="E1529" s="1" t="n">
        <v>46318</v>
      </c>
      <c r="F1529" t="inlineStr">
        <is>
          <t>JÄMTLANDS LÄN</t>
        </is>
      </c>
      <c r="G1529" t="inlineStr">
        <is>
          <t>STRÖMSUND</t>
        </is>
      </c>
      <c r="I1529" t="n">
        <v>1.9</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22741-2025</t>
        </is>
      </c>
      <c r="B1530" t="inlineStr">
        <is>
          <t>avverkningsanmälan</t>
        </is>
      </c>
      <c r="C1530" t="inlineStr">
        <is>
          <t>Föryngringsavverkning</t>
        </is>
      </c>
      <c r="D1530" s="1" t="n">
        <v>45789</v>
      </c>
      <c r="E1530" s="1" t="n">
        <v>46318</v>
      </c>
      <c r="F1530" t="inlineStr">
        <is>
          <t>JÄMTLANDS LÄN</t>
        </is>
      </c>
      <c r="G1530" t="inlineStr">
        <is>
          <t>STRÖMSUND</t>
        </is>
      </c>
      <c r="H1530" t="inlineStr">
        <is>
          <t>SCA</t>
        </is>
      </c>
      <c r="I1530" t="n">
        <v>5.1</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49752-2022</t>
        </is>
      </c>
      <c r="B1531" t="inlineStr">
        <is>
          <t>avverkningsanmälan</t>
        </is>
      </c>
      <c r="C1531" t="inlineStr">
        <is>
          <t>Föryngringsavverkning</t>
        </is>
      </c>
      <c r="D1531" s="1" t="n">
        <v>44859</v>
      </c>
      <c r="E1531" s="1" t="n">
        <v>46318</v>
      </c>
      <c r="F1531" t="inlineStr">
        <is>
          <t>JÄMTLANDS LÄN</t>
        </is>
      </c>
      <c r="G1531" t="inlineStr">
        <is>
          <t>STRÖMSUND</t>
        </is>
      </c>
      <c r="I1531" t="n">
        <v>4.5</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10047-2025</t>
        </is>
      </c>
      <c r="B1532" t="inlineStr">
        <is>
          <t>avverkningsanmälan</t>
        </is>
      </c>
      <c r="C1532" t="inlineStr">
        <is>
          <t>Föryngringsavverkning</t>
        </is>
      </c>
      <c r="D1532" s="1" t="n">
        <v>45719</v>
      </c>
      <c r="E1532" s="1" t="n">
        <v>46318</v>
      </c>
      <c r="F1532" t="inlineStr">
        <is>
          <t>JÄMTLANDS LÄN</t>
        </is>
      </c>
      <c r="G1532" t="inlineStr">
        <is>
          <t>STRÖMSUND</t>
        </is>
      </c>
      <c r="H1532" t="inlineStr">
        <is>
          <t>SCA</t>
        </is>
      </c>
      <c r="I1532" t="n">
        <v>1.9</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9078-2026</t>
        </is>
      </c>
      <c r="B1533" t="inlineStr">
        <is>
          <t>avverkningsanmälan</t>
        </is>
      </c>
      <c r="C1533" t="inlineStr">
        <is>
          <t>Föryngringsavverkning</t>
        </is>
      </c>
      <c r="D1533" s="1" t="n">
        <v>46069</v>
      </c>
      <c r="E1533" s="1" t="n">
        <v>46318</v>
      </c>
      <c r="F1533" t="inlineStr">
        <is>
          <t>JÄMTLANDS LÄN</t>
        </is>
      </c>
      <c r="G1533" t="inlineStr">
        <is>
          <t>STRÖMSUND</t>
        </is>
      </c>
      <c r="H1533" t="inlineStr">
        <is>
          <t>SCA</t>
        </is>
      </c>
      <c r="I1533" t="n">
        <v>4</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26035-2024</t>
        </is>
      </c>
      <c r="B1534" t="inlineStr">
        <is>
          <t>avverkningsanmälan</t>
        </is>
      </c>
      <c r="C1534" t="inlineStr">
        <is>
          <t>Föryngringsavverkning</t>
        </is>
      </c>
      <c r="D1534" s="1" t="n">
        <v>45467</v>
      </c>
      <c r="E1534" s="1" t="n">
        <v>46318</v>
      </c>
      <c r="F1534" t="inlineStr">
        <is>
          <t>JÄMTLANDS LÄN</t>
        </is>
      </c>
      <c r="G1534" t="inlineStr">
        <is>
          <t>STRÖMSUND</t>
        </is>
      </c>
      <c r="H1534" t="inlineStr">
        <is>
          <t>SCA</t>
        </is>
      </c>
      <c r="I1534" t="n">
        <v>1.2</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3693-2023</t>
        </is>
      </c>
      <c r="B1535" t="inlineStr">
        <is>
          <t>avverkningsanmälan</t>
        </is>
      </c>
      <c r="C1535" t="inlineStr">
        <is>
          <t>Föryngringsavverkning</t>
        </is>
      </c>
      <c r="D1535" s="1" t="n">
        <v>44950</v>
      </c>
      <c r="E1535" s="1" t="n">
        <v>46318</v>
      </c>
      <c r="F1535" t="inlineStr">
        <is>
          <t>JÄMTLANDS LÄN</t>
        </is>
      </c>
      <c r="G1535" t="inlineStr">
        <is>
          <t>STRÖMSUND</t>
        </is>
      </c>
      <c r="H1535" t="inlineStr">
        <is>
          <t>SCA</t>
        </is>
      </c>
      <c r="I1535" t="n">
        <v>5.4</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51889-2022</t>
        </is>
      </c>
      <c r="B1536" t="inlineStr">
        <is>
          <t>avverkningsanmälan</t>
        </is>
      </c>
      <c r="C1536" t="inlineStr">
        <is>
          <t>Föryngringsavverkning</t>
        </is>
      </c>
      <c r="D1536" s="1" t="n">
        <v>44867</v>
      </c>
      <c r="E1536" s="1" t="n">
        <v>46318</v>
      </c>
      <c r="F1536" t="inlineStr">
        <is>
          <t>JÄMTLANDS LÄN</t>
        </is>
      </c>
      <c r="G1536" t="inlineStr">
        <is>
          <t>STRÖMSUND</t>
        </is>
      </c>
      <c r="I1536" t="n">
        <v>2.5</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8614-2026</t>
        </is>
      </c>
      <c r="B1537" t="inlineStr">
        <is>
          <t>avverkningsanmälan</t>
        </is>
      </c>
      <c r="C1537" t="inlineStr">
        <is>
          <t>Föryngringsavverkning</t>
        </is>
      </c>
      <c r="D1537" s="1" t="n">
        <v>46065</v>
      </c>
      <c r="E1537" s="1" t="n">
        <v>46318</v>
      </c>
      <c r="F1537" t="inlineStr">
        <is>
          <t>JÄMTLANDS LÄN</t>
        </is>
      </c>
      <c r="G1537" t="inlineStr">
        <is>
          <t>STRÖMSUND</t>
        </is>
      </c>
      <c r="I1537" t="n">
        <v>5.2</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19652-2023</t>
        </is>
      </c>
      <c r="B1538" t="inlineStr">
        <is>
          <t>avverkningsanmälan</t>
        </is>
      </c>
      <c r="C1538" t="inlineStr">
        <is>
          <t>Föryngringsavverkning</t>
        </is>
      </c>
      <c r="D1538" s="1" t="n">
        <v>45050</v>
      </c>
      <c r="E1538" s="1" t="n">
        <v>46318</v>
      </c>
      <c r="F1538" t="inlineStr">
        <is>
          <t>JÄMTLANDS LÄN</t>
        </is>
      </c>
      <c r="G1538" t="inlineStr">
        <is>
          <t>STRÖMSUND</t>
        </is>
      </c>
      <c r="H1538" t="inlineStr">
        <is>
          <t>Kommuner</t>
        </is>
      </c>
      <c r="I1538" t="n">
        <v>14.2</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19656-2023</t>
        </is>
      </c>
      <c r="B1539" t="inlineStr">
        <is>
          <t>avverkningsanmälan</t>
        </is>
      </c>
      <c r="C1539" t="inlineStr">
        <is>
          <t>Föryngringsavverkning</t>
        </is>
      </c>
      <c r="D1539" s="1" t="n">
        <v>45050</v>
      </c>
      <c r="E1539" s="1" t="n">
        <v>46318</v>
      </c>
      <c r="F1539" t="inlineStr">
        <is>
          <t>JÄMTLANDS LÄN</t>
        </is>
      </c>
      <c r="G1539" t="inlineStr">
        <is>
          <t>STRÖMSUND</t>
        </is>
      </c>
      <c r="H1539" t="inlineStr">
        <is>
          <t>Kommuner</t>
        </is>
      </c>
      <c r="I1539" t="n">
        <v>4.9</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19658-2023</t>
        </is>
      </c>
      <c r="B1540" t="inlineStr">
        <is>
          <t>avverkningsanmälan</t>
        </is>
      </c>
      <c r="C1540" t="inlineStr">
        <is>
          <t>Föryngringsavverkning</t>
        </is>
      </c>
      <c r="D1540" s="1" t="n">
        <v>45050</v>
      </c>
      <c r="E1540" s="1" t="n">
        <v>46318</v>
      </c>
      <c r="F1540" t="inlineStr">
        <is>
          <t>JÄMTLANDS LÄN</t>
        </is>
      </c>
      <c r="G1540" t="inlineStr">
        <is>
          <t>STRÖMSUND</t>
        </is>
      </c>
      <c r="H1540" t="inlineStr">
        <is>
          <t>Kommuner</t>
        </is>
      </c>
      <c r="I1540" t="n">
        <v>23.7</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3881-2026</t>
        </is>
      </c>
      <c r="B1541" t="inlineStr">
        <is>
          <t>avverkningsanmälan</t>
        </is>
      </c>
      <c r="C1541" t="inlineStr">
        <is>
          <t>Föryngringsavverkning</t>
        </is>
      </c>
      <c r="D1541" s="1" t="n">
        <v>46043</v>
      </c>
      <c r="E1541" s="1" t="n">
        <v>46318</v>
      </c>
      <c r="F1541" t="inlineStr">
        <is>
          <t>JÄMTLANDS LÄN</t>
        </is>
      </c>
      <c r="G1541" t="inlineStr">
        <is>
          <t>STRÖMSUND</t>
        </is>
      </c>
      <c r="H1541" t="inlineStr">
        <is>
          <t>SCA</t>
        </is>
      </c>
      <c r="I1541" t="n">
        <v>23.7</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8780-2026</t>
        </is>
      </c>
      <c r="B1542" t="inlineStr">
        <is>
          <t>avverkningsanmälan</t>
        </is>
      </c>
      <c r="C1542" t="inlineStr">
        <is>
          <t>Föryngringsavverkning</t>
        </is>
      </c>
      <c r="D1542" s="1" t="n">
        <v>46066</v>
      </c>
      <c r="E1542" s="1" t="n">
        <v>46318</v>
      </c>
      <c r="F1542" t="inlineStr">
        <is>
          <t>JÄMTLANDS LÄN</t>
        </is>
      </c>
      <c r="G1542" t="inlineStr">
        <is>
          <t>STRÖMSUND</t>
        </is>
      </c>
      <c r="H1542" t="inlineStr">
        <is>
          <t>SCA</t>
        </is>
      </c>
      <c r="I1542" t="n">
        <v>4.6</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22723-2025</t>
        </is>
      </c>
      <c r="B1543" t="inlineStr">
        <is>
          <t>avverkningsanmälan</t>
        </is>
      </c>
      <c r="C1543" t="inlineStr">
        <is>
          <t>Föryngringsavverkning</t>
        </is>
      </c>
      <c r="D1543" s="1" t="n">
        <v>45789</v>
      </c>
      <c r="E1543" s="1" t="n">
        <v>46318</v>
      </c>
      <c r="F1543" t="inlineStr">
        <is>
          <t>JÄMTLANDS LÄN</t>
        </is>
      </c>
      <c r="G1543" t="inlineStr">
        <is>
          <t>STRÖMSUND</t>
        </is>
      </c>
      <c r="H1543" t="inlineStr">
        <is>
          <t>SCA</t>
        </is>
      </c>
      <c r="I1543" t="n">
        <v>1.7</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22288-2025</t>
        </is>
      </c>
      <c r="B1544" t="inlineStr">
        <is>
          <t>avverkningsanmälan</t>
        </is>
      </c>
      <c r="C1544" t="inlineStr">
        <is>
          <t>Föryngringsavverkning</t>
        </is>
      </c>
      <c r="D1544" s="1" t="n">
        <v>45786</v>
      </c>
      <c r="E1544" s="1" t="n">
        <v>46318</v>
      </c>
      <c r="F1544" t="inlineStr">
        <is>
          <t>JÄMTLANDS LÄN</t>
        </is>
      </c>
      <c r="G1544" t="inlineStr">
        <is>
          <t>STRÖMSUND</t>
        </is>
      </c>
      <c r="H1544" t="inlineStr">
        <is>
          <t>SCA</t>
        </is>
      </c>
      <c r="I1544" t="n">
        <v>6.1</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9398-2026</t>
        </is>
      </c>
      <c r="B1545" t="inlineStr">
        <is>
          <t>avverkningsanmälan</t>
        </is>
      </c>
      <c r="C1545" t="inlineStr">
        <is>
          <t>Föryngringsavverkning</t>
        </is>
      </c>
      <c r="D1545" s="1" t="n">
        <v>46071</v>
      </c>
      <c r="E1545" s="1" t="n">
        <v>46318</v>
      </c>
      <c r="F1545" t="inlineStr">
        <is>
          <t>JÄMTLANDS LÄN</t>
        </is>
      </c>
      <c r="G1545" t="inlineStr">
        <is>
          <t>STRÖMSUND</t>
        </is>
      </c>
      <c r="H1545" t="inlineStr">
        <is>
          <t>SCA</t>
        </is>
      </c>
      <c r="I1545" t="n">
        <v>24.5</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9405-2026</t>
        </is>
      </c>
      <c r="B1546" t="inlineStr">
        <is>
          <t>avverkningsanmälan</t>
        </is>
      </c>
      <c r="C1546" t="inlineStr">
        <is>
          <t>Föryngringsavverkning</t>
        </is>
      </c>
      <c r="D1546" s="1" t="n">
        <v>46071</v>
      </c>
      <c r="E1546" s="1" t="n">
        <v>46318</v>
      </c>
      <c r="F1546" t="inlineStr">
        <is>
          <t>JÄMTLANDS LÄN</t>
        </is>
      </c>
      <c r="G1546" t="inlineStr">
        <is>
          <t>STRÖMSUND</t>
        </is>
      </c>
      <c r="H1546" t="inlineStr">
        <is>
          <t>SCA</t>
        </is>
      </c>
      <c r="I1546" t="n">
        <v>7.4</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27546-2026</t>
        </is>
      </c>
      <c r="B1547" t="inlineStr">
        <is>
          <t>avverkningsanmälan</t>
        </is>
      </c>
      <c r="C1547" t="inlineStr">
        <is>
          <t>Avverkning för annat ändamål</t>
        </is>
      </c>
      <c r="D1547" s="1" t="n">
        <v>46187</v>
      </c>
      <c r="E1547" s="1" t="n">
        <v>46318</v>
      </c>
      <c r="F1547" t="inlineStr">
        <is>
          <t>JÄMTLANDS LÄN</t>
        </is>
      </c>
      <c r="G1547" t="inlineStr">
        <is>
          <t>STRÖMSUND</t>
        </is>
      </c>
      <c r="I1547" t="n">
        <v>1</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27262-2026</t>
        </is>
      </c>
      <c r="B1548" t="inlineStr">
        <is>
          <t>avverkningsanmälan</t>
        </is>
      </c>
      <c r="C1548" t="inlineStr">
        <is>
          <t>Föryngringsavverkning</t>
        </is>
      </c>
      <c r="D1548" s="1" t="n">
        <v>46188</v>
      </c>
      <c r="E1548" s="1" t="n">
        <v>46318</v>
      </c>
      <c r="F1548" t="inlineStr">
        <is>
          <t>JÄMTLANDS LÄN</t>
        </is>
      </c>
      <c r="G1548" t="inlineStr">
        <is>
          <t>STRÖMSUND</t>
        </is>
      </c>
      <c r="H1548" t="inlineStr">
        <is>
          <t>Holmen skog AB</t>
        </is>
      </c>
      <c r="I1548" t="n">
        <v>2.7</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10647-2022</t>
        </is>
      </c>
      <c r="B1549" t="inlineStr">
        <is>
          <t>avverkningsanmälan</t>
        </is>
      </c>
      <c r="C1549" t="inlineStr">
        <is>
          <t>Avverkning för annat ändamål</t>
        </is>
      </c>
      <c r="D1549" s="1" t="n">
        <v>44624</v>
      </c>
      <c r="E1549" s="1" t="n">
        <v>46318</v>
      </c>
      <c r="F1549" t="inlineStr">
        <is>
          <t>JÄMTLANDS LÄN</t>
        </is>
      </c>
      <c r="G1549" t="inlineStr">
        <is>
          <t>STRÖMSUND</t>
        </is>
      </c>
      <c r="I1549" t="n">
        <v>1</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9580-2026</t>
        </is>
      </c>
      <c r="B1550" t="inlineStr">
        <is>
          <t>avverkningsanmälan</t>
        </is>
      </c>
      <c r="C1550" t="inlineStr">
        <is>
          <t>Föryngringsavverkning</t>
        </is>
      </c>
      <c r="D1550" s="1" t="n">
        <v>46071</v>
      </c>
      <c r="E1550" s="1" t="n">
        <v>46318</v>
      </c>
      <c r="F1550" t="inlineStr">
        <is>
          <t>JÄMTLANDS LÄN</t>
        </is>
      </c>
      <c r="G1550" t="inlineStr">
        <is>
          <t>STRÖMSUND</t>
        </is>
      </c>
      <c r="H1550" t="inlineStr">
        <is>
          <t>SCA</t>
        </is>
      </c>
      <c r="I1550" t="n">
        <v>2</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26855-2026</t>
        </is>
      </c>
      <c r="B1551" t="inlineStr">
        <is>
          <t>avverkningsanmälan</t>
        </is>
      </c>
      <c r="C1551" t="inlineStr">
        <is>
          <t>Föryngringsavverkning</t>
        </is>
      </c>
      <c r="D1551" s="1" t="n">
        <v>46185</v>
      </c>
      <c r="E1551" s="1" t="n">
        <v>46318</v>
      </c>
      <c r="F1551" t="inlineStr">
        <is>
          <t>JÄMTLANDS LÄN</t>
        </is>
      </c>
      <c r="G1551" t="inlineStr">
        <is>
          <t>STRÖMSUND</t>
        </is>
      </c>
      <c r="H1551" t="inlineStr">
        <is>
          <t>Holmen skog AB</t>
        </is>
      </c>
      <c r="I1551" t="n">
        <v>0.2</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9514-2026</t>
        </is>
      </c>
      <c r="B1552" t="inlineStr">
        <is>
          <t>avverkningsanmälan</t>
        </is>
      </c>
      <c r="C1552" t="inlineStr">
        <is>
          <t>Avverkning för annat ändamål</t>
        </is>
      </c>
      <c r="D1552" s="1" t="n">
        <v>46071</v>
      </c>
      <c r="E1552" s="1" t="n">
        <v>46318</v>
      </c>
      <c r="F1552" t="inlineStr">
        <is>
          <t>JÄMTLANDS LÄN</t>
        </is>
      </c>
      <c r="G1552" t="inlineStr">
        <is>
          <t>STRÖMSUND</t>
        </is>
      </c>
      <c r="I1552" t="n">
        <v>2.4</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9568-2026</t>
        </is>
      </c>
      <c r="B1553" t="inlineStr">
        <is>
          <t>avverkningsanmälan</t>
        </is>
      </c>
      <c r="C1553" t="inlineStr">
        <is>
          <t>Föryngringsavverkning</t>
        </is>
      </c>
      <c r="D1553" s="1" t="n">
        <v>46071</v>
      </c>
      <c r="E1553" s="1" t="n">
        <v>46318</v>
      </c>
      <c r="F1553" t="inlineStr">
        <is>
          <t>JÄMTLANDS LÄN</t>
        </is>
      </c>
      <c r="G1553" t="inlineStr">
        <is>
          <t>STRÖMSUND</t>
        </is>
      </c>
      <c r="H1553" t="inlineStr">
        <is>
          <t>SCA</t>
        </is>
      </c>
      <c r="I1553" t="n">
        <v>7.5</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27167-2026</t>
        </is>
      </c>
      <c r="B1554" t="inlineStr">
        <is>
          <t>avverkningsanmälan</t>
        </is>
      </c>
      <c r="C1554" t="inlineStr">
        <is>
          <t>Föryngringsavverkning</t>
        </is>
      </c>
      <c r="D1554" s="1" t="n">
        <v>46188</v>
      </c>
      <c r="E1554" s="1" t="n">
        <v>46318</v>
      </c>
      <c r="F1554" t="inlineStr">
        <is>
          <t>JÄMTLANDS LÄN</t>
        </is>
      </c>
      <c r="G1554" t="inlineStr">
        <is>
          <t>STRÖMSUND</t>
        </is>
      </c>
      <c r="I1554" t="n">
        <v>1.3</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27215-2026</t>
        </is>
      </c>
      <c r="B1555" t="inlineStr">
        <is>
          <t>avverkningsanmälan</t>
        </is>
      </c>
      <c r="C1555" t="inlineStr">
        <is>
          <t>Föryngringsavverkning</t>
        </is>
      </c>
      <c r="D1555" s="1" t="n">
        <v>46188</v>
      </c>
      <c r="E1555" s="1" t="n">
        <v>46318</v>
      </c>
      <c r="F1555" t="inlineStr">
        <is>
          <t>JÄMTLANDS LÄN</t>
        </is>
      </c>
      <c r="G1555" t="inlineStr">
        <is>
          <t>STRÖMSUND</t>
        </is>
      </c>
      <c r="H1555" t="inlineStr">
        <is>
          <t>SCA</t>
        </is>
      </c>
      <c r="I1555" t="n">
        <v>1.4</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22497-2025</t>
        </is>
      </c>
      <c r="B1556" t="inlineStr">
        <is>
          <t>avverkningsanmälan</t>
        </is>
      </c>
      <c r="C1556" t="inlineStr">
        <is>
          <t>Föryngringsavverkning</t>
        </is>
      </c>
      <c r="D1556" s="1" t="n">
        <v>45786</v>
      </c>
      <c r="E1556" s="1" t="n">
        <v>46318</v>
      </c>
      <c r="F1556" t="inlineStr">
        <is>
          <t>JÄMTLANDS LÄN</t>
        </is>
      </c>
      <c r="G1556" t="inlineStr">
        <is>
          <t>STRÖMSUND</t>
        </is>
      </c>
      <c r="H1556" t="inlineStr">
        <is>
          <t>SCA</t>
        </is>
      </c>
      <c r="I1556" t="n">
        <v>4.6</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9689-2026</t>
        </is>
      </c>
      <c r="B1557" t="inlineStr">
        <is>
          <t>avverkningsanmälan</t>
        </is>
      </c>
      <c r="C1557" t="inlineStr">
        <is>
          <t>Föryngringsavverkning</t>
        </is>
      </c>
      <c r="D1557" s="1" t="n">
        <v>46072</v>
      </c>
      <c r="E1557" s="1" t="n">
        <v>46318</v>
      </c>
      <c r="F1557" t="inlineStr">
        <is>
          <t>JÄMTLANDS LÄN</t>
        </is>
      </c>
      <c r="G1557" t="inlineStr">
        <is>
          <t>STRÖMSUND</t>
        </is>
      </c>
      <c r="H1557" t="inlineStr">
        <is>
          <t>Övriga statliga verk och myndigheter</t>
        </is>
      </c>
      <c r="I1557" t="n">
        <v>4.9</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9693-2026</t>
        </is>
      </c>
      <c r="B1558" t="inlineStr">
        <is>
          <t>avverkningsanmälan</t>
        </is>
      </c>
      <c r="C1558" t="inlineStr">
        <is>
          <t>Föryngringsavverkning</t>
        </is>
      </c>
      <c r="D1558" s="1" t="n">
        <v>46072</v>
      </c>
      <c r="E1558" s="1" t="n">
        <v>46318</v>
      </c>
      <c r="F1558" t="inlineStr">
        <is>
          <t>JÄMTLANDS LÄN</t>
        </is>
      </c>
      <c r="G1558" t="inlineStr">
        <is>
          <t>STRÖMSUND</t>
        </is>
      </c>
      <c r="H1558" t="inlineStr">
        <is>
          <t>SCA</t>
        </is>
      </c>
      <c r="I1558" t="n">
        <v>18.8</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26817-2026</t>
        </is>
      </c>
      <c r="B1559" t="inlineStr">
        <is>
          <t>avverkningsanmälan</t>
        </is>
      </c>
      <c r="C1559" t="inlineStr">
        <is>
          <t>Föryngringsavverkning</t>
        </is>
      </c>
      <c r="D1559" s="1" t="n">
        <v>46185</v>
      </c>
      <c r="E1559" s="1" t="n">
        <v>46318</v>
      </c>
      <c r="F1559" t="inlineStr">
        <is>
          <t>JÄMTLANDS LÄN</t>
        </is>
      </c>
      <c r="G1559" t="inlineStr">
        <is>
          <t>STRÖMSUND</t>
        </is>
      </c>
      <c r="H1559" t="inlineStr">
        <is>
          <t>Holmen skog AB</t>
        </is>
      </c>
      <c r="I1559" t="n">
        <v>0.6</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26836-2026</t>
        </is>
      </c>
      <c r="B1560" t="inlineStr">
        <is>
          <t>avverkningsanmälan</t>
        </is>
      </c>
      <c r="C1560" t="inlineStr">
        <is>
          <t>Föryngringsavverkning</t>
        </is>
      </c>
      <c r="D1560" s="1" t="n">
        <v>46185</v>
      </c>
      <c r="E1560" s="1" t="n">
        <v>46318</v>
      </c>
      <c r="F1560" t="inlineStr">
        <is>
          <t>JÄMTLANDS LÄN</t>
        </is>
      </c>
      <c r="G1560" t="inlineStr">
        <is>
          <t>STRÖMSUND</t>
        </is>
      </c>
      <c r="H1560" t="inlineStr">
        <is>
          <t>SCA</t>
        </is>
      </c>
      <c r="I1560" t="n">
        <v>12.5</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58729-2022</t>
        </is>
      </c>
      <c r="B1561" t="inlineStr">
        <is>
          <t>avverkningsanmälan</t>
        </is>
      </c>
      <c r="C1561" t="inlineStr">
        <is>
          <t>Föryngringsavverkning</t>
        </is>
      </c>
      <c r="D1561" s="1" t="n">
        <v>44902</v>
      </c>
      <c r="E1561" s="1" t="n">
        <v>46318</v>
      </c>
      <c r="F1561" t="inlineStr">
        <is>
          <t>JÄMTLANDS LÄN</t>
        </is>
      </c>
      <c r="G1561" t="inlineStr">
        <is>
          <t>STRÖMSUND</t>
        </is>
      </c>
      <c r="H1561" t="inlineStr">
        <is>
          <t>SCA</t>
        </is>
      </c>
      <c r="I1561" t="n">
        <v>1.7</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9772-2026</t>
        </is>
      </c>
      <c r="B1562" t="inlineStr">
        <is>
          <t>avverkningsanmälan</t>
        </is>
      </c>
      <c r="C1562" t="inlineStr">
        <is>
          <t>Föryngringsavverkning</t>
        </is>
      </c>
      <c r="D1562" s="1" t="n">
        <v>46072</v>
      </c>
      <c r="E1562" s="1" t="n">
        <v>46318</v>
      </c>
      <c r="F1562" t="inlineStr">
        <is>
          <t>JÄMTLANDS LÄN</t>
        </is>
      </c>
      <c r="G1562" t="inlineStr">
        <is>
          <t>STRÖMSUND</t>
        </is>
      </c>
      <c r="H1562" t="inlineStr">
        <is>
          <t>SCA</t>
        </is>
      </c>
      <c r="I1562" t="n">
        <v>27.1</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22865-2025</t>
        </is>
      </c>
      <c r="B1563" t="inlineStr">
        <is>
          <t>avverkningsanmälan</t>
        </is>
      </c>
      <c r="C1563" t="inlineStr">
        <is>
          <t>Föryngringsavverkning</t>
        </is>
      </c>
      <c r="D1563" s="1" t="n">
        <v>45790</v>
      </c>
      <c r="E1563" s="1" t="n">
        <v>46318</v>
      </c>
      <c r="F1563" t="inlineStr">
        <is>
          <t>JÄMTLANDS LÄN</t>
        </is>
      </c>
      <c r="G1563" t="inlineStr">
        <is>
          <t>STRÖMSUND</t>
        </is>
      </c>
      <c r="H1563" t="inlineStr">
        <is>
          <t>SCA</t>
        </is>
      </c>
      <c r="I1563" t="n">
        <v>0.5</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56312-2023</t>
        </is>
      </c>
      <c r="B1564" t="inlineStr">
        <is>
          <t>avverkningsanmälan</t>
        </is>
      </c>
      <c r="C1564" t="inlineStr">
        <is>
          <t>Föryngringsavverkning</t>
        </is>
      </c>
      <c r="D1564" s="1" t="n">
        <v>45242</v>
      </c>
      <c r="E1564" s="1" t="n">
        <v>46318</v>
      </c>
      <c r="F1564" t="inlineStr">
        <is>
          <t>JÄMTLANDS LÄN</t>
        </is>
      </c>
      <c r="G1564" t="inlineStr">
        <is>
          <t>STRÖMSUND</t>
        </is>
      </c>
      <c r="H1564" t="inlineStr">
        <is>
          <t>SCA</t>
        </is>
      </c>
      <c r="I1564" t="n">
        <v>0.2</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56314-2023</t>
        </is>
      </c>
      <c r="B1565" t="inlineStr">
        <is>
          <t>avverkningsanmälan</t>
        </is>
      </c>
      <c r="C1565" t="inlineStr">
        <is>
          <t>Föryngringsavverkning</t>
        </is>
      </c>
      <c r="D1565" s="1" t="n">
        <v>45242</v>
      </c>
      <c r="E1565" s="1" t="n">
        <v>46318</v>
      </c>
      <c r="F1565" t="inlineStr">
        <is>
          <t>JÄMTLANDS LÄN</t>
        </is>
      </c>
      <c r="G1565" t="inlineStr">
        <is>
          <t>STRÖMSUND</t>
        </is>
      </c>
      <c r="I1565" t="n">
        <v>1.7</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58580-2023</t>
        </is>
      </c>
      <c r="B1566" t="inlineStr">
        <is>
          <t>avverkningsanmälan</t>
        </is>
      </c>
      <c r="C1566" t="inlineStr">
        <is>
          <t>Föryngringsavverkning</t>
        </is>
      </c>
      <c r="D1566" s="1" t="n">
        <v>45251</v>
      </c>
      <c r="E1566" s="1" t="n">
        <v>46318</v>
      </c>
      <c r="F1566" t="inlineStr">
        <is>
          <t>JÄMTLANDS LÄN</t>
        </is>
      </c>
      <c r="G1566" t="inlineStr">
        <is>
          <t>STRÖMSUND</t>
        </is>
      </c>
      <c r="H1566" t="inlineStr">
        <is>
          <t>Holmen skog AB</t>
        </is>
      </c>
      <c r="I1566" t="n">
        <v>2</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10140-2026</t>
        </is>
      </c>
      <c r="B1567" t="inlineStr">
        <is>
          <t>avverkningsanmälan</t>
        </is>
      </c>
      <c r="C1567" t="inlineStr">
        <is>
          <t>Avverkning för annat ändamål</t>
        </is>
      </c>
      <c r="D1567" s="1" t="n">
        <v>46076</v>
      </c>
      <c r="E1567" s="1" t="n">
        <v>46318</v>
      </c>
      <c r="F1567" t="inlineStr">
        <is>
          <t>JÄMTLANDS LÄN</t>
        </is>
      </c>
      <c r="G1567" t="inlineStr">
        <is>
          <t>STRÖMSUND</t>
        </is>
      </c>
      <c r="H1567" t="inlineStr">
        <is>
          <t>SCA</t>
        </is>
      </c>
      <c r="I1567" t="n">
        <v>2.1</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13685-2023</t>
        </is>
      </c>
      <c r="B1568" t="inlineStr">
        <is>
          <t>avverkningsanmälan</t>
        </is>
      </c>
      <c r="C1568" t="inlineStr">
        <is>
          <t>Föryngringsavverkning</t>
        </is>
      </c>
      <c r="D1568" s="1" t="n">
        <v>45006</v>
      </c>
      <c r="E1568" s="1" t="n">
        <v>46318</v>
      </c>
      <c r="F1568" t="inlineStr">
        <is>
          <t>JÄMTLANDS LÄN</t>
        </is>
      </c>
      <c r="G1568" t="inlineStr">
        <is>
          <t>STRÖMSUND</t>
        </is>
      </c>
      <c r="I1568" t="n">
        <v>11.4</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37104-2022</t>
        </is>
      </c>
      <c r="B1569" t="inlineStr">
        <is>
          <t>avverkningsanmälan</t>
        </is>
      </c>
      <c r="C1569" t="inlineStr">
        <is>
          <t>Föryngringsavverkning</t>
        </is>
      </c>
      <c r="D1569" s="1" t="n">
        <v>44806</v>
      </c>
      <c r="E1569" s="1" t="n">
        <v>46318</v>
      </c>
      <c r="F1569" t="inlineStr">
        <is>
          <t>JÄMTLANDS LÄN</t>
        </is>
      </c>
      <c r="G1569" t="inlineStr">
        <is>
          <t>STRÖMSUND</t>
        </is>
      </c>
      <c r="H1569" t="inlineStr">
        <is>
          <t>Kommuner</t>
        </is>
      </c>
      <c r="I1569" t="n">
        <v>1.8</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10304-2026</t>
        </is>
      </c>
      <c r="B1570" t="inlineStr">
        <is>
          <t>avverkningsanmälan</t>
        </is>
      </c>
      <c r="C1570" t="inlineStr">
        <is>
          <t>Föryngringsavverkning</t>
        </is>
      </c>
      <c r="D1570" s="1" t="n">
        <v>46076</v>
      </c>
      <c r="E1570" s="1" t="n">
        <v>46318</v>
      </c>
      <c r="F1570" t="inlineStr">
        <is>
          <t>JÄMTLANDS LÄN</t>
        </is>
      </c>
      <c r="G1570" t="inlineStr">
        <is>
          <t>STRÖMSUND</t>
        </is>
      </c>
      <c r="H1570" t="inlineStr">
        <is>
          <t>SCA</t>
        </is>
      </c>
      <c r="I1570" t="n">
        <v>20.1</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33718-2023</t>
        </is>
      </c>
      <c r="B1571" t="inlineStr">
        <is>
          <t>avverkningsanmälan</t>
        </is>
      </c>
      <c r="C1571" t="inlineStr">
        <is>
          <t>Föryngringsavverkning</t>
        </is>
      </c>
      <c r="D1571" s="1" t="n">
        <v>45132</v>
      </c>
      <c r="E1571" s="1" t="n">
        <v>46318</v>
      </c>
      <c r="F1571" t="inlineStr">
        <is>
          <t>JÄMTLANDS LÄN</t>
        </is>
      </c>
      <c r="G1571" t="inlineStr">
        <is>
          <t>STRÖMSUND</t>
        </is>
      </c>
      <c r="H1571" t="inlineStr">
        <is>
          <t>SCA</t>
        </is>
      </c>
      <c r="I1571" t="n">
        <v>1.3</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55656-2023</t>
        </is>
      </c>
      <c r="B1572" t="inlineStr">
        <is>
          <t>avverkningsanmälan</t>
        </is>
      </c>
      <c r="C1572" t="inlineStr">
        <is>
          <t>Föryngringsavverkning</t>
        </is>
      </c>
      <c r="D1572" s="1" t="n">
        <v>45238</v>
      </c>
      <c r="E1572" s="1" t="n">
        <v>46318</v>
      </c>
      <c r="F1572" t="inlineStr">
        <is>
          <t>JÄMTLANDS LÄN</t>
        </is>
      </c>
      <c r="G1572" t="inlineStr">
        <is>
          <t>STRÖMSUND</t>
        </is>
      </c>
      <c r="H1572" t="inlineStr">
        <is>
          <t>SCA</t>
        </is>
      </c>
      <c r="I1572" t="n">
        <v>11.1</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19761-2025</t>
        </is>
      </c>
      <c r="B1573" t="inlineStr">
        <is>
          <t>avverkningsanmälan</t>
        </is>
      </c>
      <c r="C1573" t="inlineStr">
        <is>
          <t>Föryngringsavverkning</t>
        </is>
      </c>
      <c r="D1573" s="1" t="n">
        <v>45771</v>
      </c>
      <c r="E1573" s="1" t="n">
        <v>46318</v>
      </c>
      <c r="F1573" t="inlineStr">
        <is>
          <t>JÄMTLANDS LÄN</t>
        </is>
      </c>
      <c r="G1573" t="inlineStr">
        <is>
          <t>STRÖMSUND</t>
        </is>
      </c>
      <c r="H1573" t="inlineStr">
        <is>
          <t>SCA</t>
        </is>
      </c>
      <c r="I1573" t="n">
        <v>7.8</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27704-2026</t>
        </is>
      </c>
      <c r="B1574" t="inlineStr">
        <is>
          <t>avverkningsanmälan</t>
        </is>
      </c>
      <c r="C1574" t="inlineStr">
        <is>
          <t>Avverkning för att bevara och utveckla /försöksver</t>
        </is>
      </c>
      <c r="D1574" s="1" t="n">
        <v>46190</v>
      </c>
      <c r="E1574" s="1" t="n">
        <v>46318</v>
      </c>
      <c r="F1574" t="inlineStr">
        <is>
          <t>JÄMTLANDS LÄN</t>
        </is>
      </c>
      <c r="G1574" t="inlineStr">
        <is>
          <t>STRÖMSUND</t>
        </is>
      </c>
      <c r="H1574" t="inlineStr">
        <is>
          <t>SCA</t>
        </is>
      </c>
      <c r="I1574" t="n">
        <v>2.4</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10305-2026</t>
        </is>
      </c>
      <c r="B1575" t="inlineStr">
        <is>
          <t>avverkningsanmälan</t>
        </is>
      </c>
      <c r="C1575" t="inlineStr">
        <is>
          <t>Föryngringsavverkning</t>
        </is>
      </c>
      <c r="D1575" s="1" t="n">
        <v>46076</v>
      </c>
      <c r="E1575" s="1" t="n">
        <v>46318</v>
      </c>
      <c r="F1575" t="inlineStr">
        <is>
          <t>JÄMTLANDS LÄN</t>
        </is>
      </c>
      <c r="G1575" t="inlineStr">
        <is>
          <t>STRÖMSUND</t>
        </is>
      </c>
      <c r="H1575" t="inlineStr">
        <is>
          <t>SCA</t>
        </is>
      </c>
      <c r="I1575" t="n">
        <v>11.3</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27434-2026</t>
        </is>
      </c>
      <c r="B1576" t="inlineStr">
        <is>
          <t>avverkningsanmälan</t>
        </is>
      </c>
      <c r="C1576" t="inlineStr">
        <is>
          <t>Föryngringsavverkning</t>
        </is>
      </c>
      <c r="D1576" s="1" t="n">
        <v>46189</v>
      </c>
      <c r="E1576" s="1" t="n">
        <v>46318</v>
      </c>
      <c r="F1576" t="inlineStr">
        <is>
          <t>JÄMTLANDS LÄN</t>
        </is>
      </c>
      <c r="G1576" t="inlineStr">
        <is>
          <t>STRÖMSUND</t>
        </is>
      </c>
      <c r="H1576" t="inlineStr">
        <is>
          <t>SCA</t>
        </is>
      </c>
      <c r="I1576" t="n">
        <v>1.2</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45809-2023</t>
        </is>
      </c>
      <c r="B1577" t="inlineStr">
        <is>
          <t>avverkningsanmälan</t>
        </is>
      </c>
      <c r="C1577" t="inlineStr">
        <is>
          <t>Föryngringsavverkning</t>
        </is>
      </c>
      <c r="D1577" s="1" t="n">
        <v>45195</v>
      </c>
      <c r="E1577" s="1" t="n">
        <v>46318</v>
      </c>
      <c r="F1577" t="inlineStr">
        <is>
          <t>JÄMTLANDS LÄN</t>
        </is>
      </c>
      <c r="G1577" t="inlineStr">
        <is>
          <t>STRÖMSUND</t>
        </is>
      </c>
      <c r="I1577" t="n">
        <v>12.3</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27687-2026</t>
        </is>
      </c>
      <c r="B1578" t="inlineStr">
        <is>
          <t>avverkningsanmälan</t>
        </is>
      </c>
      <c r="C1578" t="inlineStr">
        <is>
          <t>Avverkning för annat ändamål</t>
        </is>
      </c>
      <c r="D1578" s="1" t="n">
        <v>46190</v>
      </c>
      <c r="E1578" s="1" t="n">
        <v>46318</v>
      </c>
      <c r="F1578" t="inlineStr">
        <is>
          <t>JÄMTLANDS LÄN</t>
        </is>
      </c>
      <c r="G1578" t="inlineStr">
        <is>
          <t>STRÖMSUND</t>
        </is>
      </c>
      <c r="H1578" t="inlineStr">
        <is>
          <t>SCA</t>
        </is>
      </c>
      <c r="I1578" t="n">
        <v>0.5</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60366-2024</t>
        </is>
      </c>
      <c r="B1579" t="inlineStr">
        <is>
          <t>avverkningsanmälan</t>
        </is>
      </c>
      <c r="C1579" t="inlineStr">
        <is>
          <t>Föryngringsavverkning</t>
        </is>
      </c>
      <c r="D1579" s="1" t="n">
        <v>45643</v>
      </c>
      <c r="E1579" s="1" t="n">
        <v>46318</v>
      </c>
      <c r="F1579" t="inlineStr">
        <is>
          <t>JÄMTLANDS LÄN</t>
        </is>
      </c>
      <c r="G1579" t="inlineStr">
        <is>
          <t>STRÖMSUND</t>
        </is>
      </c>
      <c r="H1579" t="inlineStr">
        <is>
          <t>Sveaskog</t>
        </is>
      </c>
      <c r="I1579" t="n">
        <v>2.8</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17789-2023</t>
        </is>
      </c>
      <c r="B1580" t="inlineStr">
        <is>
          <t>avverkningsanmälan</t>
        </is>
      </c>
      <c r="C1580" t="inlineStr">
        <is>
          <t>Föryngringsavverkning</t>
        </is>
      </c>
      <c r="D1580" s="1" t="n">
        <v>45036</v>
      </c>
      <c r="E1580" s="1" t="n">
        <v>46318</v>
      </c>
      <c r="F1580" t="inlineStr">
        <is>
          <t>JÄMTLANDS LÄN</t>
        </is>
      </c>
      <c r="G1580" t="inlineStr">
        <is>
          <t>STRÖMSUND</t>
        </is>
      </c>
      <c r="I1580" t="n">
        <v>1.3</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17798-2023</t>
        </is>
      </c>
      <c r="B1581" t="inlineStr">
        <is>
          <t>avverkningsanmälan</t>
        </is>
      </c>
      <c r="C1581" t="inlineStr">
        <is>
          <t>Föryngringsavverkning</t>
        </is>
      </c>
      <c r="D1581" s="1" t="n">
        <v>45036</v>
      </c>
      <c r="E1581" s="1" t="n">
        <v>46318</v>
      </c>
      <c r="F1581" t="inlineStr">
        <is>
          <t>JÄMTLANDS LÄN</t>
        </is>
      </c>
      <c r="G1581" t="inlineStr">
        <is>
          <t>STRÖMSUND</t>
        </is>
      </c>
      <c r="I1581" t="n">
        <v>1.7</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3846-2026</t>
        </is>
      </c>
      <c r="B1582" t="inlineStr">
        <is>
          <t>avverkningsanmälan</t>
        </is>
      </c>
      <c r="C1582" t="inlineStr">
        <is>
          <t>Föryngringsavverkning</t>
        </is>
      </c>
      <c r="D1582" s="1" t="n">
        <v>46043</v>
      </c>
      <c r="E1582" s="1" t="n">
        <v>46318</v>
      </c>
      <c r="F1582" t="inlineStr">
        <is>
          <t>JÄMTLANDS LÄN</t>
        </is>
      </c>
      <c r="G1582" t="inlineStr">
        <is>
          <t>STRÖMSUND</t>
        </is>
      </c>
      <c r="H1582" t="inlineStr">
        <is>
          <t>SCA</t>
        </is>
      </c>
      <c r="I1582" t="n">
        <v>15.4</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10961-2026</t>
        </is>
      </c>
      <c r="B1583" t="inlineStr">
        <is>
          <t>avverkningsanmälan</t>
        </is>
      </c>
      <c r="C1583" t="inlineStr">
        <is>
          <t>Föryngringsavverkning</t>
        </is>
      </c>
      <c r="D1583" s="1" t="n">
        <v>46079</v>
      </c>
      <c r="E1583" s="1" t="n">
        <v>46318</v>
      </c>
      <c r="F1583" t="inlineStr">
        <is>
          <t>JÄMTLANDS LÄN</t>
        </is>
      </c>
      <c r="G1583" t="inlineStr">
        <is>
          <t>STRÖMSUND</t>
        </is>
      </c>
      <c r="H1583" t="inlineStr">
        <is>
          <t>SCA</t>
        </is>
      </c>
      <c r="I1583" t="n">
        <v>3.8</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18750-2022</t>
        </is>
      </c>
      <c r="B1584" t="inlineStr">
        <is>
          <t>avverkningsanmälan</t>
        </is>
      </c>
      <c r="C1584" t="inlineStr">
        <is>
          <t>Föryngringsavverkning</t>
        </is>
      </c>
      <c r="D1584" s="1" t="n">
        <v>44687</v>
      </c>
      <c r="E1584" s="1" t="n">
        <v>46318</v>
      </c>
      <c r="F1584" t="inlineStr">
        <is>
          <t>JÄMTLANDS LÄN</t>
        </is>
      </c>
      <c r="G1584" t="inlineStr">
        <is>
          <t>STRÖMSUND</t>
        </is>
      </c>
      <c r="H1584" t="inlineStr">
        <is>
          <t>SCA</t>
        </is>
      </c>
      <c r="I1584" t="n">
        <v>2.3</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22026-2022</t>
        </is>
      </c>
      <c r="B1585" t="inlineStr">
        <is>
          <t>avverkningsanmälan</t>
        </is>
      </c>
      <c r="C1585" t="inlineStr">
        <is>
          <t>Föryngringsavverkning</t>
        </is>
      </c>
      <c r="D1585" s="1" t="n">
        <v>44711</v>
      </c>
      <c r="E1585" s="1" t="n">
        <v>46318</v>
      </c>
      <c r="F1585" t="inlineStr">
        <is>
          <t>JÄMTLANDS LÄN</t>
        </is>
      </c>
      <c r="G1585" t="inlineStr">
        <is>
          <t>STRÖMSUND</t>
        </is>
      </c>
      <c r="I1585" t="n">
        <v>5.8</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24337-2025</t>
        </is>
      </c>
      <c r="B1586" t="inlineStr">
        <is>
          <t>avverkningsanmälan</t>
        </is>
      </c>
      <c r="C1586" t="inlineStr">
        <is>
          <t>Föryngringsavverkning</t>
        </is>
      </c>
      <c r="D1586" s="1" t="n">
        <v>45797</v>
      </c>
      <c r="E1586" s="1" t="n">
        <v>46318</v>
      </c>
      <c r="F1586" t="inlineStr">
        <is>
          <t>JÄMTLANDS LÄN</t>
        </is>
      </c>
      <c r="G1586" t="inlineStr">
        <is>
          <t>STRÖMSUND</t>
        </is>
      </c>
      <c r="H1586" t="inlineStr">
        <is>
          <t>SCA</t>
        </is>
      </c>
      <c r="I1586" t="n">
        <v>5.2</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27910-2026</t>
        </is>
      </c>
      <c r="B1587" t="inlineStr">
        <is>
          <t>avverkningsanmälan</t>
        </is>
      </c>
      <c r="C1587" t="inlineStr">
        <is>
          <t>Föryngringsavverkning</t>
        </is>
      </c>
      <c r="D1587" s="1" t="n">
        <v>46191</v>
      </c>
      <c r="E1587" s="1" t="n">
        <v>46318</v>
      </c>
      <c r="F1587" t="inlineStr">
        <is>
          <t>JÄMTLANDS LÄN</t>
        </is>
      </c>
      <c r="G1587" t="inlineStr">
        <is>
          <t>STRÖMSUND</t>
        </is>
      </c>
      <c r="H1587" t="inlineStr">
        <is>
          <t>SCA</t>
        </is>
      </c>
      <c r="I1587" t="n">
        <v>1</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50856-2025</t>
        </is>
      </c>
      <c r="B1588" t="inlineStr">
        <is>
          <t>avverkningsanmälan</t>
        </is>
      </c>
      <c r="C1588" t="inlineStr">
        <is>
          <t>Avverkning för annat ändamål</t>
        </is>
      </c>
      <c r="D1588" s="1" t="n">
        <v>45946</v>
      </c>
      <c r="E1588" s="1" t="n">
        <v>46318</v>
      </c>
      <c r="F1588" t="inlineStr">
        <is>
          <t>JÄMTLANDS LÄN</t>
        </is>
      </c>
      <c r="G1588" t="inlineStr">
        <is>
          <t>STRÖMSUND</t>
        </is>
      </c>
      <c r="H1588" t="inlineStr">
        <is>
          <t>Holmen skog AB</t>
        </is>
      </c>
      <c r="I1588" t="n">
        <v>0.3</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18209-2026</t>
        </is>
      </c>
      <c r="B1589" t="inlineStr">
        <is>
          <t>avverkningsanmälan</t>
        </is>
      </c>
      <c r="C1589" t="inlineStr">
        <is>
          <t>Avverkning för annat ändamål</t>
        </is>
      </c>
      <c r="D1589" s="1" t="n">
        <v>46125</v>
      </c>
      <c r="E1589" s="1" t="n">
        <v>46318</v>
      </c>
      <c r="F1589" t="inlineStr">
        <is>
          <t>JÄMTLANDS LÄN</t>
        </is>
      </c>
      <c r="G1589" t="inlineStr">
        <is>
          <t>STRÖMSUND</t>
        </is>
      </c>
      <c r="I1589" t="n">
        <v>0.7</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11374-2026</t>
        </is>
      </c>
      <c r="B1590" t="inlineStr">
        <is>
          <t>avverkningsanmälan</t>
        </is>
      </c>
      <c r="C1590" t="inlineStr">
        <is>
          <t>Föryngringsavverkning</t>
        </is>
      </c>
      <c r="D1590" s="1" t="n">
        <v>46083</v>
      </c>
      <c r="E1590" s="1" t="n">
        <v>46318</v>
      </c>
      <c r="F1590" t="inlineStr">
        <is>
          <t>JÄMTLANDS LÄN</t>
        </is>
      </c>
      <c r="G1590" t="inlineStr">
        <is>
          <t>STRÖMSUND</t>
        </is>
      </c>
      <c r="I1590" t="n">
        <v>1.4</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57416-2023</t>
        </is>
      </c>
      <c r="B1591" t="inlineStr">
        <is>
          <t>avverkningsanmälan</t>
        </is>
      </c>
      <c r="C1591" t="inlineStr">
        <is>
          <t>Föryngringsavverkning</t>
        </is>
      </c>
      <c r="D1591" s="1" t="n">
        <v>45245</v>
      </c>
      <c r="E1591" s="1" t="n">
        <v>46318</v>
      </c>
      <c r="F1591" t="inlineStr">
        <is>
          <t>JÄMTLANDS LÄN</t>
        </is>
      </c>
      <c r="G1591" t="inlineStr">
        <is>
          <t>STRÖMSUND</t>
        </is>
      </c>
      <c r="H1591" t="inlineStr">
        <is>
          <t>SCA</t>
        </is>
      </c>
      <c r="I1591" t="n">
        <v>0.9</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31156-2023</t>
        </is>
      </c>
      <c r="B1592" t="inlineStr">
        <is>
          <t>avverkningsanmälan</t>
        </is>
      </c>
      <c r="C1592" t="inlineStr">
        <is>
          <t>Föryngringsavverkning</t>
        </is>
      </c>
      <c r="D1592" s="1" t="n">
        <v>45103</v>
      </c>
      <c r="E1592" s="1" t="n">
        <v>46318</v>
      </c>
      <c r="F1592" t="inlineStr">
        <is>
          <t>JÄMTLANDS LÄN</t>
        </is>
      </c>
      <c r="G1592" t="inlineStr">
        <is>
          <t>STRÖMSUND</t>
        </is>
      </c>
      <c r="I1592" t="n">
        <v>0.9</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3628-2024</t>
        </is>
      </c>
      <c r="B1593" t="inlineStr">
        <is>
          <t>avverkningsanmälan</t>
        </is>
      </c>
      <c r="C1593" t="inlineStr">
        <is>
          <t>Föryngringsavverkning</t>
        </is>
      </c>
      <c r="D1593" s="1" t="n">
        <v>45320</v>
      </c>
      <c r="E1593" s="1" t="n">
        <v>46318</v>
      </c>
      <c r="F1593" t="inlineStr">
        <is>
          <t>JÄMTLANDS LÄN</t>
        </is>
      </c>
      <c r="G1593" t="inlineStr">
        <is>
          <t>STRÖMSUND</t>
        </is>
      </c>
      <c r="H1593" t="inlineStr">
        <is>
          <t>SCA</t>
        </is>
      </c>
      <c r="I1593" t="n">
        <v>8.699999999999999</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11654-2026</t>
        </is>
      </c>
      <c r="B1594" t="inlineStr">
        <is>
          <t>avverkningsanmälan</t>
        </is>
      </c>
      <c r="C1594" t="inlineStr">
        <is>
          <t>Föryngringsavverkning</t>
        </is>
      </c>
      <c r="D1594" s="1" t="n">
        <v>46084</v>
      </c>
      <c r="E1594" s="1" t="n">
        <v>46318</v>
      </c>
      <c r="F1594" t="inlineStr">
        <is>
          <t>JÄMTLANDS LÄN</t>
        </is>
      </c>
      <c r="G1594" t="inlineStr">
        <is>
          <t>STRÖMSUND</t>
        </is>
      </c>
      <c r="H1594" t="inlineStr">
        <is>
          <t>SCA</t>
        </is>
      </c>
      <c r="I1594" t="n">
        <v>13.3</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55754-2025</t>
        </is>
      </c>
      <c r="B1595" t="inlineStr">
        <is>
          <t>avverkningsanmälan</t>
        </is>
      </c>
      <c r="C1595" t="inlineStr">
        <is>
          <t>Avverkning för annat ändamål</t>
        </is>
      </c>
      <c r="D1595" s="1" t="n">
        <v>45972</v>
      </c>
      <c r="E1595" s="1" t="n">
        <v>46318</v>
      </c>
      <c r="F1595" t="inlineStr">
        <is>
          <t>JÄMTLANDS LÄN</t>
        </is>
      </c>
      <c r="G1595" t="inlineStr">
        <is>
          <t>STRÖMSUND</t>
        </is>
      </c>
      <c r="I1595" t="n">
        <v>7.6</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11754-2026</t>
        </is>
      </c>
      <c r="B1596" t="inlineStr">
        <is>
          <t>avverkningsanmälan</t>
        </is>
      </c>
      <c r="C1596" t="inlineStr">
        <is>
          <t>Föryngringsavverkning</t>
        </is>
      </c>
      <c r="D1596" s="1" t="n">
        <v>46084</v>
      </c>
      <c r="E1596" s="1" t="n">
        <v>46318</v>
      </c>
      <c r="F1596" t="inlineStr">
        <is>
          <t>JÄMTLANDS LÄN</t>
        </is>
      </c>
      <c r="G1596" t="inlineStr">
        <is>
          <t>STRÖMSUND</t>
        </is>
      </c>
      <c r="H1596" t="inlineStr">
        <is>
          <t>SCA</t>
        </is>
      </c>
      <c r="I1596" t="n">
        <v>30.7</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27973-2026</t>
        </is>
      </c>
      <c r="B1597" t="inlineStr">
        <is>
          <t>avverkningsanmälan</t>
        </is>
      </c>
      <c r="C1597" t="inlineStr">
        <is>
          <t>Avverkning för annat ändamål</t>
        </is>
      </c>
      <c r="D1597" s="1" t="n">
        <v>46195</v>
      </c>
      <c r="E1597" s="1" t="n">
        <v>46318</v>
      </c>
      <c r="F1597" t="inlineStr">
        <is>
          <t>JÄMTLANDS LÄN</t>
        </is>
      </c>
      <c r="G1597" t="inlineStr">
        <is>
          <t>STRÖMSUND</t>
        </is>
      </c>
      <c r="I1597" t="n">
        <v>2.1</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28362-2026</t>
        </is>
      </c>
      <c r="B1598" t="inlineStr">
        <is>
          <t>avverkningsanmälan</t>
        </is>
      </c>
      <c r="C1598" t="inlineStr">
        <is>
          <t>Föryngringsavverkning</t>
        </is>
      </c>
      <c r="D1598" s="1" t="n">
        <v>46196</v>
      </c>
      <c r="E1598" s="1" t="n">
        <v>46318</v>
      </c>
      <c r="F1598" t="inlineStr">
        <is>
          <t>JÄMTLANDS LÄN</t>
        </is>
      </c>
      <c r="G1598" t="inlineStr">
        <is>
          <t>STRÖMSUND</t>
        </is>
      </c>
      <c r="I1598" t="n">
        <v>1.6</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28366-2026</t>
        </is>
      </c>
      <c r="B1599" t="inlineStr">
        <is>
          <t>avverkningsanmälan</t>
        </is>
      </c>
      <c r="C1599" t="inlineStr">
        <is>
          <t>Föryngringsavverkning</t>
        </is>
      </c>
      <c r="D1599" s="1" t="n">
        <v>46196</v>
      </c>
      <c r="E1599" s="1" t="n">
        <v>46318</v>
      </c>
      <c r="F1599" t="inlineStr">
        <is>
          <t>JÄMTLANDS LÄN</t>
        </is>
      </c>
      <c r="G1599" t="inlineStr">
        <is>
          <t>STRÖMSUND</t>
        </is>
      </c>
      <c r="I1599" t="n">
        <v>1.3</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11855-2026</t>
        </is>
      </c>
      <c r="B1600" t="inlineStr">
        <is>
          <t>avverkningsanmälan</t>
        </is>
      </c>
      <c r="C1600" t="inlineStr">
        <is>
          <t>Föryngringsavverkning</t>
        </is>
      </c>
      <c r="D1600" s="1" t="n">
        <v>46085</v>
      </c>
      <c r="E1600" s="1" t="n">
        <v>46318</v>
      </c>
      <c r="F1600" t="inlineStr">
        <is>
          <t>JÄMTLANDS LÄN</t>
        </is>
      </c>
      <c r="G1600" t="inlineStr">
        <is>
          <t>STRÖMSUND</t>
        </is>
      </c>
      <c r="H1600" t="inlineStr">
        <is>
          <t>SCA</t>
        </is>
      </c>
      <c r="I1600" t="n">
        <v>5</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24316-2025</t>
        </is>
      </c>
      <c r="B1601" t="inlineStr">
        <is>
          <t>avverkningsanmälan</t>
        </is>
      </c>
      <c r="C1601" t="inlineStr">
        <is>
          <t>Föryngringsavverkning</t>
        </is>
      </c>
      <c r="D1601" s="1" t="n">
        <v>45797</v>
      </c>
      <c r="E1601" s="1" t="n">
        <v>46318</v>
      </c>
      <c r="F1601" t="inlineStr">
        <is>
          <t>JÄMTLANDS LÄN</t>
        </is>
      </c>
      <c r="G1601" t="inlineStr">
        <is>
          <t>STRÖMSUND</t>
        </is>
      </c>
      <c r="H1601" t="inlineStr">
        <is>
          <t>SCA</t>
        </is>
      </c>
      <c r="I1601" t="n">
        <v>3.1</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24338-2025</t>
        </is>
      </c>
      <c r="B1602" t="inlineStr">
        <is>
          <t>avverkningsanmälan</t>
        </is>
      </c>
      <c r="C1602" t="inlineStr">
        <is>
          <t>Föryngringsavverkning</t>
        </is>
      </c>
      <c r="D1602" s="1" t="n">
        <v>45797</v>
      </c>
      <c r="E1602" s="1" t="n">
        <v>46318</v>
      </c>
      <c r="F1602" t="inlineStr">
        <is>
          <t>JÄMTLANDS LÄN</t>
        </is>
      </c>
      <c r="G1602" t="inlineStr">
        <is>
          <t>STRÖMSUND</t>
        </is>
      </c>
      <c r="H1602" t="inlineStr">
        <is>
          <t>SCA</t>
        </is>
      </c>
      <c r="I1602" t="n">
        <v>19.1</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55327-2024</t>
        </is>
      </c>
      <c r="B1603" t="inlineStr">
        <is>
          <t>avverkningsanmälan</t>
        </is>
      </c>
      <c r="C1603" t="inlineStr">
        <is>
          <t>Föryngringsavverkning</t>
        </is>
      </c>
      <c r="D1603" s="1" t="n">
        <v>45621</v>
      </c>
      <c r="E1603" s="1" t="n">
        <v>46318</v>
      </c>
      <c r="F1603" t="inlineStr">
        <is>
          <t>JÄMTLANDS LÄN</t>
        </is>
      </c>
      <c r="G1603" t="inlineStr">
        <is>
          <t>STRÖMSUND</t>
        </is>
      </c>
      <c r="I1603" t="n">
        <v>15</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24336-2025</t>
        </is>
      </c>
      <c r="B1604" t="inlineStr">
        <is>
          <t>avverkningsanmälan</t>
        </is>
      </c>
      <c r="C1604" t="inlineStr">
        <is>
          <t>Föryngringsavverkning</t>
        </is>
      </c>
      <c r="D1604" s="1" t="n">
        <v>45797</v>
      </c>
      <c r="E1604" s="1" t="n">
        <v>46318</v>
      </c>
      <c r="F1604" t="inlineStr">
        <is>
          <t>JÄMTLANDS LÄN</t>
        </is>
      </c>
      <c r="G1604" t="inlineStr">
        <is>
          <t>STRÖMSUND</t>
        </is>
      </c>
      <c r="H1604" t="inlineStr">
        <is>
          <t>SCA</t>
        </is>
      </c>
      <c r="I1604" t="n">
        <v>1.1</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28179-2026</t>
        </is>
      </c>
      <c r="B1605" t="inlineStr">
        <is>
          <t>avverkningsanmälan</t>
        </is>
      </c>
      <c r="C1605" t="inlineStr">
        <is>
          <t>Föryngringsavverkning</t>
        </is>
      </c>
      <c r="D1605" s="1" t="n">
        <v>46195</v>
      </c>
      <c r="E1605" s="1" t="n">
        <v>46318</v>
      </c>
      <c r="F1605" t="inlineStr">
        <is>
          <t>JÄMTLANDS LÄN</t>
        </is>
      </c>
      <c r="G1605" t="inlineStr">
        <is>
          <t>STRÖMSUND</t>
        </is>
      </c>
      <c r="H1605" t="inlineStr">
        <is>
          <t>SCA</t>
        </is>
      </c>
      <c r="I1605" t="n">
        <v>1.6</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28297-2026</t>
        </is>
      </c>
      <c r="B1606" t="inlineStr">
        <is>
          <t>avverkningsanmälan</t>
        </is>
      </c>
      <c r="C1606" t="inlineStr">
        <is>
          <t>Föryngringsavverkning</t>
        </is>
      </c>
      <c r="D1606" s="1" t="n">
        <v>46196</v>
      </c>
      <c r="E1606" s="1" t="n">
        <v>46318</v>
      </c>
      <c r="F1606" t="inlineStr">
        <is>
          <t>JÄMTLANDS LÄN</t>
        </is>
      </c>
      <c r="G1606" t="inlineStr">
        <is>
          <t>STRÖMSUND</t>
        </is>
      </c>
      <c r="H1606" t="inlineStr">
        <is>
          <t>Holmen skog AB</t>
        </is>
      </c>
      <c r="I1606" t="n">
        <v>5</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12588-2026</t>
        </is>
      </c>
      <c r="B1607" t="inlineStr">
        <is>
          <t>avverkningsanmälan</t>
        </is>
      </c>
      <c r="C1607" t="inlineStr">
        <is>
          <t>Föryngringsavverkning</t>
        </is>
      </c>
      <c r="D1607" s="1" t="n">
        <v>46090</v>
      </c>
      <c r="E1607" s="1" t="n">
        <v>46318</v>
      </c>
      <c r="F1607" t="inlineStr">
        <is>
          <t>JÄMTLANDS LÄN</t>
        </is>
      </c>
      <c r="G1607" t="inlineStr">
        <is>
          <t>STRÖMSUND</t>
        </is>
      </c>
      <c r="H1607" t="inlineStr">
        <is>
          <t>SCA</t>
        </is>
      </c>
      <c r="I1607" t="n">
        <v>13.2</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13590-2024</t>
        </is>
      </c>
      <c r="B1608" t="inlineStr">
        <is>
          <t>avverkningsanmälan</t>
        </is>
      </c>
      <c r="C1608" t="inlineStr">
        <is>
          <t>Föryngringsavverkning</t>
        </is>
      </c>
      <c r="D1608" s="1" t="n">
        <v>45389</v>
      </c>
      <c r="E1608" s="1" t="n">
        <v>46318</v>
      </c>
      <c r="F1608" t="inlineStr">
        <is>
          <t>JÄMTLANDS LÄN</t>
        </is>
      </c>
      <c r="G1608" t="inlineStr">
        <is>
          <t>STRÖMSUND</t>
        </is>
      </c>
      <c r="H1608" t="inlineStr">
        <is>
          <t>SCA</t>
        </is>
      </c>
      <c r="I1608" t="n">
        <v>11.3</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22453-2024</t>
        </is>
      </c>
      <c r="B1609" t="inlineStr">
        <is>
          <t>avverkningsanmälan</t>
        </is>
      </c>
      <c r="C1609" t="inlineStr">
        <is>
          <t>Föryngringsavverkning</t>
        </is>
      </c>
      <c r="D1609" s="1" t="n">
        <v>45446</v>
      </c>
      <c r="E1609" s="1" t="n">
        <v>46318</v>
      </c>
      <c r="F1609" t="inlineStr">
        <is>
          <t>JÄMTLANDS LÄN</t>
        </is>
      </c>
      <c r="G1609" t="inlineStr">
        <is>
          <t>STRÖMSUND</t>
        </is>
      </c>
      <c r="H1609" t="inlineStr">
        <is>
          <t>SCA</t>
        </is>
      </c>
      <c r="I1609" t="n">
        <v>0.8</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19859-2025</t>
        </is>
      </c>
      <c r="B1610" t="inlineStr">
        <is>
          <t>avverkningsanmälan</t>
        </is>
      </c>
      <c r="C1610" t="inlineStr">
        <is>
          <t>Föryngringsavverkning</t>
        </is>
      </c>
      <c r="D1610" s="1" t="n">
        <v>45771</v>
      </c>
      <c r="E1610" s="1" t="n">
        <v>46318</v>
      </c>
      <c r="F1610" t="inlineStr">
        <is>
          <t>JÄMTLANDS LÄN</t>
        </is>
      </c>
      <c r="G1610" t="inlineStr">
        <is>
          <t>STRÖMSUND</t>
        </is>
      </c>
      <c r="H1610" t="inlineStr">
        <is>
          <t>SCA</t>
        </is>
      </c>
      <c r="I1610" t="n">
        <v>4.2</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12326-2026</t>
        </is>
      </c>
      <c r="B1611" t="inlineStr">
        <is>
          <t>avverkningsanmälan</t>
        </is>
      </c>
      <c r="C1611" t="inlineStr">
        <is>
          <t>Föryngringsavverkning</t>
        </is>
      </c>
      <c r="D1611" s="1" t="n">
        <v>46087</v>
      </c>
      <c r="E1611" s="1" t="n">
        <v>46318</v>
      </c>
      <c r="F1611" t="inlineStr">
        <is>
          <t>JÄMTLANDS LÄN</t>
        </is>
      </c>
      <c r="G1611" t="inlineStr">
        <is>
          <t>STRÖMSUND</t>
        </is>
      </c>
      <c r="H1611" t="inlineStr">
        <is>
          <t>SCA</t>
        </is>
      </c>
      <c r="I1611" t="n">
        <v>17.8</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19412-2025</t>
        </is>
      </c>
      <c r="B1612" t="inlineStr">
        <is>
          <t>avverkningsanmälan</t>
        </is>
      </c>
      <c r="C1612" t="inlineStr">
        <is>
          <t>Föryngringsavverkning</t>
        </is>
      </c>
      <c r="D1612" s="1" t="n">
        <v>45769</v>
      </c>
      <c r="E1612" s="1" t="n">
        <v>46318</v>
      </c>
      <c r="F1612" t="inlineStr">
        <is>
          <t>JÄMTLANDS LÄN</t>
        </is>
      </c>
      <c r="G1612" t="inlineStr">
        <is>
          <t>STRÖMSUND</t>
        </is>
      </c>
      <c r="H1612" t="inlineStr">
        <is>
          <t>SCA</t>
        </is>
      </c>
      <c r="I1612" t="n">
        <v>2.6</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36347-2024</t>
        </is>
      </c>
      <c r="B1613" t="inlineStr">
        <is>
          <t>avverkningsanmälan</t>
        </is>
      </c>
      <c r="C1613" t="inlineStr">
        <is>
          <t>Föryngringsavverkning</t>
        </is>
      </c>
      <c r="D1613" s="1" t="n">
        <v>45534</v>
      </c>
      <c r="E1613" s="1" t="n">
        <v>46318</v>
      </c>
      <c r="F1613" t="inlineStr">
        <is>
          <t>JÄMTLANDS LÄN</t>
        </is>
      </c>
      <c r="G1613" t="inlineStr">
        <is>
          <t>STRÖMSUND</t>
        </is>
      </c>
      <c r="H1613" t="inlineStr">
        <is>
          <t>SCA</t>
        </is>
      </c>
      <c r="I1613" t="n">
        <v>0.7</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31441-2025</t>
        </is>
      </c>
      <c r="B1614" t="inlineStr">
        <is>
          <t>avverkningsanmälan</t>
        </is>
      </c>
      <c r="C1614" t="inlineStr">
        <is>
          <t>Föryngringsavverkning</t>
        </is>
      </c>
      <c r="D1614" s="1" t="n">
        <v>45833</v>
      </c>
      <c r="E1614" s="1" t="n">
        <v>46318</v>
      </c>
      <c r="F1614" t="inlineStr">
        <is>
          <t>JÄMTLANDS LÄN</t>
        </is>
      </c>
      <c r="G1614" t="inlineStr">
        <is>
          <t>STRÖMSUND</t>
        </is>
      </c>
      <c r="H1614" t="inlineStr">
        <is>
          <t>SCA</t>
        </is>
      </c>
      <c r="I1614" t="n">
        <v>10.1</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29274-2024</t>
        </is>
      </c>
      <c r="B1615" t="inlineStr">
        <is>
          <t>avverkningsanmälan</t>
        </is>
      </c>
      <c r="C1615" t="inlineStr">
        <is>
          <t>Föryngringsavverkning</t>
        </is>
      </c>
      <c r="D1615" s="1" t="n">
        <v>45482</v>
      </c>
      <c r="E1615" s="1" t="n">
        <v>46318</v>
      </c>
      <c r="F1615" t="inlineStr">
        <is>
          <t>JÄMTLANDS LÄN</t>
        </is>
      </c>
      <c r="G1615" t="inlineStr">
        <is>
          <t>STRÖMSUND</t>
        </is>
      </c>
      <c r="H1615" t="inlineStr">
        <is>
          <t>SCA</t>
        </is>
      </c>
      <c r="I1615" t="n">
        <v>2</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47182-2023</t>
        </is>
      </c>
      <c r="B1616" t="inlineStr">
        <is>
          <t>avverkningsanmälan</t>
        </is>
      </c>
      <c r="C1616" t="inlineStr">
        <is>
          <t>Föryngringsavverkning</t>
        </is>
      </c>
      <c r="D1616" s="1" t="n">
        <v>45201</v>
      </c>
      <c r="E1616" s="1" t="n">
        <v>46318</v>
      </c>
      <c r="F1616" t="inlineStr">
        <is>
          <t>JÄMTLANDS LÄN</t>
        </is>
      </c>
      <c r="G1616" t="inlineStr">
        <is>
          <t>STRÖMSUND</t>
        </is>
      </c>
      <c r="H1616" t="inlineStr">
        <is>
          <t>SCA</t>
        </is>
      </c>
      <c r="I1616" t="n">
        <v>1.9</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36346-2024</t>
        </is>
      </c>
      <c r="B1617" t="inlineStr">
        <is>
          <t>avverkningsanmälan</t>
        </is>
      </c>
      <c r="C1617" t="inlineStr">
        <is>
          <t>Föryngringsavverkning</t>
        </is>
      </c>
      <c r="D1617" s="1" t="n">
        <v>45534</v>
      </c>
      <c r="E1617" s="1" t="n">
        <v>46318</v>
      </c>
      <c r="F1617" t="inlineStr">
        <is>
          <t>JÄMTLANDS LÄN</t>
        </is>
      </c>
      <c r="G1617" t="inlineStr">
        <is>
          <t>STRÖMSUND</t>
        </is>
      </c>
      <c r="H1617" t="inlineStr">
        <is>
          <t>SCA</t>
        </is>
      </c>
      <c r="I1617" t="n">
        <v>1.7</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37150-2024</t>
        </is>
      </c>
      <c r="B1618" t="inlineStr">
        <is>
          <t>avverkningsanmälan</t>
        </is>
      </c>
      <c r="C1618" t="inlineStr">
        <is>
          <t>Föryngringsavverkning</t>
        </is>
      </c>
      <c r="D1618" s="1" t="n">
        <v>45539</v>
      </c>
      <c r="E1618" s="1" t="n">
        <v>46318</v>
      </c>
      <c r="F1618" t="inlineStr">
        <is>
          <t>JÄMTLANDS LÄN</t>
        </is>
      </c>
      <c r="G1618" t="inlineStr">
        <is>
          <t>STRÖMSUND</t>
        </is>
      </c>
      <c r="H1618" t="inlineStr">
        <is>
          <t>SCA</t>
        </is>
      </c>
      <c r="I1618" t="n">
        <v>3.9</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34884-2025</t>
        </is>
      </c>
      <c r="B1619" t="inlineStr">
        <is>
          <t>avverkningsanmälan</t>
        </is>
      </c>
      <c r="C1619" t="inlineStr">
        <is>
          <t>Föryngringsavverkning</t>
        </is>
      </c>
      <c r="D1619" s="1" t="n">
        <v>45849</v>
      </c>
      <c r="E1619" s="1" t="n">
        <v>46318</v>
      </c>
      <c r="F1619" t="inlineStr">
        <is>
          <t>JÄMTLANDS LÄN</t>
        </is>
      </c>
      <c r="G1619" t="inlineStr">
        <is>
          <t>STRÖMSUND</t>
        </is>
      </c>
      <c r="H1619" t="inlineStr">
        <is>
          <t>SCA</t>
        </is>
      </c>
      <c r="I1619" t="n">
        <v>3.1</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35308-2025</t>
        </is>
      </c>
      <c r="B1620" t="inlineStr">
        <is>
          <t>avverkningsanmälan</t>
        </is>
      </c>
      <c r="C1620" t="inlineStr">
        <is>
          <t>Föryngringsavverkning</t>
        </is>
      </c>
      <c r="D1620" s="1" t="n">
        <v>45854</v>
      </c>
      <c r="E1620" s="1" t="n">
        <v>46318</v>
      </c>
      <c r="F1620" t="inlineStr">
        <is>
          <t>JÄMTLANDS LÄN</t>
        </is>
      </c>
      <c r="G1620" t="inlineStr">
        <is>
          <t>STRÖMSUND</t>
        </is>
      </c>
      <c r="H1620" t="inlineStr">
        <is>
          <t>SCA</t>
        </is>
      </c>
      <c r="I1620" t="n">
        <v>5.2</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28498-2022</t>
        </is>
      </c>
      <c r="B1621" t="inlineStr">
        <is>
          <t>avverkningsanmälan</t>
        </is>
      </c>
      <c r="C1621" t="inlineStr">
        <is>
          <t>Föryngringsavverkning</t>
        </is>
      </c>
      <c r="D1621" s="1" t="n">
        <v>44747</v>
      </c>
      <c r="E1621" s="1" t="n">
        <v>46318</v>
      </c>
      <c r="F1621" t="inlineStr">
        <is>
          <t>JÄMTLANDS LÄN</t>
        </is>
      </c>
      <c r="G1621" t="inlineStr">
        <is>
          <t>STRÖMSUND</t>
        </is>
      </c>
      <c r="H1621" t="inlineStr">
        <is>
          <t>SCA</t>
        </is>
      </c>
      <c r="I1621" t="n">
        <v>0.8</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15463-2025</t>
        </is>
      </c>
      <c r="B1622" t="inlineStr">
        <is>
          <t>avverkningsanmälan</t>
        </is>
      </c>
      <c r="C1622" t="inlineStr">
        <is>
          <t>Föryngringsavverkning</t>
        </is>
      </c>
      <c r="D1622" s="1" t="n">
        <v>45747</v>
      </c>
      <c r="E1622" s="1" t="n">
        <v>46318</v>
      </c>
      <c r="F1622" t="inlineStr">
        <is>
          <t>JÄMTLANDS LÄN</t>
        </is>
      </c>
      <c r="G1622" t="inlineStr">
        <is>
          <t>STRÖMSUND</t>
        </is>
      </c>
      <c r="H1622" t="inlineStr">
        <is>
          <t>SCA</t>
        </is>
      </c>
      <c r="I1622" t="n">
        <v>7.2</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31491-2023</t>
        </is>
      </c>
      <c r="B1623" t="inlineStr">
        <is>
          <t>avverkningsanmälan</t>
        </is>
      </c>
      <c r="C1623" t="inlineStr">
        <is>
          <t>Föryngringsavverkning</t>
        </is>
      </c>
      <c r="D1623" s="1" t="n">
        <v>45114</v>
      </c>
      <c r="E1623" s="1" t="n">
        <v>46318</v>
      </c>
      <c r="F1623" t="inlineStr">
        <is>
          <t>JÄMTLANDS LÄN</t>
        </is>
      </c>
      <c r="G1623" t="inlineStr">
        <is>
          <t>STRÖMSUND</t>
        </is>
      </c>
      <c r="H1623" t="inlineStr">
        <is>
          <t>SCA</t>
        </is>
      </c>
      <c r="I1623" t="n">
        <v>2.9</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30832-2023</t>
        </is>
      </c>
      <c r="B1624" t="inlineStr">
        <is>
          <t>avverkningsanmälan</t>
        </is>
      </c>
      <c r="C1624" t="inlineStr">
        <is>
          <t>Föryngringsavverkning</t>
        </is>
      </c>
      <c r="D1624" s="1" t="n">
        <v>45112</v>
      </c>
      <c r="E1624" s="1" t="n">
        <v>46318</v>
      </c>
      <c r="F1624" t="inlineStr">
        <is>
          <t>JÄMTLANDS LÄN</t>
        </is>
      </c>
      <c r="G1624" t="inlineStr">
        <is>
          <t>STRÖMSUND</t>
        </is>
      </c>
      <c r="H1624" t="inlineStr">
        <is>
          <t>SCA</t>
        </is>
      </c>
      <c r="I1624" t="n">
        <v>2.5</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28766-2023</t>
        </is>
      </c>
      <c r="B1625" t="inlineStr">
        <is>
          <t>avverkningsanmälan</t>
        </is>
      </c>
      <c r="C1625" t="inlineStr">
        <is>
          <t>Föryngringsavverkning</t>
        </is>
      </c>
      <c r="D1625" s="1" t="n">
        <v>45103</v>
      </c>
      <c r="E1625" s="1" t="n">
        <v>46318</v>
      </c>
      <c r="F1625" t="inlineStr">
        <is>
          <t>JÄMTLANDS LÄN</t>
        </is>
      </c>
      <c r="G1625" t="inlineStr">
        <is>
          <t>STRÖMSUND</t>
        </is>
      </c>
      <c r="H1625" t="inlineStr">
        <is>
          <t>SCA</t>
        </is>
      </c>
      <c r="I1625" t="n">
        <v>3.3</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26498-2025</t>
        </is>
      </c>
      <c r="B1626" t="inlineStr">
        <is>
          <t>avverkningsanmälan</t>
        </is>
      </c>
      <c r="C1626" t="inlineStr">
        <is>
          <t>Föryngringsavverkning</t>
        </is>
      </c>
      <c r="D1626" s="1" t="n">
        <v>45807</v>
      </c>
      <c r="E1626" s="1" t="n">
        <v>46318</v>
      </c>
      <c r="F1626" t="inlineStr">
        <is>
          <t>JÄMTLANDS LÄN</t>
        </is>
      </c>
      <c r="G1626" t="inlineStr">
        <is>
          <t>STRÖMSUND</t>
        </is>
      </c>
      <c r="H1626" t="inlineStr">
        <is>
          <t>SCA</t>
        </is>
      </c>
      <c r="I1626" t="n">
        <v>4.8</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26499-2025</t>
        </is>
      </c>
      <c r="B1627" t="inlineStr">
        <is>
          <t>avverkningsanmälan</t>
        </is>
      </c>
      <c r="C1627" t="inlineStr">
        <is>
          <t>Föryngringsavverkning</t>
        </is>
      </c>
      <c r="D1627" s="1" t="n">
        <v>45807</v>
      </c>
      <c r="E1627" s="1" t="n">
        <v>46318</v>
      </c>
      <c r="F1627" t="inlineStr">
        <is>
          <t>JÄMTLANDS LÄN</t>
        </is>
      </c>
      <c r="G1627" t="inlineStr">
        <is>
          <t>STRÖMSUND</t>
        </is>
      </c>
      <c r="H1627" t="inlineStr">
        <is>
          <t>SCA</t>
        </is>
      </c>
      <c r="I1627" t="n">
        <v>1.5</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44642-2024</t>
        </is>
      </c>
      <c r="B1628" t="inlineStr">
        <is>
          <t>avverkningsanmälan</t>
        </is>
      </c>
      <c r="C1628" t="inlineStr">
        <is>
          <t>Föryngringsavverkning</t>
        </is>
      </c>
      <c r="D1628" s="1" t="n">
        <v>45574</v>
      </c>
      <c r="E1628" s="1" t="n">
        <v>46318</v>
      </c>
      <c r="F1628" t="inlineStr">
        <is>
          <t>JÄMTLANDS LÄN</t>
        </is>
      </c>
      <c r="G1628" t="inlineStr">
        <is>
          <t>STRÖMSUND</t>
        </is>
      </c>
      <c r="H1628" t="inlineStr">
        <is>
          <t>SCA</t>
        </is>
      </c>
      <c r="I1628" t="n">
        <v>1.2</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44457-2025</t>
        </is>
      </c>
      <c r="B1629" t="inlineStr">
        <is>
          <t>avverkningsanmälan</t>
        </is>
      </c>
      <c r="C1629" t="inlineStr">
        <is>
          <t>Föryngringsavverkning</t>
        </is>
      </c>
      <c r="D1629" s="1" t="n">
        <v>45916</v>
      </c>
      <c r="E1629" s="1" t="n">
        <v>46318</v>
      </c>
      <c r="F1629" t="inlineStr">
        <is>
          <t>JÄMTLANDS LÄN</t>
        </is>
      </c>
      <c r="G1629" t="inlineStr">
        <is>
          <t>STRÖMSUND</t>
        </is>
      </c>
      <c r="H1629" t="inlineStr">
        <is>
          <t>SCA</t>
        </is>
      </c>
      <c r="I1629" t="n">
        <v>4</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10089-2025</t>
        </is>
      </c>
      <c r="B1630" t="inlineStr">
        <is>
          <t>avverkningsanmälan</t>
        </is>
      </c>
      <c r="C1630" t="inlineStr">
        <is>
          <t>Föryngringsavverkning</t>
        </is>
      </c>
      <c r="D1630" s="1" t="n">
        <v>45719</v>
      </c>
      <c r="E1630" s="1" t="n">
        <v>46318</v>
      </c>
      <c r="F1630" t="inlineStr">
        <is>
          <t>JÄMTLANDS LÄN</t>
        </is>
      </c>
      <c r="G1630" t="inlineStr">
        <is>
          <t>STRÖMSUND</t>
        </is>
      </c>
      <c r="I1630" t="n">
        <v>0.9</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31091-2025</t>
        </is>
      </c>
      <c r="B1631" t="inlineStr">
        <is>
          <t>avverkningsanmälan</t>
        </is>
      </c>
      <c r="C1631" t="inlineStr">
        <is>
          <t>Föryngringsavverkning</t>
        </is>
      </c>
      <c r="D1631" s="1" t="n">
        <v>45832</v>
      </c>
      <c r="E1631" s="1" t="n">
        <v>46318</v>
      </c>
      <c r="F1631" t="inlineStr">
        <is>
          <t>JÄMTLANDS LÄN</t>
        </is>
      </c>
      <c r="G1631" t="inlineStr">
        <is>
          <t>STRÖMSUND</t>
        </is>
      </c>
      <c r="H1631" t="inlineStr">
        <is>
          <t>SCA</t>
        </is>
      </c>
      <c r="I1631" t="n">
        <v>6.5</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45074-2022</t>
        </is>
      </c>
      <c r="B1632" t="inlineStr">
        <is>
          <t>avverkningsanmälan</t>
        </is>
      </c>
      <c r="C1632" t="inlineStr">
        <is>
          <t>Föryngringsavverkning</t>
        </is>
      </c>
      <c r="D1632" s="1" t="n">
        <v>44841</v>
      </c>
      <c r="E1632" s="1" t="n">
        <v>46318</v>
      </c>
      <c r="F1632" t="inlineStr">
        <is>
          <t>JÄMTLANDS LÄN</t>
        </is>
      </c>
      <c r="G1632" t="inlineStr">
        <is>
          <t>STRÖMSUND</t>
        </is>
      </c>
      <c r="H1632" t="inlineStr">
        <is>
          <t>SCA</t>
        </is>
      </c>
      <c r="I1632" t="n">
        <v>0.4</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42169-2025</t>
        </is>
      </c>
      <c r="B1633" t="inlineStr">
        <is>
          <t>avverkningsanmälan</t>
        </is>
      </c>
      <c r="C1633" t="inlineStr">
        <is>
          <t>Föryngringsavverkning</t>
        </is>
      </c>
      <c r="D1633" s="1" t="n">
        <v>45904</v>
      </c>
      <c r="E1633" s="1" t="n">
        <v>46318</v>
      </c>
      <c r="F1633" t="inlineStr">
        <is>
          <t>JÄMTLANDS LÄN</t>
        </is>
      </c>
      <c r="G1633" t="inlineStr">
        <is>
          <t>STRÖMSUND</t>
        </is>
      </c>
      <c r="H1633" t="inlineStr">
        <is>
          <t>SCA</t>
        </is>
      </c>
      <c r="I1633" t="n">
        <v>3.5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32231-2023</t>
        </is>
      </c>
      <c r="B1634" t="inlineStr">
        <is>
          <t>avverkningsanmälan</t>
        </is>
      </c>
      <c r="C1634" t="inlineStr">
        <is>
          <t>Föryngringsavverkning</t>
        </is>
      </c>
      <c r="D1634" s="1" t="n">
        <v>45119</v>
      </c>
      <c r="E1634" s="1" t="n">
        <v>46318</v>
      </c>
      <c r="F1634" t="inlineStr">
        <is>
          <t>JÄMTLANDS LÄN</t>
        </is>
      </c>
      <c r="G1634" t="inlineStr">
        <is>
          <t>STRÖMSUND</t>
        </is>
      </c>
      <c r="H1634" t="inlineStr">
        <is>
          <t>SCA</t>
        </is>
      </c>
      <c r="I1634" t="n">
        <v>3.3</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59367-2022</t>
        </is>
      </c>
      <c r="B1635" t="inlineStr">
        <is>
          <t>avverkningsanmälan</t>
        </is>
      </c>
      <c r="C1635" t="inlineStr">
        <is>
          <t>Föryngringsavverkning</t>
        </is>
      </c>
      <c r="D1635" s="1" t="n">
        <v>44904</v>
      </c>
      <c r="E1635" s="1" t="n">
        <v>46318</v>
      </c>
      <c r="F1635" t="inlineStr">
        <is>
          <t>JÄMTLANDS LÄN</t>
        </is>
      </c>
      <c r="G1635" t="inlineStr">
        <is>
          <t>STRÖMSUND</t>
        </is>
      </c>
      <c r="H1635" t="inlineStr">
        <is>
          <t>SCA</t>
        </is>
      </c>
      <c r="I1635" t="n">
        <v>3.3</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35279-2023</t>
        </is>
      </c>
      <c r="B1636" t="inlineStr">
        <is>
          <t>avverkningsanmälan</t>
        </is>
      </c>
      <c r="C1636" t="inlineStr">
        <is>
          <t>Föryngringsavverkning</t>
        </is>
      </c>
      <c r="D1636" s="1" t="n">
        <v>45145</v>
      </c>
      <c r="E1636" s="1" t="n">
        <v>46318</v>
      </c>
      <c r="F1636" t="inlineStr">
        <is>
          <t>JÄMTLANDS LÄN</t>
        </is>
      </c>
      <c r="G1636" t="inlineStr">
        <is>
          <t>STRÖMSUND</t>
        </is>
      </c>
      <c r="H1636" t="inlineStr">
        <is>
          <t>SCA</t>
        </is>
      </c>
      <c r="I1636" t="n">
        <v>1.5</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31710-2024</t>
        </is>
      </c>
      <c r="B1637" t="inlineStr">
        <is>
          <t>avverkningsanmälan</t>
        </is>
      </c>
      <c r="C1637" t="inlineStr">
        <is>
          <t>Föryngringsavverkning</t>
        </is>
      </c>
      <c r="D1637" s="1" t="n">
        <v>45508</v>
      </c>
      <c r="E1637" s="1" t="n">
        <v>46318</v>
      </c>
      <c r="F1637" t="inlineStr">
        <is>
          <t>JÄMTLANDS LÄN</t>
        </is>
      </c>
      <c r="G1637" t="inlineStr">
        <is>
          <t>STRÖMSUND</t>
        </is>
      </c>
      <c r="H1637" t="inlineStr">
        <is>
          <t>SCA</t>
        </is>
      </c>
      <c r="I1637" t="n">
        <v>4.7</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45411-2024</t>
        </is>
      </c>
      <c r="B1638" t="inlineStr">
        <is>
          <t>avverkningsanmälan</t>
        </is>
      </c>
      <c r="C1638" t="inlineStr">
        <is>
          <t>Föryngringsavverkning</t>
        </is>
      </c>
      <c r="D1638" s="1" t="n">
        <v>45576</v>
      </c>
      <c r="E1638" s="1" t="n">
        <v>46318</v>
      </c>
      <c r="F1638" t="inlineStr">
        <is>
          <t>JÄMTLANDS LÄN</t>
        </is>
      </c>
      <c r="G1638" t="inlineStr">
        <is>
          <t>STRÖMSUND</t>
        </is>
      </c>
      <c r="H1638" t="inlineStr">
        <is>
          <t>SCA</t>
        </is>
      </c>
      <c r="I1638" t="n">
        <v>6.7</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57963-2024</t>
        </is>
      </c>
      <c r="B1639" t="inlineStr">
        <is>
          <t>avverkningsanmälan</t>
        </is>
      </c>
      <c r="C1639" t="inlineStr">
        <is>
          <t>Föryngringsavverkning</t>
        </is>
      </c>
      <c r="D1639" s="1" t="n">
        <v>45631</v>
      </c>
      <c r="E1639" s="1" t="n">
        <v>46318</v>
      </c>
      <c r="F1639" t="inlineStr">
        <is>
          <t>JÄMTLANDS LÄN</t>
        </is>
      </c>
      <c r="G1639" t="inlineStr">
        <is>
          <t>STRÖMSUND</t>
        </is>
      </c>
      <c r="H1639" t="inlineStr">
        <is>
          <t>SCA</t>
        </is>
      </c>
      <c r="I1639" t="n">
        <v>1.5</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21129-2025</t>
        </is>
      </c>
      <c r="B1640" t="inlineStr">
        <is>
          <t>avverkningsanmälan</t>
        </is>
      </c>
      <c r="C1640" t="inlineStr">
        <is>
          <t>Föryngringsavverkning</t>
        </is>
      </c>
      <c r="D1640" s="1" t="n">
        <v>45778</v>
      </c>
      <c r="E1640" s="1" t="n">
        <v>46318</v>
      </c>
      <c r="F1640" t="inlineStr">
        <is>
          <t>JÄMTLANDS LÄN</t>
        </is>
      </c>
      <c r="G1640" t="inlineStr">
        <is>
          <t>STRÖMSUND</t>
        </is>
      </c>
      <c r="H1640" t="inlineStr">
        <is>
          <t>SCA</t>
        </is>
      </c>
      <c r="I1640" t="n">
        <v>2.3</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22452-2024</t>
        </is>
      </c>
      <c r="B1641" t="inlineStr">
        <is>
          <t>avverkningsanmälan</t>
        </is>
      </c>
      <c r="C1641" t="inlineStr">
        <is>
          <t>Föryngringsavverkning</t>
        </is>
      </c>
      <c r="D1641" s="1" t="n">
        <v>45446</v>
      </c>
      <c r="E1641" s="1" t="n">
        <v>46318</v>
      </c>
      <c r="F1641" t="inlineStr">
        <is>
          <t>JÄMTLANDS LÄN</t>
        </is>
      </c>
      <c r="G1641" t="inlineStr">
        <is>
          <t>STRÖMSUND</t>
        </is>
      </c>
      <c r="H1641" t="inlineStr">
        <is>
          <t>SCA</t>
        </is>
      </c>
      <c r="I1641" t="n">
        <v>0.7</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22481-2024</t>
        </is>
      </c>
      <c r="B1642" t="inlineStr">
        <is>
          <t>avverkningsanmälan</t>
        </is>
      </c>
      <c r="C1642" t="inlineStr">
        <is>
          <t>Föryngringsavverkning</t>
        </is>
      </c>
      <c r="D1642" s="1" t="n">
        <v>45446</v>
      </c>
      <c r="E1642" s="1" t="n">
        <v>46318</v>
      </c>
      <c r="F1642" t="inlineStr">
        <is>
          <t>JÄMTLANDS LÄN</t>
        </is>
      </c>
      <c r="G1642" t="inlineStr">
        <is>
          <t>STRÖMSUND</t>
        </is>
      </c>
      <c r="H1642" t="inlineStr">
        <is>
          <t>SCA</t>
        </is>
      </c>
      <c r="I1642" t="n">
        <v>1.5</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36699-2022</t>
        </is>
      </c>
      <c r="B1643" t="inlineStr">
        <is>
          <t>avverkningsanmälan</t>
        </is>
      </c>
      <c r="C1643" t="inlineStr">
        <is>
          <t>Föryngringsavverkning</t>
        </is>
      </c>
      <c r="D1643" s="1" t="n">
        <v>44804</v>
      </c>
      <c r="E1643" s="1" t="n">
        <v>46318</v>
      </c>
      <c r="F1643" t="inlineStr">
        <is>
          <t>JÄMTLANDS LÄN</t>
        </is>
      </c>
      <c r="G1643" t="inlineStr">
        <is>
          <t>STRÖMSUND</t>
        </is>
      </c>
      <c r="H1643" t="inlineStr">
        <is>
          <t>SCA</t>
        </is>
      </c>
      <c r="I1643" t="n">
        <v>1.4</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25365-2024</t>
        </is>
      </c>
      <c r="B1644" t="inlineStr">
        <is>
          <t>avverkningsanmälan</t>
        </is>
      </c>
      <c r="C1644" t="inlineStr">
        <is>
          <t>Föryngringsavverkning</t>
        </is>
      </c>
      <c r="D1644" s="1" t="n">
        <v>45462</v>
      </c>
      <c r="E1644" s="1" t="n">
        <v>46318</v>
      </c>
      <c r="F1644" t="inlineStr">
        <is>
          <t>JÄMTLANDS LÄN</t>
        </is>
      </c>
      <c r="G1644" t="inlineStr">
        <is>
          <t>STRÖMSUND</t>
        </is>
      </c>
      <c r="H1644" t="inlineStr">
        <is>
          <t>SCA</t>
        </is>
      </c>
      <c r="I1644" t="n">
        <v>6.8</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12188-2025</t>
        </is>
      </c>
      <c r="B1645" t="inlineStr">
        <is>
          <t>avverkningsanmälan</t>
        </is>
      </c>
      <c r="C1645" t="inlineStr">
        <is>
          <t>Föryngringsavverkning</t>
        </is>
      </c>
      <c r="D1645" s="1" t="n">
        <v>45729</v>
      </c>
      <c r="E1645" s="1" t="n">
        <v>46318</v>
      </c>
      <c r="F1645" t="inlineStr">
        <is>
          <t>JÄMTLANDS LÄN</t>
        </is>
      </c>
      <c r="G1645" t="inlineStr">
        <is>
          <t>STRÖMSUND</t>
        </is>
      </c>
      <c r="H1645" t="inlineStr">
        <is>
          <t>SCA</t>
        </is>
      </c>
      <c r="I1645" t="n">
        <v>1.9</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19413-2025</t>
        </is>
      </c>
      <c r="B1646" t="inlineStr">
        <is>
          <t>avverkningsanmälan</t>
        </is>
      </c>
      <c r="C1646" t="inlineStr">
        <is>
          <t>Föryngringsavverkning</t>
        </is>
      </c>
      <c r="D1646" s="1" t="n">
        <v>45769</v>
      </c>
      <c r="E1646" s="1" t="n">
        <v>46318</v>
      </c>
      <c r="F1646" t="inlineStr">
        <is>
          <t>JÄMTLANDS LÄN</t>
        </is>
      </c>
      <c r="G1646" t="inlineStr">
        <is>
          <t>STRÖMSUND</t>
        </is>
      </c>
      <c r="H1646" t="inlineStr">
        <is>
          <t>SCA</t>
        </is>
      </c>
      <c r="I1646" t="n">
        <v>1</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24956-2025</t>
        </is>
      </c>
      <c r="B1647" t="inlineStr">
        <is>
          <t>avverkningsanmälan</t>
        </is>
      </c>
      <c r="C1647" t="inlineStr">
        <is>
          <t>Föryngringsavverkning</t>
        </is>
      </c>
      <c r="D1647" s="1" t="n">
        <v>45799</v>
      </c>
      <c r="E1647" s="1" t="n">
        <v>46318</v>
      </c>
      <c r="F1647" t="inlineStr">
        <is>
          <t>JÄMTLANDS LÄN</t>
        </is>
      </c>
      <c r="G1647" t="inlineStr">
        <is>
          <t>STRÖMSUND</t>
        </is>
      </c>
      <c r="H1647" t="inlineStr">
        <is>
          <t>SCA</t>
        </is>
      </c>
      <c r="I1647" t="n">
        <v>1.8</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36444-2025</t>
        </is>
      </c>
      <c r="B1648" t="inlineStr">
        <is>
          <t>avverkningsanmälan</t>
        </is>
      </c>
      <c r="C1648" t="inlineStr">
        <is>
          <t>Föryngringsavverkning</t>
        </is>
      </c>
      <c r="D1648" s="1" t="n">
        <v>45869</v>
      </c>
      <c r="E1648" s="1" t="n">
        <v>46318</v>
      </c>
      <c r="F1648" t="inlineStr">
        <is>
          <t>JÄMTLANDS LÄN</t>
        </is>
      </c>
      <c r="G1648" t="inlineStr">
        <is>
          <t>STRÖMSUND</t>
        </is>
      </c>
      <c r="H1648" t="inlineStr">
        <is>
          <t>SCA</t>
        </is>
      </c>
      <c r="I1648" t="n">
        <v>2.4</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66488-2021</t>
        </is>
      </c>
      <c r="B1649" t="inlineStr">
        <is>
          <t>avverkningsanmälan</t>
        </is>
      </c>
      <c r="C1649" t="inlineStr">
        <is>
          <t>Föryngringsavverkning</t>
        </is>
      </c>
      <c r="D1649" s="1" t="n">
        <v>44518</v>
      </c>
      <c r="E1649" s="1" t="n">
        <v>46318</v>
      </c>
      <c r="F1649" t="inlineStr">
        <is>
          <t>JÄMTLANDS LÄN</t>
        </is>
      </c>
      <c r="G1649" t="inlineStr">
        <is>
          <t>STRÖMSUND</t>
        </is>
      </c>
      <c r="H1649" t="inlineStr">
        <is>
          <t>SCA</t>
        </is>
      </c>
      <c r="I1649" t="n">
        <v>1.8</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20597-2023</t>
        </is>
      </c>
      <c r="B1650" t="inlineStr">
        <is>
          <t>avverkningsanmälan</t>
        </is>
      </c>
      <c r="C1650" t="inlineStr">
        <is>
          <t>Föryngringsavverkning</t>
        </is>
      </c>
      <c r="D1650" s="1" t="n">
        <v>45057</v>
      </c>
      <c r="E1650" s="1" t="n">
        <v>46318</v>
      </c>
      <c r="F1650" t="inlineStr">
        <is>
          <t>JÄMTLANDS LÄN</t>
        </is>
      </c>
      <c r="G1650" t="inlineStr">
        <is>
          <t>STRÖMSUND</t>
        </is>
      </c>
      <c r="H1650" t="inlineStr">
        <is>
          <t>SCA</t>
        </is>
      </c>
      <c r="I1650" t="n">
        <v>2.8</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34891-2025</t>
        </is>
      </c>
      <c r="B1651" t="inlineStr">
        <is>
          <t>avverkningsanmälan</t>
        </is>
      </c>
      <c r="C1651" t="inlineStr">
        <is>
          <t>Föryngringsavverkning</t>
        </is>
      </c>
      <c r="D1651" s="1" t="n">
        <v>45849</v>
      </c>
      <c r="E1651" s="1" t="n">
        <v>46318</v>
      </c>
      <c r="F1651" t="inlineStr">
        <is>
          <t>JÄMTLANDS LÄN</t>
        </is>
      </c>
      <c r="G1651" t="inlineStr">
        <is>
          <t>STRÖMSUND</t>
        </is>
      </c>
      <c r="H1651" t="inlineStr">
        <is>
          <t>SCA</t>
        </is>
      </c>
      <c r="I1651" t="n">
        <v>1.5</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22745-2023</t>
        </is>
      </c>
      <c r="B1652" t="inlineStr">
        <is>
          <t>avverkningsanmälan</t>
        </is>
      </c>
      <c r="C1652" t="inlineStr">
        <is>
          <t>Föryngringsavverkning</t>
        </is>
      </c>
      <c r="D1652" s="1" t="n">
        <v>45071</v>
      </c>
      <c r="E1652" s="1" t="n">
        <v>46318</v>
      </c>
      <c r="F1652" t="inlineStr">
        <is>
          <t>JÄMTLANDS LÄN</t>
        </is>
      </c>
      <c r="G1652" t="inlineStr">
        <is>
          <t>STRÖMSUND</t>
        </is>
      </c>
      <c r="H1652" t="inlineStr">
        <is>
          <t>SCA</t>
        </is>
      </c>
      <c r="I1652" t="n">
        <v>0.8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28767-2023</t>
        </is>
      </c>
      <c r="B1653" t="inlineStr">
        <is>
          <t>avverkningsanmälan</t>
        </is>
      </c>
      <c r="C1653" t="inlineStr">
        <is>
          <t>Föryngringsavverkning</t>
        </is>
      </c>
      <c r="D1653" s="1" t="n">
        <v>45103</v>
      </c>
      <c r="E1653" s="1" t="n">
        <v>46318</v>
      </c>
      <c r="F1653" t="inlineStr">
        <is>
          <t>JÄMTLANDS LÄN</t>
        </is>
      </c>
      <c r="G1653" t="inlineStr">
        <is>
          <t>STRÖMSUND</t>
        </is>
      </c>
      <c r="H1653" t="inlineStr">
        <is>
          <t>SCA</t>
        </is>
      </c>
      <c r="I1653" t="n">
        <v>5.2</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36343-2024</t>
        </is>
      </c>
      <c r="B1654" t="inlineStr">
        <is>
          <t>avverkningsanmälan</t>
        </is>
      </c>
      <c r="C1654" t="inlineStr">
        <is>
          <t>Föryngringsavverkning</t>
        </is>
      </c>
      <c r="D1654" s="1" t="n">
        <v>45534</v>
      </c>
      <c r="E1654" s="1" t="n">
        <v>46318</v>
      </c>
      <c r="F1654" t="inlineStr">
        <is>
          <t>JÄMTLANDS LÄN</t>
        </is>
      </c>
      <c r="G1654" t="inlineStr">
        <is>
          <t>STRÖMSUND</t>
        </is>
      </c>
      <c r="H1654" t="inlineStr">
        <is>
          <t>SCA</t>
        </is>
      </c>
      <c r="I1654" t="n">
        <v>0.4</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24742-2025</t>
        </is>
      </c>
      <c r="B1655" t="inlineStr">
        <is>
          <t>avverkningsanmälan</t>
        </is>
      </c>
      <c r="C1655" t="inlineStr">
        <is>
          <t>Föryngringsavverkning</t>
        </is>
      </c>
      <c r="D1655" s="1" t="n">
        <v>45799</v>
      </c>
      <c r="E1655" s="1" t="n">
        <v>46318</v>
      </c>
      <c r="F1655" t="inlineStr">
        <is>
          <t>JÄMTLANDS LÄN</t>
        </is>
      </c>
      <c r="G1655" t="inlineStr">
        <is>
          <t>STRÖMSUND</t>
        </is>
      </c>
      <c r="H1655" t="inlineStr">
        <is>
          <t>SCA</t>
        </is>
      </c>
      <c r="I1655" t="n">
        <v>3.8</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43425-2024</t>
        </is>
      </c>
      <c r="B1656" t="inlineStr">
        <is>
          <t>avverkningsanmälan</t>
        </is>
      </c>
      <c r="C1656" t="inlineStr">
        <is>
          <t>Föryngringsavverkning</t>
        </is>
      </c>
      <c r="D1656" s="1" t="n">
        <v>45568</v>
      </c>
      <c r="E1656" s="1" t="n">
        <v>46318</v>
      </c>
      <c r="F1656" t="inlineStr">
        <is>
          <t>JÄMTLANDS LÄN</t>
        </is>
      </c>
      <c r="G1656" t="inlineStr">
        <is>
          <t>STRÖMSUND</t>
        </is>
      </c>
      <c r="H1656" t="inlineStr">
        <is>
          <t>SCA</t>
        </is>
      </c>
      <c r="I1656" t="n">
        <v>2.2</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40891-2024</t>
        </is>
      </c>
      <c r="B1657" t="inlineStr">
        <is>
          <t>avverkningsanmälan</t>
        </is>
      </c>
      <c r="C1657" t="inlineStr">
        <is>
          <t>Föryngringsavverkning</t>
        </is>
      </c>
      <c r="D1657" s="1" t="n">
        <v>45558</v>
      </c>
      <c r="E1657" s="1" t="n">
        <v>46318</v>
      </c>
      <c r="F1657" t="inlineStr">
        <is>
          <t>JÄMTLANDS LÄN</t>
        </is>
      </c>
      <c r="G1657" t="inlineStr">
        <is>
          <t>STRÖMSUND</t>
        </is>
      </c>
      <c r="H1657" t="inlineStr">
        <is>
          <t>SCA</t>
        </is>
      </c>
      <c r="I1657" t="n">
        <v>2.4</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32910-2023</t>
        </is>
      </c>
      <c r="B1658" t="inlineStr">
        <is>
          <t>avverkningsanmälan</t>
        </is>
      </c>
      <c r="C1658" t="inlineStr">
        <is>
          <t>Föryngringsavverkning</t>
        </is>
      </c>
      <c r="D1658" s="1" t="n">
        <v>45124</v>
      </c>
      <c r="E1658" s="1" t="n">
        <v>46318</v>
      </c>
      <c r="F1658" t="inlineStr">
        <is>
          <t>JÄMTLANDS LÄN</t>
        </is>
      </c>
      <c r="G1658" t="inlineStr">
        <is>
          <t>STRÖMSUND</t>
        </is>
      </c>
      <c r="H1658" t="inlineStr">
        <is>
          <t>SCA</t>
        </is>
      </c>
      <c r="I1658" t="n">
        <v>1.2</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16242-2024</t>
        </is>
      </c>
      <c r="B1659" t="inlineStr">
        <is>
          <t>avverkningsanmälan</t>
        </is>
      </c>
      <c r="C1659" t="inlineStr">
        <is>
          <t>Föryngringsavverkning</t>
        </is>
      </c>
      <c r="D1659" s="1" t="n">
        <v>45407</v>
      </c>
      <c r="E1659" s="1" t="n">
        <v>46318</v>
      </c>
      <c r="F1659" t="inlineStr">
        <is>
          <t>JÄMTLANDS LÄN</t>
        </is>
      </c>
      <c r="G1659" t="inlineStr">
        <is>
          <t>STRÖMSUND</t>
        </is>
      </c>
      <c r="H1659" t="inlineStr">
        <is>
          <t>SCA</t>
        </is>
      </c>
      <c r="I1659" t="n">
        <v>31.2</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36344-2024</t>
        </is>
      </c>
      <c r="B1660" t="inlineStr">
        <is>
          <t>avverkningsanmälan</t>
        </is>
      </c>
      <c r="C1660" t="inlineStr">
        <is>
          <t>Föryngringsavverkning</t>
        </is>
      </c>
      <c r="D1660" s="1" t="n">
        <v>45534</v>
      </c>
      <c r="E1660" s="1" t="n">
        <v>46318</v>
      </c>
      <c r="F1660" t="inlineStr">
        <is>
          <t>JÄMTLANDS LÄN</t>
        </is>
      </c>
      <c r="G1660" t="inlineStr">
        <is>
          <t>STRÖMSUND</t>
        </is>
      </c>
      <c r="I1660" t="n">
        <v>0.5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44459-2025</t>
        </is>
      </c>
      <c r="B1661" t="inlineStr">
        <is>
          <t>avverkningsanmälan</t>
        </is>
      </c>
      <c r="C1661" t="inlineStr">
        <is>
          <t>Föryngringsavverkning</t>
        </is>
      </c>
      <c r="D1661" s="1" t="n">
        <v>45916</v>
      </c>
      <c r="E1661" s="1" t="n">
        <v>46318</v>
      </c>
      <c r="F1661" t="inlineStr">
        <is>
          <t>JÄMTLANDS LÄN</t>
        </is>
      </c>
      <c r="G1661" t="inlineStr">
        <is>
          <t>STRÖMSUND</t>
        </is>
      </c>
      <c r="I1661" t="n">
        <v>1.7</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44112-2024</t>
        </is>
      </c>
      <c r="B1662" t="inlineStr">
        <is>
          <t>avverkningsanmälan</t>
        </is>
      </c>
      <c r="C1662" t="inlineStr">
        <is>
          <t>Föryngringsavverkning</t>
        </is>
      </c>
      <c r="D1662" s="1" t="n">
        <v>45572</v>
      </c>
      <c r="E1662" s="1" t="n">
        <v>46318</v>
      </c>
      <c r="F1662" t="inlineStr">
        <is>
          <t>JÄMTLANDS LÄN</t>
        </is>
      </c>
      <c r="G1662" t="inlineStr">
        <is>
          <t>STRÖMSUND</t>
        </is>
      </c>
      <c r="H1662" t="inlineStr">
        <is>
          <t>SCA</t>
        </is>
      </c>
      <c r="I1662" t="n">
        <v>1.4</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58206-2024</t>
        </is>
      </c>
      <c r="B1663" t="inlineStr">
        <is>
          <t>avverkningsanmälan</t>
        </is>
      </c>
      <c r="C1663" t="inlineStr">
        <is>
          <t>Föryngringsavverkning</t>
        </is>
      </c>
      <c r="D1663" s="1" t="n">
        <v>45632</v>
      </c>
      <c r="E1663" s="1" t="n">
        <v>46318</v>
      </c>
      <c r="F1663" t="inlineStr">
        <is>
          <t>JÄMTLANDS LÄN</t>
        </is>
      </c>
      <c r="G1663" t="inlineStr">
        <is>
          <t>STRÖMSUND</t>
        </is>
      </c>
      <c r="H1663" t="inlineStr">
        <is>
          <t>SCA</t>
        </is>
      </c>
      <c r="I1663" t="n">
        <v>2.3</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18146-2025</t>
        </is>
      </c>
      <c r="B1664" t="inlineStr">
        <is>
          <t>avverkningsanmälan</t>
        </is>
      </c>
      <c r="C1664" t="inlineStr">
        <is>
          <t>Föryngringsavverkning</t>
        </is>
      </c>
      <c r="D1664" s="1" t="n">
        <v>45761</v>
      </c>
      <c r="E1664" s="1" t="n">
        <v>46318</v>
      </c>
      <c r="F1664" t="inlineStr">
        <is>
          <t>JÄMTLANDS LÄN</t>
        </is>
      </c>
      <c r="G1664" t="inlineStr">
        <is>
          <t>STRÖMSUND</t>
        </is>
      </c>
      <c r="H1664" t="inlineStr">
        <is>
          <t>SCA</t>
        </is>
      </c>
      <c r="I1664" t="n">
        <v>2</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60319-2021</t>
        </is>
      </c>
      <c r="B1665" t="inlineStr">
        <is>
          <t>avverkningsanmälan</t>
        </is>
      </c>
      <c r="C1665" t="inlineStr">
        <is>
          <t>Föryngringsavverkning</t>
        </is>
      </c>
      <c r="D1665" s="1" t="n">
        <v>44495</v>
      </c>
      <c r="E1665" s="1" t="n">
        <v>46318</v>
      </c>
      <c r="F1665" t="inlineStr">
        <is>
          <t>JÄMTLANDS LÄN</t>
        </is>
      </c>
      <c r="G1665" t="inlineStr">
        <is>
          <t>STRÖMSUND</t>
        </is>
      </c>
      <c r="H1665" t="inlineStr">
        <is>
          <t>SCA</t>
        </is>
      </c>
      <c r="I1665" t="n">
        <v>3.5</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43062-2026</t>
        </is>
      </c>
      <c r="B1666" t="inlineStr">
        <is>
          <t>avverkningsanmälan</t>
        </is>
      </c>
      <c r="C1666" t="inlineStr">
        <is>
          <t>Föryngringsavverkning</t>
        </is>
      </c>
      <c r="D1666" s="1" t="n">
        <v>46311</v>
      </c>
      <c r="E1666" s="1" t="n">
        <v>46318</v>
      </c>
      <c r="F1666" t="inlineStr">
        <is>
          <t>JÄMTLANDS LÄN</t>
        </is>
      </c>
      <c r="G1666" t="inlineStr">
        <is>
          <t>STRÖMSUND</t>
        </is>
      </c>
      <c r="H1666" t="inlineStr">
        <is>
          <t>SCA</t>
        </is>
      </c>
      <c r="I1666" t="n">
        <v>2.5</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51941-2024</t>
        </is>
      </c>
      <c r="B1667" t="inlineStr">
        <is>
          <t>avverkningsanmälan</t>
        </is>
      </c>
      <c r="C1667" t="inlineStr">
        <is>
          <t>Föryngringsavverkning</t>
        </is>
      </c>
      <c r="D1667" s="1" t="n">
        <v>45607</v>
      </c>
      <c r="E1667" s="1" t="n">
        <v>46318</v>
      </c>
      <c r="F1667" t="inlineStr">
        <is>
          <t>JÄMTLANDS LÄN</t>
        </is>
      </c>
      <c r="G1667" t="inlineStr">
        <is>
          <t>STRÖMSUND</t>
        </is>
      </c>
      <c r="H1667" t="inlineStr">
        <is>
          <t>SCA</t>
        </is>
      </c>
      <c r="I1667" t="n">
        <v>2.9</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58646-2024</t>
        </is>
      </c>
      <c r="B1668" t="inlineStr">
        <is>
          <t>avverkningsanmälan</t>
        </is>
      </c>
      <c r="C1668" t="inlineStr">
        <is>
          <t>Föryngringsavverkning</t>
        </is>
      </c>
      <c r="D1668" s="1" t="n">
        <v>45635</v>
      </c>
      <c r="E1668" s="1" t="n">
        <v>46318</v>
      </c>
      <c r="F1668" t="inlineStr">
        <is>
          <t>JÄMTLANDS LÄN</t>
        </is>
      </c>
      <c r="G1668" t="inlineStr">
        <is>
          <t>STRÖMSUND</t>
        </is>
      </c>
      <c r="H1668" t="inlineStr">
        <is>
          <t>SCA</t>
        </is>
      </c>
      <c r="I1668" t="n">
        <v>1.7</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27946-2022</t>
        </is>
      </c>
      <c r="B1669" t="inlineStr">
        <is>
          <t>avverkningsanmälan</t>
        </is>
      </c>
      <c r="C1669" t="inlineStr">
        <is>
          <t>Föryngringsavverkning</t>
        </is>
      </c>
      <c r="D1669" s="1" t="n">
        <v>44743</v>
      </c>
      <c r="E1669" s="1" t="n">
        <v>46318</v>
      </c>
      <c r="F1669" t="inlineStr">
        <is>
          <t>JÄMTLANDS LÄN</t>
        </is>
      </c>
      <c r="G1669" t="inlineStr">
        <is>
          <t>STRÖMSUND</t>
        </is>
      </c>
      <c r="H1669" t="inlineStr">
        <is>
          <t>SCA</t>
        </is>
      </c>
      <c r="I1669" t="n">
        <v>4.2</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57012-2022</t>
        </is>
      </c>
      <c r="B1670" t="inlineStr">
        <is>
          <t>avverkningsanmälan</t>
        </is>
      </c>
      <c r="C1670" t="inlineStr">
        <is>
          <t>Föryngringsavverkning</t>
        </is>
      </c>
      <c r="D1670" s="1" t="n">
        <v>44894</v>
      </c>
      <c r="E1670" s="1" t="n">
        <v>46318</v>
      </c>
      <c r="F1670" t="inlineStr">
        <is>
          <t>JÄMTLANDS LÄN</t>
        </is>
      </c>
      <c r="G1670" t="inlineStr">
        <is>
          <t>STRÖMSUND</t>
        </is>
      </c>
      <c r="H1670" t="inlineStr">
        <is>
          <t>SCA</t>
        </is>
      </c>
      <c r="I1670" t="n">
        <v>1.6</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30064-2024</t>
        </is>
      </c>
      <c r="B1671" t="inlineStr">
        <is>
          <t>avverkningsanmälan</t>
        </is>
      </c>
      <c r="C1671" t="inlineStr">
        <is>
          <t>Föryngringsavverkning</t>
        </is>
      </c>
      <c r="D1671" s="1" t="n">
        <v>45488</v>
      </c>
      <c r="E1671" s="1" t="n">
        <v>46318</v>
      </c>
      <c r="F1671" t="inlineStr">
        <is>
          <t>JÄMTLANDS LÄN</t>
        </is>
      </c>
      <c r="G1671" t="inlineStr">
        <is>
          <t>STRÖMSUND</t>
        </is>
      </c>
      <c r="H1671" t="inlineStr">
        <is>
          <t>SCA</t>
        </is>
      </c>
      <c r="I1671" t="n">
        <v>10.2</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36100-2026</t>
        </is>
      </c>
      <c r="B1672" t="inlineStr">
        <is>
          <t>avverkningsanmälan</t>
        </is>
      </c>
      <c r="C1672" t="inlineStr">
        <is>
          <t>Föryngringsavverkning</t>
        </is>
      </c>
      <c r="D1672" s="1" t="n">
        <v>46267</v>
      </c>
      <c r="E1672" s="1" t="n">
        <v>46318</v>
      </c>
      <c r="F1672" t="inlineStr">
        <is>
          <t>JÄMTLANDS LÄN</t>
        </is>
      </c>
      <c r="G1672" t="inlineStr">
        <is>
          <t>STRÖMSUND</t>
        </is>
      </c>
      <c r="I1672" t="n">
        <v>3</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24206-2024</t>
        </is>
      </c>
      <c r="B1673" t="inlineStr">
        <is>
          <t>avverkningsanmälan</t>
        </is>
      </c>
      <c r="C1673" t="inlineStr">
        <is>
          <t>Föryngringsavverkning</t>
        </is>
      </c>
      <c r="D1673" s="1" t="n">
        <v>45456</v>
      </c>
      <c r="E1673" s="1" t="n">
        <v>46318</v>
      </c>
      <c r="F1673" t="inlineStr">
        <is>
          <t>JÄMTLANDS LÄN</t>
        </is>
      </c>
      <c r="G1673" t="inlineStr">
        <is>
          <t>STRÖMSUND</t>
        </is>
      </c>
      <c r="H1673" t="inlineStr">
        <is>
          <t>SCA</t>
        </is>
      </c>
      <c r="I1673" t="n">
        <v>1.3</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34156-2025</t>
        </is>
      </c>
      <c r="B1674" t="inlineStr">
        <is>
          <t>avverkningsanmälan</t>
        </is>
      </c>
      <c r="C1674" t="inlineStr">
        <is>
          <t>Föryngringsavverkning</t>
        </is>
      </c>
      <c r="D1674" s="1" t="n">
        <v>45845</v>
      </c>
      <c r="E1674" s="1" t="n">
        <v>46318</v>
      </c>
      <c r="F1674" t="inlineStr">
        <is>
          <t>JÄMTLANDS LÄN</t>
        </is>
      </c>
      <c r="G1674" t="inlineStr">
        <is>
          <t>STRÖMSUND</t>
        </is>
      </c>
      <c r="H1674" t="inlineStr">
        <is>
          <t>SCA</t>
        </is>
      </c>
      <c r="I1674" t="n">
        <v>7.6</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28000-2025</t>
        </is>
      </c>
      <c r="B1675" t="inlineStr">
        <is>
          <t>avverkningsanmälan</t>
        </is>
      </c>
      <c r="C1675" t="inlineStr">
        <is>
          <t>Föryngringsavverkning</t>
        </is>
      </c>
      <c r="D1675" s="1" t="n">
        <v>45817</v>
      </c>
      <c r="E1675" s="1" t="n">
        <v>46318</v>
      </c>
      <c r="F1675" t="inlineStr">
        <is>
          <t>JÄMTLANDS LÄN</t>
        </is>
      </c>
      <c r="G1675" t="inlineStr">
        <is>
          <t>STRÖMSUND</t>
        </is>
      </c>
      <c r="H1675" t="inlineStr">
        <is>
          <t>SCA</t>
        </is>
      </c>
      <c r="I1675" t="n">
        <v>1.5</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34467-2025</t>
        </is>
      </c>
      <c r="B1676" t="inlineStr">
        <is>
          <t>avverkningsanmälan</t>
        </is>
      </c>
      <c r="C1676" t="inlineStr">
        <is>
          <t>Föryngringsavverkning</t>
        </is>
      </c>
      <c r="D1676" s="1" t="n">
        <v>45847</v>
      </c>
      <c r="E1676" s="1" t="n">
        <v>46318</v>
      </c>
      <c r="F1676" t="inlineStr">
        <is>
          <t>JÄMTLANDS LÄN</t>
        </is>
      </c>
      <c r="G1676" t="inlineStr">
        <is>
          <t>STRÖMSUND</t>
        </is>
      </c>
      <c r="H1676" t="inlineStr">
        <is>
          <t>SCA</t>
        </is>
      </c>
      <c r="I1676" t="n">
        <v>4.2</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36085-2026</t>
        </is>
      </c>
      <c r="B1677" t="inlineStr">
        <is>
          <t>avverkningsanmälan</t>
        </is>
      </c>
      <c r="C1677" t="inlineStr">
        <is>
          <t>Föryngringsavverkning</t>
        </is>
      </c>
      <c r="D1677" s="1" t="n">
        <v>46267</v>
      </c>
      <c r="E1677" s="1" t="n">
        <v>46318</v>
      </c>
      <c r="F1677" t="inlineStr">
        <is>
          <t>JÄMTLANDS LÄN</t>
        </is>
      </c>
      <c r="G1677" t="inlineStr">
        <is>
          <t>STRÖMSUND</t>
        </is>
      </c>
      <c r="I1677" t="n">
        <v>3.6</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28600-2026</t>
        </is>
      </c>
      <c r="B1678" t="inlineStr">
        <is>
          <t>avverkningsanmälan</t>
        </is>
      </c>
      <c r="C1678" t="inlineStr">
        <is>
          <t>Avverkning för att bevara och utveckla /försöksver</t>
        </is>
      </c>
      <c r="D1678" s="1" t="n">
        <v>46197</v>
      </c>
      <c r="E1678" s="1" t="n">
        <v>46318</v>
      </c>
      <c r="F1678" t="inlineStr">
        <is>
          <t>JÄMTLANDS LÄN</t>
        </is>
      </c>
      <c r="G1678" t="inlineStr">
        <is>
          <t>STRÖMSUND</t>
        </is>
      </c>
      <c r="H1678" t="inlineStr">
        <is>
          <t>SCA</t>
        </is>
      </c>
      <c r="I1678" t="n">
        <v>1.5</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12713-2026</t>
        </is>
      </c>
      <c r="B1679" t="inlineStr">
        <is>
          <t>avverkningsanmälan</t>
        </is>
      </c>
      <c r="C1679" t="inlineStr">
        <is>
          <t>Föryngringsavverkning</t>
        </is>
      </c>
      <c r="D1679" s="1" t="n">
        <v>46091</v>
      </c>
      <c r="E1679" s="1" t="n">
        <v>46318</v>
      </c>
      <c r="F1679" t="inlineStr">
        <is>
          <t>JÄMTLANDS LÄN</t>
        </is>
      </c>
      <c r="G1679" t="inlineStr">
        <is>
          <t>STRÖMSUND</t>
        </is>
      </c>
      <c r="H1679" t="inlineStr">
        <is>
          <t>SCA</t>
        </is>
      </c>
      <c r="I1679" t="n">
        <v>22.5</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28443-2026</t>
        </is>
      </c>
      <c r="B1680" t="inlineStr">
        <is>
          <t>avverkningsanmälan</t>
        </is>
      </c>
      <c r="C1680" t="inlineStr">
        <is>
          <t>Föryngringsavverkning</t>
        </is>
      </c>
      <c r="D1680" s="1" t="n">
        <v>46197</v>
      </c>
      <c r="E1680" s="1" t="n">
        <v>46318</v>
      </c>
      <c r="F1680" t="inlineStr">
        <is>
          <t>JÄMTLANDS LÄN</t>
        </is>
      </c>
      <c r="G1680" t="inlineStr">
        <is>
          <t>STRÖMSUND</t>
        </is>
      </c>
      <c r="H1680" t="inlineStr">
        <is>
          <t>SCA</t>
        </is>
      </c>
      <c r="I1680" t="n">
        <v>26.1</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42933-2026</t>
        </is>
      </c>
      <c r="B1681" t="inlineStr">
        <is>
          <t>avverkningsanmälan</t>
        </is>
      </c>
      <c r="C1681" t="inlineStr">
        <is>
          <t>Föryngringsavverkning</t>
        </is>
      </c>
      <c r="D1681" s="1" t="n">
        <v>46310</v>
      </c>
      <c r="E1681" s="1" t="n">
        <v>46318</v>
      </c>
      <c r="F1681" t="inlineStr">
        <is>
          <t>JÄMTLANDS LÄN</t>
        </is>
      </c>
      <c r="G1681" t="inlineStr">
        <is>
          <t>STRÖMSUND</t>
        </is>
      </c>
      <c r="H1681" t="inlineStr">
        <is>
          <t>SCA</t>
        </is>
      </c>
      <c r="I1681" t="n">
        <v>0.8</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11426-2026</t>
        </is>
      </c>
      <c r="B1682" t="inlineStr">
        <is>
          <t>avverkningsanmälan</t>
        </is>
      </c>
      <c r="C1682" t="inlineStr">
        <is>
          <t>Föryngringsavverkning</t>
        </is>
      </c>
      <c r="D1682" s="1" t="n">
        <v>46083</v>
      </c>
      <c r="E1682" s="1" t="n">
        <v>46318</v>
      </c>
      <c r="F1682" t="inlineStr">
        <is>
          <t>JÄMTLANDS LÄN</t>
        </is>
      </c>
      <c r="G1682" t="inlineStr">
        <is>
          <t>STRÖMSUND</t>
        </is>
      </c>
      <c r="H1682" t="inlineStr">
        <is>
          <t>SCA</t>
        </is>
      </c>
      <c r="I1682" t="n">
        <v>9.6</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28412-2026</t>
        </is>
      </c>
      <c r="B1683" t="inlineStr">
        <is>
          <t>avverkningsanmälan</t>
        </is>
      </c>
      <c r="C1683" t="inlineStr">
        <is>
          <t>Avverkning för att bevara och utveckla /försöksver</t>
        </is>
      </c>
      <c r="D1683" s="1" t="n">
        <v>46197</v>
      </c>
      <c r="E1683" s="1" t="n">
        <v>46318</v>
      </c>
      <c r="F1683" t="inlineStr">
        <is>
          <t>JÄMTLANDS LÄN</t>
        </is>
      </c>
      <c r="G1683" t="inlineStr">
        <is>
          <t>STRÖMSUND</t>
        </is>
      </c>
      <c r="H1683" t="inlineStr">
        <is>
          <t>SCA</t>
        </is>
      </c>
      <c r="I1683" t="n">
        <v>1.1</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28646-2026</t>
        </is>
      </c>
      <c r="B1684" t="inlineStr">
        <is>
          <t>avverkningsanmälan</t>
        </is>
      </c>
      <c r="C1684" t="inlineStr">
        <is>
          <t>Föryngringsavverkning</t>
        </is>
      </c>
      <c r="D1684" s="1" t="n">
        <v>46198</v>
      </c>
      <c r="E1684" s="1" t="n">
        <v>46318</v>
      </c>
      <c r="F1684" t="inlineStr">
        <is>
          <t>JÄMTLANDS LÄN</t>
        </is>
      </c>
      <c r="G1684" t="inlineStr">
        <is>
          <t>STRÖMSUND</t>
        </is>
      </c>
      <c r="I1684" t="n">
        <v>1.5</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40104-2023</t>
        </is>
      </c>
      <c r="B1685" t="inlineStr">
        <is>
          <t>avverkningsanmälan</t>
        </is>
      </c>
      <c r="C1685" t="inlineStr">
        <is>
          <t>Föryngringsavverkning</t>
        </is>
      </c>
      <c r="D1685" s="1" t="n">
        <v>45168</v>
      </c>
      <c r="E1685" s="1" t="n">
        <v>46318</v>
      </c>
      <c r="F1685" t="inlineStr">
        <is>
          <t>JÄMTLANDS LÄN</t>
        </is>
      </c>
      <c r="G1685" t="inlineStr">
        <is>
          <t>STRÖMSUND</t>
        </is>
      </c>
      <c r="H1685" t="inlineStr">
        <is>
          <t>SCA</t>
        </is>
      </c>
      <c r="I1685" t="n">
        <v>1.5</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36656-2026</t>
        </is>
      </c>
      <c r="B1686" t="inlineStr">
        <is>
          <t>avverkningsanmälan</t>
        </is>
      </c>
      <c r="C1686" t="inlineStr">
        <is>
          <t>Föryngringsavverkning</t>
        </is>
      </c>
      <c r="D1686" s="1" t="n">
        <v>46272</v>
      </c>
      <c r="E1686" s="1" t="n">
        <v>46318</v>
      </c>
      <c r="F1686" t="inlineStr">
        <is>
          <t>JÄMTLANDS LÄN</t>
        </is>
      </c>
      <c r="G1686" t="inlineStr">
        <is>
          <t>STRÖMSUND</t>
        </is>
      </c>
      <c r="H1686" t="inlineStr">
        <is>
          <t>SCA</t>
        </is>
      </c>
      <c r="I1686" t="n">
        <v>0.7</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36785-2026</t>
        </is>
      </c>
      <c r="B1687" t="inlineStr">
        <is>
          <t>avverkningsanmälan</t>
        </is>
      </c>
      <c r="C1687" t="inlineStr">
        <is>
          <t>Föryngringsavverkning</t>
        </is>
      </c>
      <c r="D1687" s="1" t="n">
        <v>46272</v>
      </c>
      <c r="E1687" s="1" t="n">
        <v>46318</v>
      </c>
      <c r="F1687" t="inlineStr">
        <is>
          <t>JÄMTLANDS LÄN</t>
        </is>
      </c>
      <c r="G1687" t="inlineStr">
        <is>
          <t>STRÖMSUND</t>
        </is>
      </c>
      <c r="H1687" t="inlineStr">
        <is>
          <t>Övriga statliga verk och myndigheter</t>
        </is>
      </c>
      <c r="I1687" t="n">
        <v>16.8</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35728-2026</t>
        </is>
      </c>
      <c r="B1688" t="inlineStr">
        <is>
          <t>avverkningsanmälan</t>
        </is>
      </c>
      <c r="C1688" t="inlineStr">
        <is>
          <t>Föryngringsavverkning</t>
        </is>
      </c>
      <c r="D1688" s="1" t="n">
        <v>46265</v>
      </c>
      <c r="E1688" s="1" t="n">
        <v>46318</v>
      </c>
      <c r="F1688" t="inlineStr">
        <is>
          <t>JÄMTLANDS LÄN</t>
        </is>
      </c>
      <c r="G1688" t="inlineStr">
        <is>
          <t>STRÖMSUND</t>
        </is>
      </c>
      <c r="H1688" t="inlineStr">
        <is>
          <t>Holmen skog AB</t>
        </is>
      </c>
      <c r="I1688" t="n">
        <v>1.3</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42615-2026</t>
        </is>
      </c>
      <c r="B1689" t="inlineStr">
        <is>
          <t>avverkningsanmälan</t>
        </is>
      </c>
      <c r="C1689" t="inlineStr">
        <is>
          <t>Föryngringsavverkning</t>
        </is>
      </c>
      <c r="D1689" s="1" t="n">
        <v>46309</v>
      </c>
      <c r="E1689" s="1" t="n">
        <v>46318</v>
      </c>
      <c r="F1689" t="inlineStr">
        <is>
          <t>JÄMTLANDS LÄN</t>
        </is>
      </c>
      <c r="G1689" t="inlineStr">
        <is>
          <t>STRÖMSUND</t>
        </is>
      </c>
      <c r="I1689" t="n">
        <v>8.699999999999999</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13118-2026</t>
        </is>
      </c>
      <c r="B1690" t="inlineStr">
        <is>
          <t>avverkningsanmälan</t>
        </is>
      </c>
      <c r="C1690" t="inlineStr">
        <is>
          <t>Föryngringsavverkning</t>
        </is>
      </c>
      <c r="D1690" s="1" t="n">
        <v>46093</v>
      </c>
      <c r="E1690" s="1" t="n">
        <v>46318</v>
      </c>
      <c r="F1690" t="inlineStr">
        <is>
          <t>JÄMTLANDS LÄN</t>
        </is>
      </c>
      <c r="G1690" t="inlineStr">
        <is>
          <t>STRÖMSUND</t>
        </is>
      </c>
      <c r="H1690" t="inlineStr">
        <is>
          <t>SCA</t>
        </is>
      </c>
      <c r="I1690" t="n">
        <v>6.4</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41261-2025</t>
        </is>
      </c>
      <c r="B1691" t="inlineStr">
        <is>
          <t>avverkningsanmälan</t>
        </is>
      </c>
      <c r="C1691" t="inlineStr">
        <is>
          <t>Föryngringsavverkning</t>
        </is>
      </c>
      <c r="D1691" s="1" t="n">
        <v>45898</v>
      </c>
      <c r="E1691" s="1" t="n">
        <v>46318</v>
      </c>
      <c r="F1691" t="inlineStr">
        <is>
          <t>JÄMTLANDS LÄN</t>
        </is>
      </c>
      <c r="G1691" t="inlineStr">
        <is>
          <t>STRÖMSUND</t>
        </is>
      </c>
      <c r="I1691" t="n">
        <v>1.3</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41776-2026</t>
        </is>
      </c>
      <c r="B1692" t="inlineStr">
        <is>
          <t>avverkningsanmälan</t>
        </is>
      </c>
      <c r="C1692" t="inlineStr">
        <is>
          <t>Avverkning för annat ändamål</t>
        </is>
      </c>
      <c r="D1692" s="1" t="n">
        <v>46302</v>
      </c>
      <c r="E1692" s="1" t="n">
        <v>46318</v>
      </c>
      <c r="F1692" t="inlineStr">
        <is>
          <t>JÄMTLANDS LÄN</t>
        </is>
      </c>
      <c r="G1692" t="inlineStr">
        <is>
          <t>STRÖMSUND</t>
        </is>
      </c>
      <c r="H1692" t="inlineStr">
        <is>
          <t>SCA</t>
        </is>
      </c>
      <c r="I1692" t="n">
        <v>2.1</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21702-2026</t>
        </is>
      </c>
      <c r="B1693" t="inlineStr">
        <is>
          <t>avverkningsanmälan</t>
        </is>
      </c>
      <c r="C1693" t="inlineStr">
        <is>
          <t>Avverkning för annat ändamål</t>
        </is>
      </c>
      <c r="D1693" s="1" t="n">
        <v>46149</v>
      </c>
      <c r="E1693" s="1" t="n">
        <v>46318</v>
      </c>
      <c r="F1693" t="inlineStr">
        <is>
          <t>JÄMTLANDS LÄN</t>
        </is>
      </c>
      <c r="G1693" t="inlineStr">
        <is>
          <t>STRÖMSUND</t>
        </is>
      </c>
      <c r="I1693" t="n">
        <v>2.4</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21562-2026</t>
        </is>
      </c>
      <c r="B1694" t="inlineStr">
        <is>
          <t>avverkningsanmälan</t>
        </is>
      </c>
      <c r="C1694" t="inlineStr">
        <is>
          <t>Föryngringsavverkning</t>
        </is>
      </c>
      <c r="D1694" s="1" t="n">
        <v>46144</v>
      </c>
      <c r="E1694" s="1" t="n">
        <v>46318</v>
      </c>
      <c r="F1694" t="inlineStr">
        <is>
          <t>JÄMTLANDS LÄN</t>
        </is>
      </c>
      <c r="G1694" t="inlineStr">
        <is>
          <t>STRÖMSUND</t>
        </is>
      </c>
      <c r="I1694" t="n">
        <v>17.6</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6287-2024</t>
        </is>
      </c>
      <c r="B1695" t="inlineStr">
        <is>
          <t>avverkningsanmälan</t>
        </is>
      </c>
      <c r="C1695" t="inlineStr">
        <is>
          <t>Föryngringsavverkning</t>
        </is>
      </c>
      <c r="D1695" s="1" t="n">
        <v>45337</v>
      </c>
      <c r="E1695" s="1" t="n">
        <v>46318</v>
      </c>
      <c r="F1695" t="inlineStr">
        <is>
          <t>JÄMTLANDS LÄN</t>
        </is>
      </c>
      <c r="G1695" t="inlineStr">
        <is>
          <t>STRÖMSUND</t>
        </is>
      </c>
      <c r="H1695" t="inlineStr">
        <is>
          <t>SCA</t>
        </is>
      </c>
      <c r="I1695" t="n">
        <v>1.1</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13686-2023</t>
        </is>
      </c>
      <c r="B1696" t="inlineStr">
        <is>
          <t>avverkningsanmälan</t>
        </is>
      </c>
      <c r="C1696" t="inlineStr">
        <is>
          <t>Föryngringsavverkning</t>
        </is>
      </c>
      <c r="D1696" s="1" t="n">
        <v>45006</v>
      </c>
      <c r="E1696" s="1" t="n">
        <v>46318</v>
      </c>
      <c r="F1696" t="inlineStr">
        <is>
          <t>JÄMTLANDS LÄN</t>
        </is>
      </c>
      <c r="G1696" t="inlineStr">
        <is>
          <t>STRÖMSUND</t>
        </is>
      </c>
      <c r="I1696" t="n">
        <v>4.2</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13905-2026</t>
        </is>
      </c>
      <c r="B1697" t="inlineStr">
        <is>
          <t>avverkningsanmälan</t>
        </is>
      </c>
      <c r="C1697" t="inlineStr">
        <is>
          <t>Avverkning för annat ändamål</t>
        </is>
      </c>
      <c r="D1697" s="1" t="n">
        <v>46098</v>
      </c>
      <c r="E1697" s="1" t="n">
        <v>46318</v>
      </c>
      <c r="F1697" t="inlineStr">
        <is>
          <t>JÄMTLANDS LÄN</t>
        </is>
      </c>
      <c r="G1697" t="inlineStr">
        <is>
          <t>STRÖMSUND</t>
        </is>
      </c>
      <c r="I1697" t="n">
        <v>3.2</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29870-2026</t>
        </is>
      </c>
      <c r="B1698" t="inlineStr">
        <is>
          <t>avverkningsanmälan</t>
        </is>
      </c>
      <c r="C1698" t="inlineStr">
        <is>
          <t>Avverkning för annat ändamål</t>
        </is>
      </c>
      <c r="D1698" s="1" t="n">
        <v>46205</v>
      </c>
      <c r="E1698" s="1" t="n">
        <v>46318</v>
      </c>
      <c r="F1698" t="inlineStr">
        <is>
          <t>JÄMTLANDS LÄN</t>
        </is>
      </c>
      <c r="G1698" t="inlineStr">
        <is>
          <t>STRÖMSUND</t>
        </is>
      </c>
      <c r="H1698" t="inlineStr">
        <is>
          <t>SCA</t>
        </is>
      </c>
      <c r="I1698" t="n">
        <v>0.3</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26619-2026</t>
        </is>
      </c>
      <c r="B1699" t="inlineStr">
        <is>
          <t>avverkningsanmälan</t>
        </is>
      </c>
      <c r="C1699" t="inlineStr">
        <is>
          <t>Föryngringsavverkning</t>
        </is>
      </c>
      <c r="D1699" s="1" t="n">
        <v>46184</v>
      </c>
      <c r="E1699" s="1" t="n">
        <v>46318</v>
      </c>
      <c r="F1699" t="inlineStr">
        <is>
          <t>JÄMTLANDS LÄN</t>
        </is>
      </c>
      <c r="G1699" t="inlineStr">
        <is>
          <t>STRÖMSUND</t>
        </is>
      </c>
      <c r="H1699" t="inlineStr">
        <is>
          <t>SCA</t>
        </is>
      </c>
      <c r="I1699" t="n">
        <v>5.8</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34343-2024</t>
        </is>
      </c>
      <c r="B1700" t="inlineStr">
        <is>
          <t>avverkningsanmälan</t>
        </is>
      </c>
      <c r="C1700" t="inlineStr">
        <is>
          <t>Föryngringsavverkning</t>
        </is>
      </c>
      <c r="D1700" s="1" t="n">
        <v>45525</v>
      </c>
      <c r="E1700" s="1" t="n">
        <v>46318</v>
      </c>
      <c r="F1700" t="inlineStr">
        <is>
          <t>JÄMTLANDS LÄN</t>
        </is>
      </c>
      <c r="G1700" t="inlineStr">
        <is>
          <t>STRÖMSUND</t>
        </is>
      </c>
      <c r="H1700" t="inlineStr">
        <is>
          <t>Holmen skog AB</t>
        </is>
      </c>
      <c r="I1700" t="n">
        <v>1.6</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36654-2026</t>
        </is>
      </c>
      <c r="B1701" t="inlineStr">
        <is>
          <t>avverkningsanmälan</t>
        </is>
      </c>
      <c r="C1701" t="inlineStr">
        <is>
          <t>Föryngringsavverkning</t>
        </is>
      </c>
      <c r="D1701" s="1" t="n">
        <v>46272</v>
      </c>
      <c r="E1701" s="1" t="n">
        <v>46318</v>
      </c>
      <c r="F1701" t="inlineStr">
        <is>
          <t>JÄMTLANDS LÄN</t>
        </is>
      </c>
      <c r="G1701" t="inlineStr">
        <is>
          <t>STRÖMSUND</t>
        </is>
      </c>
      <c r="H1701" t="inlineStr">
        <is>
          <t>SCA</t>
        </is>
      </c>
      <c r="I1701" t="n">
        <v>2.9</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36463-2026</t>
        </is>
      </c>
      <c r="B1702" t="inlineStr">
        <is>
          <t>avverkningsanmälan</t>
        </is>
      </c>
      <c r="C1702" t="inlineStr">
        <is>
          <t>Föryngringsavverkning</t>
        </is>
      </c>
      <c r="D1702" s="1" t="n">
        <v>46269</v>
      </c>
      <c r="E1702" s="1" t="n">
        <v>46318</v>
      </c>
      <c r="F1702" t="inlineStr">
        <is>
          <t>JÄMTLANDS LÄN</t>
        </is>
      </c>
      <c r="G1702" t="inlineStr">
        <is>
          <t>STRÖMSUND</t>
        </is>
      </c>
      <c r="H1702" t="inlineStr">
        <is>
          <t>SCA</t>
        </is>
      </c>
      <c r="I1702" t="n">
        <v>2.9</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43619-2026</t>
        </is>
      </c>
      <c r="B1703" t="inlineStr">
        <is>
          <t>avverkningsanmälan</t>
        </is>
      </c>
      <c r="C1703" t="inlineStr">
        <is>
          <t>Föryngringsavverkning</t>
        </is>
      </c>
      <c r="D1703" s="1" t="n">
        <v>46315</v>
      </c>
      <c r="E1703" s="1" t="n">
        <v>46318</v>
      </c>
      <c r="F1703" t="inlineStr">
        <is>
          <t>JÄMTLANDS LÄN</t>
        </is>
      </c>
      <c r="G1703" t="inlineStr">
        <is>
          <t>STRÖMSUND</t>
        </is>
      </c>
      <c r="H1703" t="inlineStr">
        <is>
          <t>SCA</t>
        </is>
      </c>
      <c r="I1703" t="n">
        <v>8.300000000000001</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21559-2026</t>
        </is>
      </c>
      <c r="B1704" t="inlineStr">
        <is>
          <t>avverkningsanmälan</t>
        </is>
      </c>
      <c r="C1704" t="inlineStr">
        <is>
          <t>Föryngringsavverkning</t>
        </is>
      </c>
      <c r="D1704" s="1" t="n">
        <v>46144</v>
      </c>
      <c r="E1704" s="1" t="n">
        <v>46318</v>
      </c>
      <c r="F1704" t="inlineStr">
        <is>
          <t>JÄMTLANDS LÄN</t>
        </is>
      </c>
      <c r="G1704" t="inlineStr">
        <is>
          <t>STRÖMSUND</t>
        </is>
      </c>
      <c r="I1704" t="n">
        <v>10.3</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14297-2026</t>
        </is>
      </c>
      <c r="B1705" t="inlineStr">
        <is>
          <t>avverkningsanmälan</t>
        </is>
      </c>
      <c r="C1705" t="inlineStr">
        <is>
          <t>Föryngringsavverkning</t>
        </is>
      </c>
      <c r="D1705" s="1" t="n">
        <v>46099</v>
      </c>
      <c r="E1705" s="1" t="n">
        <v>46318</v>
      </c>
      <c r="F1705" t="inlineStr">
        <is>
          <t>JÄMTLANDS LÄN</t>
        </is>
      </c>
      <c r="G1705" t="inlineStr">
        <is>
          <t>STRÖMSUND</t>
        </is>
      </c>
      <c r="H1705" t="inlineStr">
        <is>
          <t>SCA</t>
        </is>
      </c>
      <c r="I1705" t="n">
        <v>2.5</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43370-2026</t>
        </is>
      </c>
      <c r="B1706" t="inlineStr">
        <is>
          <t>avverkningsanmälan</t>
        </is>
      </c>
      <c r="C1706" t="inlineStr">
        <is>
          <t>Föryngringsavverkning</t>
        </is>
      </c>
      <c r="D1706" s="1" t="n">
        <v>46314</v>
      </c>
      <c r="E1706" s="1" t="n">
        <v>46318</v>
      </c>
      <c r="F1706" t="inlineStr">
        <is>
          <t>JÄMTLANDS LÄN</t>
        </is>
      </c>
      <c r="G1706" t="inlineStr">
        <is>
          <t>STRÖMSUND</t>
        </is>
      </c>
      <c r="H1706" t="inlineStr">
        <is>
          <t>SCA</t>
        </is>
      </c>
      <c r="I1706" t="n">
        <v>1.6</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43445-2026</t>
        </is>
      </c>
      <c r="B1707" t="inlineStr">
        <is>
          <t>avverkningsanmälan</t>
        </is>
      </c>
      <c r="C1707" t="inlineStr">
        <is>
          <t>Avverkning för annat ändamål</t>
        </is>
      </c>
      <c r="D1707" s="1" t="n">
        <v>46314</v>
      </c>
      <c r="E1707" s="1" t="n">
        <v>46318</v>
      </c>
      <c r="F1707" t="inlineStr">
        <is>
          <t>JÄMTLANDS LÄN</t>
        </is>
      </c>
      <c r="G1707" t="inlineStr">
        <is>
          <t>STRÖMSUND</t>
        </is>
      </c>
      <c r="I1707" t="n">
        <v>0.7</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41277-2025</t>
        </is>
      </c>
      <c r="B1708" t="inlineStr">
        <is>
          <t>avverkningsanmälan</t>
        </is>
      </c>
      <c r="C1708" t="inlineStr">
        <is>
          <t>Föryngringsavverkning</t>
        </is>
      </c>
      <c r="D1708" s="1" t="n">
        <v>45898</v>
      </c>
      <c r="E1708" s="1" t="n">
        <v>46318</v>
      </c>
      <c r="F1708" t="inlineStr">
        <is>
          <t>JÄMTLANDS LÄN</t>
        </is>
      </c>
      <c r="G1708" t="inlineStr">
        <is>
          <t>STRÖMSUND</t>
        </is>
      </c>
      <c r="I1708" t="n">
        <v>0.8</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43568-2026</t>
        </is>
      </c>
      <c r="B1709" t="inlineStr">
        <is>
          <t>avverkningsanmälan</t>
        </is>
      </c>
      <c r="C1709" t="inlineStr">
        <is>
          <t>Föryngringsavverkning</t>
        </is>
      </c>
      <c r="D1709" s="1" t="n">
        <v>46315</v>
      </c>
      <c r="E1709" s="1" t="n">
        <v>46318</v>
      </c>
      <c r="F1709" t="inlineStr">
        <is>
          <t>JÄMTLANDS LÄN</t>
        </is>
      </c>
      <c r="G1709" t="inlineStr">
        <is>
          <t>STRÖMSUND</t>
        </is>
      </c>
      <c r="H1709" t="inlineStr">
        <is>
          <t>SCA</t>
        </is>
      </c>
      <c r="I1709" t="n">
        <v>5.1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29173-2026</t>
        </is>
      </c>
      <c r="B1710" t="inlineStr">
        <is>
          <t>avverkningsanmälan</t>
        </is>
      </c>
      <c r="C1710" t="inlineStr">
        <is>
          <t>Föryngringsavverkning</t>
        </is>
      </c>
      <c r="D1710" s="1" t="n">
        <v>46202</v>
      </c>
      <c r="E1710" s="1" t="n">
        <v>46318</v>
      </c>
      <c r="F1710" t="inlineStr">
        <is>
          <t>JÄMTLANDS LÄN</t>
        </is>
      </c>
      <c r="G1710" t="inlineStr">
        <is>
          <t>STRÖMSUND</t>
        </is>
      </c>
      <c r="H1710" t="inlineStr">
        <is>
          <t>Kyrkan</t>
        </is>
      </c>
      <c r="I1710" t="n">
        <v>20.2</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35506-2026</t>
        </is>
      </c>
      <c r="B1711" t="inlineStr">
        <is>
          <t>avverkningsanmälan</t>
        </is>
      </c>
      <c r="C1711" t="inlineStr">
        <is>
          <t>Föryngringsavverkning</t>
        </is>
      </c>
      <c r="D1711" s="1" t="n">
        <v>46262</v>
      </c>
      <c r="E1711" s="1" t="n">
        <v>46318</v>
      </c>
      <c r="F1711" t="inlineStr">
        <is>
          <t>JÄMTLANDS LÄN</t>
        </is>
      </c>
      <c r="G1711" t="inlineStr">
        <is>
          <t>STRÖMSUND</t>
        </is>
      </c>
      <c r="H1711" t="inlineStr">
        <is>
          <t>Holmen skog AB</t>
        </is>
      </c>
      <c r="I1711" t="n">
        <v>4.3</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14522-2026</t>
        </is>
      </c>
      <c r="B1712" t="inlineStr">
        <is>
          <t>avverkningsanmälan</t>
        </is>
      </c>
      <c r="C1712" t="inlineStr">
        <is>
          <t>Föryngringsavverkning</t>
        </is>
      </c>
      <c r="D1712" s="1" t="n">
        <v>46100</v>
      </c>
      <c r="E1712" s="1" t="n">
        <v>46318</v>
      </c>
      <c r="F1712" t="inlineStr">
        <is>
          <t>JÄMTLANDS LÄN</t>
        </is>
      </c>
      <c r="G1712" t="inlineStr">
        <is>
          <t>STRÖMSUND</t>
        </is>
      </c>
      <c r="H1712" t="inlineStr">
        <is>
          <t>SCA</t>
        </is>
      </c>
      <c r="I1712" t="n">
        <v>5</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43444-2026</t>
        </is>
      </c>
      <c r="B1713" t="inlineStr">
        <is>
          <t>avverkningsanmälan</t>
        </is>
      </c>
      <c r="C1713" t="inlineStr">
        <is>
          <t>Avverkning för annat ändamål</t>
        </is>
      </c>
      <c r="D1713" s="1" t="n">
        <v>46314</v>
      </c>
      <c r="E1713" s="1" t="n">
        <v>46318</v>
      </c>
      <c r="F1713" t="inlineStr">
        <is>
          <t>JÄMTLANDS LÄN</t>
        </is>
      </c>
      <c r="G1713" t="inlineStr">
        <is>
          <t>STRÖMSUND</t>
        </is>
      </c>
      <c r="I1713" t="n">
        <v>0.6</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14292-2026</t>
        </is>
      </c>
      <c r="B1714" t="inlineStr">
        <is>
          <t>avverkningsanmälan</t>
        </is>
      </c>
      <c r="C1714" t="inlineStr">
        <is>
          <t>Föryngringsavverkning</t>
        </is>
      </c>
      <c r="D1714" s="1" t="n">
        <v>46099</v>
      </c>
      <c r="E1714" s="1" t="n">
        <v>46318</v>
      </c>
      <c r="F1714" t="inlineStr">
        <is>
          <t>JÄMTLANDS LÄN</t>
        </is>
      </c>
      <c r="G1714" t="inlineStr">
        <is>
          <t>STRÖMSUND</t>
        </is>
      </c>
      <c r="H1714" t="inlineStr">
        <is>
          <t>SCA</t>
        </is>
      </c>
      <c r="I1714" t="n">
        <v>9.699999999999999</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43395-2026</t>
        </is>
      </c>
      <c r="B1715" t="inlineStr">
        <is>
          <t>avverkningsanmälan</t>
        </is>
      </c>
      <c r="C1715" t="inlineStr">
        <is>
          <t>Föryngringsavverkning</t>
        </is>
      </c>
      <c r="D1715" s="1" t="n">
        <v>46314</v>
      </c>
      <c r="E1715" s="1" t="n">
        <v>46318</v>
      </c>
      <c r="F1715" t="inlineStr">
        <is>
          <t>JÄMTLANDS LÄN</t>
        </is>
      </c>
      <c r="G1715" t="inlineStr">
        <is>
          <t>STRÖMSUND</t>
        </is>
      </c>
      <c r="H1715" t="inlineStr">
        <is>
          <t>SCA</t>
        </is>
      </c>
      <c r="I1715" t="n">
        <v>1.9</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14477-2026</t>
        </is>
      </c>
      <c r="B1716" t="inlineStr">
        <is>
          <t>avverkningsanmälan</t>
        </is>
      </c>
      <c r="C1716" t="inlineStr">
        <is>
          <t>Föryngringsavverkning</t>
        </is>
      </c>
      <c r="D1716" s="1" t="n">
        <v>46100</v>
      </c>
      <c r="E1716" s="1" t="n">
        <v>46318</v>
      </c>
      <c r="F1716" t="inlineStr">
        <is>
          <t>JÄMTLANDS LÄN</t>
        </is>
      </c>
      <c r="G1716" t="inlineStr">
        <is>
          <t>STRÖMSUND</t>
        </is>
      </c>
      <c r="H1716" t="inlineStr">
        <is>
          <t>SCA</t>
        </is>
      </c>
      <c r="I1716" t="n">
        <v>5.5</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14476-2026</t>
        </is>
      </c>
      <c r="B1717" t="inlineStr">
        <is>
          <t>avverkningsanmälan</t>
        </is>
      </c>
      <c r="C1717" t="inlineStr">
        <is>
          <t>Föryngringsavverkning</t>
        </is>
      </c>
      <c r="D1717" s="1" t="n">
        <v>46100</v>
      </c>
      <c r="E1717" s="1" t="n">
        <v>46318</v>
      </c>
      <c r="F1717" t="inlineStr">
        <is>
          <t>JÄMTLANDS LÄN</t>
        </is>
      </c>
      <c r="G1717" t="inlineStr">
        <is>
          <t>STRÖMSUND</t>
        </is>
      </c>
      <c r="H1717" t="inlineStr">
        <is>
          <t>SCA</t>
        </is>
      </c>
      <c r="I1717" t="n">
        <v>1.3</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29399-2026</t>
        </is>
      </c>
      <c r="B1718" t="inlineStr">
        <is>
          <t>avverkningsanmälan</t>
        </is>
      </c>
      <c r="C1718" t="inlineStr">
        <is>
          <t>Föryngringsavverkning</t>
        </is>
      </c>
      <c r="D1718" s="1" t="n">
        <v>46203</v>
      </c>
      <c r="E1718" s="1" t="n">
        <v>46318</v>
      </c>
      <c r="F1718" t="inlineStr">
        <is>
          <t>JÄMTLANDS LÄN</t>
        </is>
      </c>
      <c r="G1718" t="inlineStr">
        <is>
          <t>STRÖMSUND</t>
        </is>
      </c>
      <c r="I1718" t="n">
        <v>1.6</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35835-2026</t>
        </is>
      </c>
      <c r="B1719" t="inlineStr">
        <is>
          <t>avverkningsanmälan</t>
        </is>
      </c>
      <c r="C1719" t="inlineStr">
        <is>
          <t>Föryngringsavverkning</t>
        </is>
      </c>
      <c r="D1719" s="1" t="n">
        <v>46265</v>
      </c>
      <c r="E1719" s="1" t="n">
        <v>46318</v>
      </c>
      <c r="F1719" t="inlineStr">
        <is>
          <t>JÄMTLANDS LÄN</t>
        </is>
      </c>
      <c r="G1719" t="inlineStr">
        <is>
          <t>STRÖMSUND</t>
        </is>
      </c>
      <c r="H1719" t="inlineStr">
        <is>
          <t>SCA</t>
        </is>
      </c>
      <c r="I1719" t="n">
        <v>3.2</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29503-2026</t>
        </is>
      </c>
      <c r="B1720" t="inlineStr">
        <is>
          <t>avverkningsanmälan</t>
        </is>
      </c>
      <c r="C1720" t="inlineStr">
        <is>
          <t>Föryngringsavverkning</t>
        </is>
      </c>
      <c r="D1720" s="1" t="n">
        <v>46203</v>
      </c>
      <c r="E1720" s="1" t="n">
        <v>46318</v>
      </c>
      <c r="F1720" t="inlineStr">
        <is>
          <t>JÄMTLANDS LÄN</t>
        </is>
      </c>
      <c r="G1720" t="inlineStr">
        <is>
          <t>STRÖMSUND</t>
        </is>
      </c>
      <c r="H1720" t="inlineStr">
        <is>
          <t>SCA</t>
        </is>
      </c>
      <c r="I1720" t="n">
        <v>2.9</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29561-2026</t>
        </is>
      </c>
      <c r="B1721" t="inlineStr">
        <is>
          <t>avverkningsanmälan</t>
        </is>
      </c>
      <c r="C1721" t="inlineStr">
        <is>
          <t>Föryngringsavverkning</t>
        </is>
      </c>
      <c r="D1721" s="1" t="n">
        <v>46204</v>
      </c>
      <c r="E1721" s="1" t="n">
        <v>46318</v>
      </c>
      <c r="F1721" t="inlineStr">
        <is>
          <t>JÄMTLANDS LÄN</t>
        </is>
      </c>
      <c r="G1721" t="inlineStr">
        <is>
          <t>STRÖMSUND</t>
        </is>
      </c>
      <c r="H1721" t="inlineStr">
        <is>
          <t>SCA</t>
        </is>
      </c>
      <c r="I1721" t="n">
        <v>3.7</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29585-2026</t>
        </is>
      </c>
      <c r="B1722" t="inlineStr">
        <is>
          <t>avverkningsanmälan</t>
        </is>
      </c>
      <c r="C1722" t="inlineStr">
        <is>
          <t>Avverkning för att bevara och utveckla /försöksver</t>
        </is>
      </c>
      <c r="D1722" s="1" t="n">
        <v>46204</v>
      </c>
      <c r="E1722" s="1" t="n">
        <v>46318</v>
      </c>
      <c r="F1722" t="inlineStr">
        <is>
          <t>JÄMTLANDS LÄN</t>
        </is>
      </c>
      <c r="G1722" t="inlineStr">
        <is>
          <t>STRÖMSUND</t>
        </is>
      </c>
      <c r="H1722" t="inlineStr">
        <is>
          <t>SCA</t>
        </is>
      </c>
      <c r="I1722" t="n">
        <v>2.1</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15001-2026</t>
        </is>
      </c>
      <c r="B1723" t="inlineStr">
        <is>
          <t>avverkningsanmälan</t>
        </is>
      </c>
      <c r="C1723" t="inlineStr">
        <is>
          <t>Föryngringsavverkning</t>
        </is>
      </c>
      <c r="D1723" s="1" t="n">
        <v>46104</v>
      </c>
      <c r="E1723" s="1" t="n">
        <v>46318</v>
      </c>
      <c r="F1723" t="inlineStr">
        <is>
          <t>JÄMTLANDS LÄN</t>
        </is>
      </c>
      <c r="G1723" t="inlineStr">
        <is>
          <t>STRÖMSUND</t>
        </is>
      </c>
      <c r="I1723" t="n">
        <v>2.8</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29473-2026</t>
        </is>
      </c>
      <c r="B1724" t="inlineStr">
        <is>
          <t>avverkningsanmälan</t>
        </is>
      </c>
      <c r="C1724" t="inlineStr">
        <is>
          <t>Avverkning för annat ändamål</t>
        </is>
      </c>
      <c r="D1724" s="1" t="n">
        <v>46203</v>
      </c>
      <c r="E1724" s="1" t="n">
        <v>46318</v>
      </c>
      <c r="F1724" t="inlineStr">
        <is>
          <t>JÄMTLANDS LÄN</t>
        </is>
      </c>
      <c r="G1724" t="inlineStr">
        <is>
          <t>STRÖMSUND</t>
        </is>
      </c>
      <c r="H1724" t="inlineStr">
        <is>
          <t>SCA</t>
        </is>
      </c>
      <c r="I1724" t="n">
        <v>2.4</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43446-2026</t>
        </is>
      </c>
      <c r="B1725" t="inlineStr">
        <is>
          <t>avverkningsanmälan</t>
        </is>
      </c>
      <c r="C1725" t="inlineStr">
        <is>
          <t>Avverkning för annat ändamål</t>
        </is>
      </c>
      <c r="D1725" s="1" t="n">
        <v>46314</v>
      </c>
      <c r="E1725" s="1" t="n">
        <v>46318</v>
      </c>
      <c r="F1725" t="inlineStr">
        <is>
          <t>JÄMTLANDS LÄN</t>
        </is>
      </c>
      <c r="G1725" t="inlineStr">
        <is>
          <t>STRÖMSUND</t>
        </is>
      </c>
      <c r="I1725" t="n">
        <v>0.6</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15359-2026</t>
        </is>
      </c>
      <c r="B1726" t="inlineStr">
        <is>
          <t>avverkningsanmälan</t>
        </is>
      </c>
      <c r="C1726" t="inlineStr">
        <is>
          <t>Föryngringsavverkning</t>
        </is>
      </c>
      <c r="D1726" s="1" t="n">
        <v>46105</v>
      </c>
      <c r="E1726" s="1" t="n">
        <v>46318</v>
      </c>
      <c r="F1726" t="inlineStr">
        <is>
          <t>JÄMTLANDS LÄN</t>
        </is>
      </c>
      <c r="G1726" t="inlineStr">
        <is>
          <t>STRÖMSUND</t>
        </is>
      </c>
      <c r="H1726" t="inlineStr">
        <is>
          <t>SCA</t>
        </is>
      </c>
      <c r="I1726" t="n">
        <v>1.4</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36507-2026</t>
        </is>
      </c>
      <c r="B1727" t="inlineStr">
        <is>
          <t>avverkningsanmälan</t>
        </is>
      </c>
      <c r="C1727" t="inlineStr">
        <is>
          <t>Föryngringsavverkning</t>
        </is>
      </c>
      <c r="D1727" s="1" t="n">
        <v>46269</v>
      </c>
      <c r="E1727" s="1" t="n">
        <v>46318</v>
      </c>
      <c r="F1727" t="inlineStr">
        <is>
          <t>JÄMTLANDS LÄN</t>
        </is>
      </c>
      <c r="G1727" t="inlineStr">
        <is>
          <t>STRÖMSUND</t>
        </is>
      </c>
      <c r="H1727" t="inlineStr">
        <is>
          <t>SCA</t>
        </is>
      </c>
      <c r="I1727" t="n">
        <v>4.1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36011-2026</t>
        </is>
      </c>
      <c r="B1728" t="inlineStr">
        <is>
          <t>avverkningsanmälan</t>
        </is>
      </c>
      <c r="C1728" t="inlineStr">
        <is>
          <t>Föryngringsavverkning</t>
        </is>
      </c>
      <c r="D1728" s="1" t="n">
        <v>46266</v>
      </c>
      <c r="E1728" s="1" t="n">
        <v>46318</v>
      </c>
      <c r="F1728" t="inlineStr">
        <is>
          <t>JÄMTLANDS LÄN</t>
        </is>
      </c>
      <c r="G1728" t="inlineStr">
        <is>
          <t>STRÖMSUND</t>
        </is>
      </c>
      <c r="H1728" t="inlineStr">
        <is>
          <t>SCA</t>
        </is>
      </c>
      <c r="I1728" t="n">
        <v>3.2</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43525-2026</t>
        </is>
      </c>
      <c r="B1729" t="inlineStr">
        <is>
          <t>avverkningsanmälan</t>
        </is>
      </c>
      <c r="C1729" t="inlineStr">
        <is>
          <t>Föryngringsavverkning</t>
        </is>
      </c>
      <c r="D1729" s="1" t="n">
        <v>46315</v>
      </c>
      <c r="E1729" s="1" t="n">
        <v>46318</v>
      </c>
      <c r="F1729" t="inlineStr">
        <is>
          <t>JÄMTLANDS LÄN</t>
        </is>
      </c>
      <c r="G1729" t="inlineStr">
        <is>
          <t>STRÖMSUND</t>
        </is>
      </c>
      <c r="H1729" t="inlineStr">
        <is>
          <t>Holmen skog AB</t>
        </is>
      </c>
      <c r="I1729" t="n">
        <v>1.1</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36653-2026</t>
        </is>
      </c>
      <c r="B1730" t="inlineStr">
        <is>
          <t>avverkningsanmälan</t>
        </is>
      </c>
      <c r="C1730" t="inlineStr">
        <is>
          <t>Föryngringsavverkning</t>
        </is>
      </c>
      <c r="D1730" s="1" t="n">
        <v>46272</v>
      </c>
      <c r="E1730" s="1" t="n">
        <v>46318</v>
      </c>
      <c r="F1730" t="inlineStr">
        <is>
          <t>JÄMTLANDS LÄN</t>
        </is>
      </c>
      <c r="G1730" t="inlineStr">
        <is>
          <t>STRÖMSUND</t>
        </is>
      </c>
      <c r="H1730" t="inlineStr">
        <is>
          <t>SCA</t>
        </is>
      </c>
      <c r="I1730" t="n">
        <v>1.2</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15461-2026</t>
        </is>
      </c>
      <c r="B1731" t="inlineStr">
        <is>
          <t>avverkningsanmälan</t>
        </is>
      </c>
      <c r="C1731" t="inlineStr">
        <is>
          <t>Föryngringsavverkning</t>
        </is>
      </c>
      <c r="D1731" s="1" t="n">
        <v>46106</v>
      </c>
      <c r="E1731" s="1" t="n">
        <v>46318</v>
      </c>
      <c r="F1731" t="inlineStr">
        <is>
          <t>JÄMTLANDS LÄN</t>
        </is>
      </c>
      <c r="G1731" t="inlineStr">
        <is>
          <t>STRÖMSUND</t>
        </is>
      </c>
      <c r="I1731" t="n">
        <v>1.9</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43319-2026</t>
        </is>
      </c>
      <c r="B1732" t="inlineStr">
        <is>
          <t>avverkningsanmälan</t>
        </is>
      </c>
      <c r="C1732" t="inlineStr">
        <is>
          <t>Föryngringsavverkning</t>
        </is>
      </c>
      <c r="D1732" s="1" t="n">
        <v>46314</v>
      </c>
      <c r="E1732" s="1" t="n">
        <v>46318</v>
      </c>
      <c r="F1732" t="inlineStr">
        <is>
          <t>JÄMTLANDS LÄN</t>
        </is>
      </c>
      <c r="G1732" t="inlineStr">
        <is>
          <t>STRÖMSUND</t>
        </is>
      </c>
      <c r="H1732" t="inlineStr">
        <is>
          <t>SCA</t>
        </is>
      </c>
      <c r="I1732" t="n">
        <v>4.8</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25402-2026</t>
        </is>
      </c>
      <c r="B1733" t="inlineStr">
        <is>
          <t>avverkningsanmälan</t>
        </is>
      </c>
      <c r="C1733" t="inlineStr">
        <is>
          <t>Föryngringsavverkning</t>
        </is>
      </c>
      <c r="D1733" s="1" t="n">
        <v>46174</v>
      </c>
      <c r="E1733" s="1" t="n">
        <v>46318</v>
      </c>
      <c r="F1733" t="inlineStr">
        <is>
          <t>JÄMTLANDS LÄN</t>
        </is>
      </c>
      <c r="G1733" t="inlineStr">
        <is>
          <t>STRÖMSUND</t>
        </is>
      </c>
      <c r="H1733" t="inlineStr">
        <is>
          <t>SCA</t>
        </is>
      </c>
      <c r="I1733" t="n">
        <v>7</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25642-2026</t>
        </is>
      </c>
      <c r="B1734" t="inlineStr">
        <is>
          <t>avverkningsanmälan</t>
        </is>
      </c>
      <c r="C1734" t="inlineStr">
        <is>
          <t>Föryngringsavverkning</t>
        </is>
      </c>
      <c r="D1734" s="1" t="n">
        <v>46177</v>
      </c>
      <c r="E1734" s="1" t="n">
        <v>46318</v>
      </c>
      <c r="F1734" t="inlineStr">
        <is>
          <t>JÄMTLANDS LÄN</t>
        </is>
      </c>
      <c r="G1734" t="inlineStr">
        <is>
          <t>STRÖMSUND</t>
        </is>
      </c>
      <c r="I1734" t="n">
        <v>22.1</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43480-2026</t>
        </is>
      </c>
      <c r="B1735" t="inlineStr">
        <is>
          <t>avverkningsanmälan</t>
        </is>
      </c>
      <c r="C1735" t="inlineStr">
        <is>
          <t>Föryngringsavverkning</t>
        </is>
      </c>
      <c r="D1735" s="1" t="n">
        <v>46315</v>
      </c>
      <c r="E1735" s="1" t="n">
        <v>46318</v>
      </c>
      <c r="F1735" t="inlineStr">
        <is>
          <t>JÄMTLANDS LÄN</t>
        </is>
      </c>
      <c r="G1735" t="inlineStr">
        <is>
          <t>STRÖMSUND</t>
        </is>
      </c>
      <c r="I1735" t="n">
        <v>3</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10922-2026</t>
        </is>
      </c>
      <c r="B1736" t="inlineStr">
        <is>
          <t>avverkningsanmälan</t>
        </is>
      </c>
      <c r="C1736" t="inlineStr">
        <is>
          <t>Föryngringsavverkning</t>
        </is>
      </c>
      <c r="D1736" s="1" t="n">
        <v>46079</v>
      </c>
      <c r="E1736" s="1" t="n">
        <v>46318</v>
      </c>
      <c r="F1736" t="inlineStr">
        <is>
          <t>JÄMTLANDS LÄN</t>
        </is>
      </c>
      <c r="G1736" t="inlineStr">
        <is>
          <t>STRÖMSUND</t>
        </is>
      </c>
      <c r="I1736" t="n">
        <v>7.3</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15405-2026</t>
        </is>
      </c>
      <c r="B1737" t="inlineStr">
        <is>
          <t>avverkningsanmälan</t>
        </is>
      </c>
      <c r="C1737" t="inlineStr">
        <is>
          <t>Föryngringsavverkning</t>
        </is>
      </c>
      <c r="D1737" s="1" t="n">
        <v>46106</v>
      </c>
      <c r="E1737" s="1" t="n">
        <v>46318</v>
      </c>
      <c r="F1737" t="inlineStr">
        <is>
          <t>JÄMTLANDS LÄN</t>
        </is>
      </c>
      <c r="G1737" t="inlineStr">
        <is>
          <t>STRÖMSUND</t>
        </is>
      </c>
      <c r="H1737" t="inlineStr">
        <is>
          <t>SCA</t>
        </is>
      </c>
      <c r="I1737" t="n">
        <v>10.8</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43331-2026</t>
        </is>
      </c>
      <c r="B1738" t="inlineStr">
        <is>
          <t>avverkningsanmälan</t>
        </is>
      </c>
      <c r="C1738" t="inlineStr">
        <is>
          <t>Föryngringsavverkning</t>
        </is>
      </c>
      <c r="D1738" s="1" t="n">
        <v>46314</v>
      </c>
      <c r="E1738" s="1" t="n">
        <v>46318</v>
      </c>
      <c r="F1738" t="inlineStr">
        <is>
          <t>JÄMTLANDS LÄN</t>
        </is>
      </c>
      <c r="G1738" t="inlineStr">
        <is>
          <t>STRÖMSUND</t>
        </is>
      </c>
      <c r="H1738" t="inlineStr">
        <is>
          <t>SCA</t>
        </is>
      </c>
      <c r="I1738" t="n">
        <v>16.2</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15120-2026</t>
        </is>
      </c>
      <c r="B1739" t="inlineStr">
        <is>
          <t>avverkningsanmälan</t>
        </is>
      </c>
      <c r="C1739" t="inlineStr">
        <is>
          <t>Avverkning för annat ändamål</t>
        </is>
      </c>
      <c r="D1739" s="1" t="n">
        <v>46105</v>
      </c>
      <c r="E1739" s="1" t="n">
        <v>46318</v>
      </c>
      <c r="F1739" t="inlineStr">
        <is>
          <t>JÄMTLANDS LÄN</t>
        </is>
      </c>
      <c r="G1739" t="inlineStr">
        <is>
          <t>STRÖMSUND</t>
        </is>
      </c>
      <c r="I1739" t="n">
        <v>2.8</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15303-2026</t>
        </is>
      </c>
      <c r="B1740" t="inlineStr">
        <is>
          <t>avverkningsanmälan</t>
        </is>
      </c>
      <c r="C1740" t="inlineStr">
        <is>
          <t>Föryngringsavverkning</t>
        </is>
      </c>
      <c r="D1740" s="1" t="n">
        <v>46105</v>
      </c>
      <c r="E1740" s="1" t="n">
        <v>46318</v>
      </c>
      <c r="F1740" t="inlineStr">
        <is>
          <t>JÄMTLANDS LÄN</t>
        </is>
      </c>
      <c r="G1740" t="inlineStr">
        <is>
          <t>STRÖMSUND</t>
        </is>
      </c>
      <c r="H1740" t="inlineStr">
        <is>
          <t>SCA</t>
        </is>
      </c>
      <c r="I1740" t="n">
        <v>1.8</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29502-2026</t>
        </is>
      </c>
      <c r="B1741" t="inlineStr">
        <is>
          <t>avverkningsanmälan</t>
        </is>
      </c>
      <c r="C1741" t="inlineStr">
        <is>
          <t>Föryngringsavverkning</t>
        </is>
      </c>
      <c r="D1741" s="1" t="n">
        <v>46203</v>
      </c>
      <c r="E1741" s="1" t="n">
        <v>46318</v>
      </c>
      <c r="F1741" t="inlineStr">
        <is>
          <t>JÄMTLANDS LÄN</t>
        </is>
      </c>
      <c r="G1741" t="inlineStr">
        <is>
          <t>STRÖMSUND</t>
        </is>
      </c>
      <c r="H1741" t="inlineStr">
        <is>
          <t>SCA</t>
        </is>
      </c>
      <c r="I1741" t="n">
        <v>11.1</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64913-2021</t>
        </is>
      </c>
      <c r="B1742" t="inlineStr">
        <is>
          <t>avverkningsanmälan</t>
        </is>
      </c>
      <c r="C1742" t="inlineStr">
        <is>
          <t>Avverkning för annat ändamål</t>
        </is>
      </c>
      <c r="D1742" s="1" t="n">
        <v>44512</v>
      </c>
      <c r="E1742" s="1" t="n">
        <v>46318</v>
      </c>
      <c r="F1742" t="inlineStr">
        <is>
          <t>JÄMTLANDS LÄN</t>
        </is>
      </c>
      <c r="G1742" t="inlineStr">
        <is>
          <t>STRÖMSUND</t>
        </is>
      </c>
      <c r="I1742" t="n">
        <v>0.5</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16116-2026</t>
        </is>
      </c>
      <c r="B1743" t="inlineStr">
        <is>
          <t>avverkningsanmälan</t>
        </is>
      </c>
      <c r="C1743" t="inlineStr">
        <is>
          <t>Föryngringsavverkning</t>
        </is>
      </c>
      <c r="D1743" s="1" t="n">
        <v>46108</v>
      </c>
      <c r="E1743" s="1" t="n">
        <v>46318</v>
      </c>
      <c r="F1743" t="inlineStr">
        <is>
          <t>JÄMTLANDS LÄN</t>
        </is>
      </c>
      <c r="G1743" t="inlineStr">
        <is>
          <t>STRÖMSUND</t>
        </is>
      </c>
      <c r="H1743" t="inlineStr">
        <is>
          <t>SCA</t>
        </is>
      </c>
      <c r="I1743" t="n">
        <v>1.3</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29594-2026</t>
        </is>
      </c>
      <c r="B1744" t="inlineStr">
        <is>
          <t>avverkningsanmälan</t>
        </is>
      </c>
      <c r="C1744" t="inlineStr">
        <is>
          <t>Avverkning för att bevara och utveckla /försöksver</t>
        </is>
      </c>
      <c r="D1744" s="1" t="n">
        <v>46204</v>
      </c>
      <c r="E1744" s="1" t="n">
        <v>46318</v>
      </c>
      <c r="F1744" t="inlineStr">
        <is>
          <t>JÄMTLANDS LÄN</t>
        </is>
      </c>
      <c r="G1744" t="inlineStr">
        <is>
          <t>STRÖMSUND</t>
        </is>
      </c>
      <c r="H1744" t="inlineStr">
        <is>
          <t>SCA</t>
        </is>
      </c>
      <c r="I1744" t="n">
        <v>1.8</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29599-2026</t>
        </is>
      </c>
      <c r="B1745" t="inlineStr">
        <is>
          <t>avverkningsanmälan</t>
        </is>
      </c>
      <c r="C1745" t="inlineStr">
        <is>
          <t>Avverkning för att bevara och utveckla /försöksver</t>
        </is>
      </c>
      <c r="D1745" s="1" t="n">
        <v>46204</v>
      </c>
      <c r="E1745" s="1" t="n">
        <v>46318</v>
      </c>
      <c r="F1745" t="inlineStr">
        <is>
          <t>JÄMTLANDS LÄN</t>
        </is>
      </c>
      <c r="G1745" t="inlineStr">
        <is>
          <t>STRÖMSUND</t>
        </is>
      </c>
      <c r="H1745" t="inlineStr">
        <is>
          <t>SCA</t>
        </is>
      </c>
      <c r="I1745" t="n">
        <v>2.1</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19094-2026</t>
        </is>
      </c>
      <c r="B1746" t="inlineStr">
        <is>
          <t>avverkningsanmälan</t>
        </is>
      </c>
      <c r="C1746" t="inlineStr">
        <is>
          <t>Föryngringsavverkning</t>
        </is>
      </c>
      <c r="D1746" s="1" t="n">
        <v>46132</v>
      </c>
      <c r="E1746" s="1" t="n">
        <v>46318</v>
      </c>
      <c r="F1746" t="inlineStr">
        <is>
          <t>JÄMTLANDS LÄN</t>
        </is>
      </c>
      <c r="G1746" t="inlineStr">
        <is>
          <t>STRÖMSUND</t>
        </is>
      </c>
      <c r="H1746" t="inlineStr">
        <is>
          <t>SCA</t>
        </is>
      </c>
      <c r="I1746" t="n">
        <v>8.300000000000001</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16216-2026</t>
        </is>
      </c>
      <c r="B1747" t="inlineStr">
        <is>
          <t>avverkningsanmälan</t>
        </is>
      </c>
      <c r="C1747" t="inlineStr">
        <is>
          <t>Föryngringsavverkning</t>
        </is>
      </c>
      <c r="D1747" s="1" t="n">
        <v>46108</v>
      </c>
      <c r="E1747" s="1" t="n">
        <v>46318</v>
      </c>
      <c r="F1747" t="inlineStr">
        <is>
          <t>JÄMTLANDS LÄN</t>
        </is>
      </c>
      <c r="G1747" t="inlineStr">
        <is>
          <t>STRÖMSUND</t>
        </is>
      </c>
      <c r="I1747" t="n">
        <v>0.8</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53833-2024</t>
        </is>
      </c>
      <c r="B1748" t="inlineStr">
        <is>
          <t>avverkningsanmälan</t>
        </is>
      </c>
      <c r="C1748" t="inlineStr">
        <is>
          <t>Föryngringsavverkning</t>
        </is>
      </c>
      <c r="D1748" s="1" t="n">
        <v>45615</v>
      </c>
      <c r="E1748" s="1" t="n">
        <v>46318</v>
      </c>
      <c r="F1748" t="inlineStr">
        <is>
          <t>JÄMTLANDS LÄN</t>
        </is>
      </c>
      <c r="G1748" t="inlineStr">
        <is>
          <t>STRÖMSUND</t>
        </is>
      </c>
      <c r="I1748" t="n">
        <v>1.5</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48879-2025</t>
        </is>
      </c>
      <c r="B1749" t="inlineStr">
        <is>
          <t>avverkningsanmälan</t>
        </is>
      </c>
      <c r="C1749" t="inlineStr">
        <is>
          <t>Föryngringsavverkning</t>
        </is>
      </c>
      <c r="D1749" s="1" t="n">
        <v>45937</v>
      </c>
      <c r="E1749" s="1" t="n">
        <v>46318</v>
      </c>
      <c r="F1749" t="inlineStr">
        <is>
          <t>JÄMTLANDS LÄN</t>
        </is>
      </c>
      <c r="G1749" t="inlineStr">
        <is>
          <t>STRÖMSUND</t>
        </is>
      </c>
      <c r="H1749" t="inlineStr">
        <is>
          <t>SCA</t>
        </is>
      </c>
      <c r="I1749" t="n">
        <v>47.7</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29803-2026</t>
        </is>
      </c>
      <c r="B1750" t="inlineStr">
        <is>
          <t>avverkningsanmälan</t>
        </is>
      </c>
      <c r="C1750" t="inlineStr">
        <is>
          <t>Föryngringsavverkning</t>
        </is>
      </c>
      <c r="D1750" s="1" t="n">
        <v>46205</v>
      </c>
      <c r="E1750" s="1" t="n">
        <v>46318</v>
      </c>
      <c r="F1750" t="inlineStr">
        <is>
          <t>JÄMTLANDS LÄN</t>
        </is>
      </c>
      <c r="G1750" t="inlineStr">
        <is>
          <t>STRÖMSUND</t>
        </is>
      </c>
      <c r="H1750" t="inlineStr">
        <is>
          <t>SCA</t>
        </is>
      </c>
      <c r="I1750" t="n">
        <v>2.5</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30279-2026</t>
        </is>
      </c>
      <c r="B1751" t="inlineStr">
        <is>
          <t>avverkningsanmälan</t>
        </is>
      </c>
      <c r="C1751" t="inlineStr">
        <is>
          <t>Föryngringsavverkning</t>
        </is>
      </c>
      <c r="D1751" s="1" t="n">
        <v>46206</v>
      </c>
      <c r="E1751" s="1" t="n">
        <v>46318</v>
      </c>
      <c r="F1751" t="inlineStr">
        <is>
          <t>JÄMTLANDS LÄN</t>
        </is>
      </c>
      <c r="G1751" t="inlineStr">
        <is>
          <t>STRÖMSUND</t>
        </is>
      </c>
      <c r="H1751" t="inlineStr">
        <is>
          <t>SCA</t>
        </is>
      </c>
      <c r="I1751" t="n">
        <v>28.2</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43895-2026</t>
        </is>
      </c>
      <c r="B1752" t="inlineStr">
        <is>
          <t>avverkningsanmälan</t>
        </is>
      </c>
      <c r="C1752" t="inlineStr">
        <is>
          <t>Föryngringsavverkning</t>
        </is>
      </c>
      <c r="D1752" s="1" t="n">
        <v>46317</v>
      </c>
      <c r="E1752" s="1" t="n">
        <v>46318</v>
      </c>
      <c r="F1752" t="inlineStr">
        <is>
          <t>JÄMTLANDS LÄN</t>
        </is>
      </c>
      <c r="G1752" t="inlineStr">
        <is>
          <t>STRÖMSUND</t>
        </is>
      </c>
      <c r="H1752" t="inlineStr">
        <is>
          <t>SCA</t>
        </is>
      </c>
      <c r="I1752" t="n">
        <v>3.6</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43735-2026</t>
        </is>
      </c>
      <c r="B1753" t="inlineStr">
        <is>
          <t>avverkningsanmälan</t>
        </is>
      </c>
      <c r="C1753" t="inlineStr">
        <is>
          <t>Föryngringsavverkning</t>
        </is>
      </c>
      <c r="D1753" s="1" t="n">
        <v>46314</v>
      </c>
      <c r="E1753" s="1" t="n">
        <v>46318</v>
      </c>
      <c r="F1753" t="inlineStr">
        <is>
          <t>JÄMTLANDS LÄN</t>
        </is>
      </c>
      <c r="G1753" t="inlineStr">
        <is>
          <t>STRÖMSUND</t>
        </is>
      </c>
      <c r="I1753" t="n">
        <v>3.2</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30057-2026</t>
        </is>
      </c>
      <c r="B1754" t="inlineStr">
        <is>
          <t>avverkningsanmälan</t>
        </is>
      </c>
      <c r="C1754" t="inlineStr">
        <is>
          <t>Avverkning för att bevara och utveckla /försöksver</t>
        </is>
      </c>
      <c r="D1754" s="1" t="n">
        <v>46206</v>
      </c>
      <c r="E1754" s="1" t="n">
        <v>46318</v>
      </c>
      <c r="F1754" t="inlineStr">
        <is>
          <t>JÄMTLANDS LÄN</t>
        </is>
      </c>
      <c r="G1754" t="inlineStr">
        <is>
          <t>STRÖMSUND</t>
        </is>
      </c>
      <c r="H1754" t="inlineStr">
        <is>
          <t>SCA</t>
        </is>
      </c>
      <c r="I1754" t="n">
        <v>2.2</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29925-2026</t>
        </is>
      </c>
      <c r="B1755" t="inlineStr">
        <is>
          <t>avverkningsanmälan</t>
        </is>
      </c>
      <c r="C1755" t="inlineStr">
        <is>
          <t>Föryngringsavverkning</t>
        </is>
      </c>
      <c r="D1755" s="1" t="n">
        <v>46205</v>
      </c>
      <c r="E1755" s="1" t="n">
        <v>46318</v>
      </c>
      <c r="F1755" t="inlineStr">
        <is>
          <t>JÄMTLANDS LÄN</t>
        </is>
      </c>
      <c r="G1755" t="inlineStr">
        <is>
          <t>STRÖMSUND</t>
        </is>
      </c>
      <c r="H1755" t="inlineStr">
        <is>
          <t>SCA</t>
        </is>
      </c>
      <c r="I1755" t="n">
        <v>2.6</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48333-2022</t>
        </is>
      </c>
      <c r="B1756" t="inlineStr">
        <is>
          <t>avverkningsanmälan</t>
        </is>
      </c>
      <c r="C1756" t="inlineStr">
        <is>
          <t>Avverkning för annat ändamål</t>
        </is>
      </c>
      <c r="D1756" s="1" t="n">
        <v>44858</v>
      </c>
      <c r="E1756" s="1" t="n">
        <v>46318</v>
      </c>
      <c r="F1756" t="inlineStr">
        <is>
          <t>JÄMTLANDS LÄN</t>
        </is>
      </c>
      <c r="G1756" t="inlineStr">
        <is>
          <t>STRÖMSUND</t>
        </is>
      </c>
      <c r="I1756" t="n">
        <v>2.5</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30024-2026</t>
        </is>
      </c>
      <c r="B1757" t="inlineStr">
        <is>
          <t>avverkningsanmälan</t>
        </is>
      </c>
      <c r="C1757" t="inlineStr">
        <is>
          <t>Föryngringsavverkning</t>
        </is>
      </c>
      <c r="D1757" s="1" t="n">
        <v>46206</v>
      </c>
      <c r="E1757" s="1" t="n">
        <v>46318</v>
      </c>
      <c r="F1757" t="inlineStr">
        <is>
          <t>JÄMTLANDS LÄN</t>
        </is>
      </c>
      <c r="G1757" t="inlineStr">
        <is>
          <t>STRÖMSUND</t>
        </is>
      </c>
      <c r="H1757" t="inlineStr">
        <is>
          <t>SCA</t>
        </is>
      </c>
      <c r="I1757" t="n">
        <v>3.3</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30026-2026</t>
        </is>
      </c>
      <c r="B1758" t="inlineStr">
        <is>
          <t>avverkningsanmälan</t>
        </is>
      </c>
      <c r="C1758" t="inlineStr">
        <is>
          <t>Föryngringsavverkning</t>
        </is>
      </c>
      <c r="D1758" s="1" t="n">
        <v>46206</v>
      </c>
      <c r="E1758" s="1" t="n">
        <v>46318</v>
      </c>
      <c r="F1758" t="inlineStr">
        <is>
          <t>JÄMTLANDS LÄN</t>
        </is>
      </c>
      <c r="G1758" t="inlineStr">
        <is>
          <t>STRÖMSUND</t>
        </is>
      </c>
      <c r="H1758" t="inlineStr">
        <is>
          <t>SCA</t>
        </is>
      </c>
      <c r="I1758" t="n">
        <v>14.8</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15141-2022</t>
        </is>
      </c>
      <c r="B1759" t="inlineStr">
        <is>
          <t>avverkningsanmälan</t>
        </is>
      </c>
      <c r="C1759" t="inlineStr">
        <is>
          <t>Föryngringsavverkning</t>
        </is>
      </c>
      <c r="D1759" s="1" t="n">
        <v>44658</v>
      </c>
      <c r="E1759" s="1" t="n">
        <v>46318</v>
      </c>
      <c r="F1759" t="inlineStr">
        <is>
          <t>JÄMTLANDS LÄN</t>
        </is>
      </c>
      <c r="G1759" t="inlineStr">
        <is>
          <t>STRÖMSUND</t>
        </is>
      </c>
      <c r="I1759" t="n">
        <v>35</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28361-2026</t>
        </is>
      </c>
      <c r="B1760" t="inlineStr">
        <is>
          <t>avverkningsanmälan</t>
        </is>
      </c>
      <c r="C1760" t="inlineStr">
        <is>
          <t>Föryngringsavverkning</t>
        </is>
      </c>
      <c r="D1760" s="1" t="n">
        <v>46196</v>
      </c>
      <c r="E1760" s="1" t="n">
        <v>46318</v>
      </c>
      <c r="F1760" t="inlineStr">
        <is>
          <t>JÄMTLANDS LÄN</t>
        </is>
      </c>
      <c r="G1760" t="inlineStr">
        <is>
          <t>STRÖMSUND</t>
        </is>
      </c>
      <c r="H1760" t="inlineStr">
        <is>
          <t>SCA</t>
        </is>
      </c>
      <c r="I1760" t="n">
        <v>5.6</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36985-2026</t>
        </is>
      </c>
      <c r="B1761" t="inlineStr">
        <is>
          <t>avverkningsanmälan</t>
        </is>
      </c>
      <c r="C1761" t="inlineStr">
        <is>
          <t>Föryngringsavverkning</t>
        </is>
      </c>
      <c r="D1761" s="1" t="n">
        <v>46273</v>
      </c>
      <c r="E1761" s="1" t="n">
        <v>46318</v>
      </c>
      <c r="F1761" t="inlineStr">
        <is>
          <t>JÄMTLANDS LÄN</t>
        </is>
      </c>
      <c r="G1761" t="inlineStr">
        <is>
          <t>STRÖMSUND</t>
        </is>
      </c>
      <c r="H1761" t="inlineStr">
        <is>
          <t>SCA</t>
        </is>
      </c>
      <c r="I1761" t="n">
        <v>4.9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36987-2026</t>
        </is>
      </c>
      <c r="B1762" t="inlineStr">
        <is>
          <t>avverkningsanmälan</t>
        </is>
      </c>
      <c r="C1762" t="inlineStr">
        <is>
          <t>Föryngringsavverkning</t>
        </is>
      </c>
      <c r="D1762" s="1" t="n">
        <v>46273</v>
      </c>
      <c r="E1762" s="1" t="n">
        <v>46318</v>
      </c>
      <c r="F1762" t="inlineStr">
        <is>
          <t>JÄMTLANDS LÄN</t>
        </is>
      </c>
      <c r="G1762" t="inlineStr">
        <is>
          <t>STRÖMSUND</t>
        </is>
      </c>
      <c r="I1762" t="n">
        <v>2.5</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17004-2026</t>
        </is>
      </c>
      <c r="B1763" t="inlineStr">
        <is>
          <t>avverkningsanmälan</t>
        </is>
      </c>
      <c r="C1763" t="inlineStr">
        <is>
          <t>Föryngringsavverkning</t>
        </is>
      </c>
      <c r="D1763" s="1" t="n">
        <v>46114</v>
      </c>
      <c r="E1763" s="1" t="n">
        <v>46318</v>
      </c>
      <c r="F1763" t="inlineStr">
        <is>
          <t>JÄMTLANDS LÄN</t>
        </is>
      </c>
      <c r="G1763" t="inlineStr">
        <is>
          <t>STRÖMSUND</t>
        </is>
      </c>
      <c r="H1763" t="inlineStr">
        <is>
          <t>SCA</t>
        </is>
      </c>
      <c r="I1763" t="n">
        <v>6.4</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47271-2022</t>
        </is>
      </c>
      <c r="B1764" t="inlineStr">
        <is>
          <t>avverkningsanmälan</t>
        </is>
      </c>
      <c r="C1764" t="inlineStr">
        <is>
          <t>Avverkning för annat ändamål</t>
        </is>
      </c>
      <c r="D1764" s="1" t="n">
        <v>44852</v>
      </c>
      <c r="E1764" s="1" t="n">
        <v>46318</v>
      </c>
      <c r="F1764" t="inlineStr">
        <is>
          <t>JÄMTLANDS LÄN</t>
        </is>
      </c>
      <c r="G1764" t="inlineStr">
        <is>
          <t>STRÖMSUND</t>
        </is>
      </c>
      <c r="H1764" t="inlineStr">
        <is>
          <t>SCA</t>
        </is>
      </c>
      <c r="I1764" t="n">
        <v>1.7</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44024-2026</t>
        </is>
      </c>
      <c r="B1765" t="inlineStr">
        <is>
          <t>avverkningsanmälan</t>
        </is>
      </c>
      <c r="C1765" t="inlineStr">
        <is>
          <t>Föryngringsavverkning</t>
        </is>
      </c>
      <c r="D1765" s="1" t="n">
        <v>46317</v>
      </c>
      <c r="E1765" s="1" t="n">
        <v>46318</v>
      </c>
      <c r="F1765" t="inlineStr">
        <is>
          <t>JÄMTLANDS LÄN</t>
        </is>
      </c>
      <c r="G1765" t="inlineStr">
        <is>
          <t>STRÖMSUND</t>
        </is>
      </c>
      <c r="H1765" t="inlineStr">
        <is>
          <t>SCA</t>
        </is>
      </c>
      <c r="I1765" t="n">
        <v>5.5</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36915-2026</t>
        </is>
      </c>
      <c r="B1766" t="inlineStr">
        <is>
          <t>avverkningsanmälan</t>
        </is>
      </c>
      <c r="C1766" t="inlineStr">
        <is>
          <t>Föryngringsavverkning</t>
        </is>
      </c>
      <c r="D1766" s="1" t="n">
        <v>46273</v>
      </c>
      <c r="E1766" s="1" t="n">
        <v>46318</v>
      </c>
      <c r="F1766" t="inlineStr">
        <is>
          <t>JÄMTLANDS LÄN</t>
        </is>
      </c>
      <c r="G1766" t="inlineStr">
        <is>
          <t>STRÖMSUND</t>
        </is>
      </c>
      <c r="H1766" t="inlineStr">
        <is>
          <t>SCA</t>
        </is>
      </c>
      <c r="I1766" t="n">
        <v>1</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36895-2026</t>
        </is>
      </c>
      <c r="B1767" t="inlineStr">
        <is>
          <t>avverkningsanmälan</t>
        </is>
      </c>
      <c r="C1767" t="inlineStr">
        <is>
          <t>Föryngringsavverkning</t>
        </is>
      </c>
      <c r="D1767" s="1" t="n">
        <v>46273</v>
      </c>
      <c r="E1767" s="1" t="n">
        <v>46318</v>
      </c>
      <c r="F1767" t="inlineStr">
        <is>
          <t>JÄMTLANDS LÄN</t>
        </is>
      </c>
      <c r="G1767" t="inlineStr">
        <is>
          <t>STRÖMSUND</t>
        </is>
      </c>
      <c r="H1767" t="inlineStr">
        <is>
          <t>SCA</t>
        </is>
      </c>
      <c r="I1767" t="n">
        <v>3.1</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36986-2026</t>
        </is>
      </c>
      <c r="B1768" t="inlineStr">
        <is>
          <t>avverkningsanmälan</t>
        </is>
      </c>
      <c r="C1768" t="inlineStr">
        <is>
          <t>Föryngringsavverkning</t>
        </is>
      </c>
      <c r="D1768" s="1" t="n">
        <v>46273</v>
      </c>
      <c r="E1768" s="1" t="n">
        <v>46318</v>
      </c>
      <c r="F1768" t="inlineStr">
        <is>
          <t>JÄMTLANDS LÄN</t>
        </is>
      </c>
      <c r="G1768" t="inlineStr">
        <is>
          <t>STRÖMSUND</t>
        </is>
      </c>
      <c r="H1768" t="inlineStr">
        <is>
          <t>SCA</t>
        </is>
      </c>
      <c r="I1768" t="n">
        <v>2.4</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34524-2022</t>
        </is>
      </c>
      <c r="B1769" t="inlineStr">
        <is>
          <t>avverkningsanmälan</t>
        </is>
      </c>
      <c r="C1769" t="inlineStr">
        <is>
          <t>Föryngringsavverkning</t>
        </is>
      </c>
      <c r="D1769" s="1" t="n">
        <v>44792</v>
      </c>
      <c r="E1769" s="1" t="n">
        <v>46318</v>
      </c>
      <c r="F1769" t="inlineStr">
        <is>
          <t>JÄMTLANDS LÄN</t>
        </is>
      </c>
      <c r="G1769" t="inlineStr">
        <is>
          <t>STRÖMSUND</t>
        </is>
      </c>
      <c r="H1769" t="inlineStr">
        <is>
          <t>SCA</t>
        </is>
      </c>
      <c r="I1769" t="n">
        <v>1.4</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17689-2026</t>
        </is>
      </c>
      <c r="B1770" t="inlineStr">
        <is>
          <t>avverkningsanmälan</t>
        </is>
      </c>
      <c r="C1770" t="inlineStr">
        <is>
          <t>Föryngringsavverkning</t>
        </is>
      </c>
      <c r="D1770" s="1" t="n">
        <v>46121</v>
      </c>
      <c r="E1770" s="1" t="n">
        <v>46318</v>
      </c>
      <c r="F1770" t="inlineStr">
        <is>
          <t>JÄMTLANDS LÄN</t>
        </is>
      </c>
      <c r="G1770" t="inlineStr">
        <is>
          <t>STRÖMSUND</t>
        </is>
      </c>
      <c r="I1770" t="n">
        <v>6.3</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30331-2026</t>
        </is>
      </c>
      <c r="B1771" t="inlineStr">
        <is>
          <t>avverkningsanmälan</t>
        </is>
      </c>
      <c r="C1771" t="inlineStr">
        <is>
          <t>Föryngringsavverkning</t>
        </is>
      </c>
      <c r="D1771" s="1" t="n">
        <v>46208</v>
      </c>
      <c r="E1771" s="1" t="n">
        <v>46318</v>
      </c>
      <c r="F1771" t="inlineStr">
        <is>
          <t>JÄMTLANDS LÄN</t>
        </is>
      </c>
      <c r="G1771" t="inlineStr">
        <is>
          <t>STRÖMSUND</t>
        </is>
      </c>
      <c r="H1771" t="inlineStr">
        <is>
          <t>SCA</t>
        </is>
      </c>
      <c r="I1771" t="n">
        <v>3.7</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43750-2026</t>
        </is>
      </c>
      <c r="B1772" t="inlineStr">
        <is>
          <t>avverkningsanmälan</t>
        </is>
      </c>
      <c r="C1772" t="inlineStr">
        <is>
          <t>Avverkning för annat ändamål</t>
        </is>
      </c>
      <c r="D1772" s="1" t="n">
        <v>46314</v>
      </c>
      <c r="E1772" s="1" t="n">
        <v>46318</v>
      </c>
      <c r="F1772" t="inlineStr">
        <is>
          <t>JÄMTLANDS LÄN</t>
        </is>
      </c>
      <c r="G1772" t="inlineStr">
        <is>
          <t>STRÖMSUND</t>
        </is>
      </c>
      <c r="H1772" t="inlineStr">
        <is>
          <t>SCA</t>
        </is>
      </c>
      <c r="I1772" t="n">
        <v>0.9</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29994-2026</t>
        </is>
      </c>
      <c r="B1773" t="inlineStr">
        <is>
          <t>avverkningsanmälan</t>
        </is>
      </c>
      <c r="C1773" t="inlineStr">
        <is>
          <t>Föryngringsavverkning</t>
        </is>
      </c>
      <c r="D1773" s="1" t="n">
        <v>46205</v>
      </c>
      <c r="E1773" s="1" t="n">
        <v>46318</v>
      </c>
      <c r="F1773" t="inlineStr">
        <is>
          <t>JÄMTLANDS LÄN</t>
        </is>
      </c>
      <c r="G1773" t="inlineStr">
        <is>
          <t>STRÖMSUND</t>
        </is>
      </c>
      <c r="H1773" t="inlineStr">
        <is>
          <t>SCA</t>
        </is>
      </c>
      <c r="I1773" t="n">
        <v>2.5</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30021-2026</t>
        </is>
      </c>
      <c r="B1774" t="inlineStr">
        <is>
          <t>avverkningsanmälan</t>
        </is>
      </c>
      <c r="C1774" t="inlineStr">
        <is>
          <t>Föryngringsavverkning</t>
        </is>
      </c>
      <c r="D1774" s="1" t="n">
        <v>46206</v>
      </c>
      <c r="E1774" s="1" t="n">
        <v>46318</v>
      </c>
      <c r="F1774" t="inlineStr">
        <is>
          <t>JÄMTLANDS LÄN</t>
        </is>
      </c>
      <c r="G1774" t="inlineStr">
        <is>
          <t>STRÖMSUND</t>
        </is>
      </c>
      <c r="H1774" t="inlineStr">
        <is>
          <t>SCA</t>
        </is>
      </c>
      <c r="I1774" t="n">
        <v>1.6</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37288-2026</t>
        </is>
      </c>
      <c r="B1775" t="inlineStr">
        <is>
          <t>avverkningsanmälan</t>
        </is>
      </c>
      <c r="C1775" t="inlineStr">
        <is>
          <t>Föryngringsavverkning</t>
        </is>
      </c>
      <c r="D1775" s="1" t="n">
        <v>46274</v>
      </c>
      <c r="E1775" s="1" t="n">
        <v>46318</v>
      </c>
      <c r="F1775" t="inlineStr">
        <is>
          <t>JÄMTLANDS LÄN</t>
        </is>
      </c>
      <c r="G1775" t="inlineStr">
        <is>
          <t>STRÖMSUND</t>
        </is>
      </c>
      <c r="I1775" t="n">
        <v>8.6</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17621-2026</t>
        </is>
      </c>
      <c r="B1776" t="inlineStr">
        <is>
          <t>avverkningsanmälan</t>
        </is>
      </c>
      <c r="C1776" t="inlineStr">
        <is>
          <t>Föryngringsavverkning</t>
        </is>
      </c>
      <c r="D1776" s="1" t="n">
        <v>46121</v>
      </c>
      <c r="E1776" s="1" t="n">
        <v>46318</v>
      </c>
      <c r="F1776" t="inlineStr">
        <is>
          <t>JÄMTLANDS LÄN</t>
        </is>
      </c>
      <c r="G1776" t="inlineStr">
        <is>
          <t>STRÖMSUND</t>
        </is>
      </c>
      <c r="H1776" t="inlineStr">
        <is>
          <t>SCA</t>
        </is>
      </c>
      <c r="I1776" t="n">
        <v>7.6</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17675-2026</t>
        </is>
      </c>
      <c r="B1777" t="inlineStr">
        <is>
          <t>avverkningsanmälan</t>
        </is>
      </c>
      <c r="C1777" t="inlineStr">
        <is>
          <t>Föryngringsavverkning</t>
        </is>
      </c>
      <c r="D1777" s="1" t="n">
        <v>46121</v>
      </c>
      <c r="E1777" s="1" t="n">
        <v>46318</v>
      </c>
      <c r="F1777" t="inlineStr">
        <is>
          <t>JÄMTLANDS LÄN</t>
        </is>
      </c>
      <c r="G1777" t="inlineStr">
        <is>
          <t>STRÖMSUND</t>
        </is>
      </c>
      <c r="I1777" t="n">
        <v>8.1</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43622-2026</t>
        </is>
      </c>
      <c r="B1778" t="inlineStr">
        <is>
          <t>avverkningsanmälan</t>
        </is>
      </c>
      <c r="C1778" t="inlineStr">
        <is>
          <t>Föryngringsavverkning</t>
        </is>
      </c>
      <c r="D1778" s="1" t="n">
        <v>46315</v>
      </c>
      <c r="E1778" s="1" t="n">
        <v>46318</v>
      </c>
      <c r="F1778" t="inlineStr">
        <is>
          <t>JÄMTLANDS LÄN</t>
        </is>
      </c>
      <c r="G1778" t="inlineStr">
        <is>
          <t>STRÖMSUND</t>
        </is>
      </c>
      <c r="I1778" t="n">
        <v>0.9</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30576-2026</t>
        </is>
      </c>
      <c r="B1779" t="inlineStr">
        <is>
          <t>avverkningsanmälan</t>
        </is>
      </c>
      <c r="C1779" t="inlineStr">
        <is>
          <t>Föryngringsavverkning</t>
        </is>
      </c>
      <c r="D1779" s="1" t="n">
        <v>46210</v>
      </c>
      <c r="E1779" s="1" t="n">
        <v>46318</v>
      </c>
      <c r="F1779" t="inlineStr">
        <is>
          <t>JÄMTLANDS LÄN</t>
        </is>
      </c>
      <c r="G1779" t="inlineStr">
        <is>
          <t>STRÖMSUND</t>
        </is>
      </c>
      <c r="H1779" t="inlineStr">
        <is>
          <t>SCA</t>
        </is>
      </c>
      <c r="I1779" t="n">
        <v>14.5</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17967-2026</t>
        </is>
      </c>
      <c r="B1780" t="inlineStr">
        <is>
          <t>avverkningsanmälan</t>
        </is>
      </c>
      <c r="C1780" t="inlineStr">
        <is>
          <t>Föryngringsavverkning</t>
        </is>
      </c>
      <c r="D1780" s="1" t="n">
        <v>46123</v>
      </c>
      <c r="E1780" s="1" t="n">
        <v>46318</v>
      </c>
      <c r="F1780" t="inlineStr">
        <is>
          <t>JÄMTLANDS LÄN</t>
        </is>
      </c>
      <c r="G1780" t="inlineStr">
        <is>
          <t>STRÖMSUND</t>
        </is>
      </c>
      <c r="H1780" t="inlineStr">
        <is>
          <t>SCA</t>
        </is>
      </c>
      <c r="I1780" t="n">
        <v>1.6</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30482-2026</t>
        </is>
      </c>
      <c r="B1781" t="inlineStr">
        <is>
          <t>avverkningsanmälan</t>
        </is>
      </c>
      <c r="C1781" t="inlineStr">
        <is>
          <t>Föryngringsavverkning</t>
        </is>
      </c>
      <c r="D1781" s="1" t="n">
        <v>46210</v>
      </c>
      <c r="E1781" s="1" t="n">
        <v>46318</v>
      </c>
      <c r="F1781" t="inlineStr">
        <is>
          <t>JÄMTLANDS LÄN</t>
        </is>
      </c>
      <c r="G1781" t="inlineStr">
        <is>
          <t>STRÖMSUND</t>
        </is>
      </c>
      <c r="H1781" t="inlineStr">
        <is>
          <t>SCA</t>
        </is>
      </c>
      <c r="I1781" t="n">
        <v>4.5</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59476-2023</t>
        </is>
      </c>
      <c r="B1782" t="inlineStr">
        <is>
          <t>avverkningsanmälan</t>
        </is>
      </c>
      <c r="C1782" t="inlineStr">
        <is>
          <t>Avverkning för att bevara och utveckla /försöksver</t>
        </is>
      </c>
      <c r="D1782" s="1" t="n">
        <v>45254</v>
      </c>
      <c r="E1782" s="1" t="n">
        <v>46318</v>
      </c>
      <c r="F1782" t="inlineStr">
        <is>
          <t>JÄMTLANDS LÄN</t>
        </is>
      </c>
      <c r="G1782" t="inlineStr">
        <is>
          <t>STRÖMSUND</t>
        </is>
      </c>
      <c r="H1782" t="inlineStr">
        <is>
          <t>Holmen skog AB</t>
        </is>
      </c>
      <c r="I1782" t="n">
        <v>2.3</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30396-2026</t>
        </is>
      </c>
      <c r="B1783" t="inlineStr">
        <is>
          <t>avverkningsanmälan</t>
        </is>
      </c>
      <c r="C1783" t="inlineStr">
        <is>
          <t>Föryngringsavverkning</t>
        </is>
      </c>
      <c r="D1783" s="1" t="n">
        <v>46209</v>
      </c>
      <c r="E1783" s="1" t="n">
        <v>46318</v>
      </c>
      <c r="F1783" t="inlineStr">
        <is>
          <t>JÄMTLANDS LÄN</t>
        </is>
      </c>
      <c r="G1783" t="inlineStr">
        <is>
          <t>STRÖMSUND</t>
        </is>
      </c>
      <c r="I1783" t="n">
        <v>1.6</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30486-2026</t>
        </is>
      </c>
      <c r="B1784" t="inlineStr">
        <is>
          <t>avverkningsanmälan</t>
        </is>
      </c>
      <c r="C1784" t="inlineStr">
        <is>
          <t>Föryngringsavverkning</t>
        </is>
      </c>
      <c r="D1784" s="1" t="n">
        <v>46210</v>
      </c>
      <c r="E1784" s="1" t="n">
        <v>46318</v>
      </c>
      <c r="F1784" t="inlineStr">
        <is>
          <t>JÄMTLANDS LÄN</t>
        </is>
      </c>
      <c r="G1784" t="inlineStr">
        <is>
          <t>STRÖMSUND</t>
        </is>
      </c>
      <c r="H1784" t="inlineStr">
        <is>
          <t>SCA</t>
        </is>
      </c>
      <c r="I1784" t="n">
        <v>6</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18650-2026</t>
        </is>
      </c>
      <c r="B1785" t="inlineStr">
        <is>
          <t>avverkningsanmälan</t>
        </is>
      </c>
      <c r="C1785" t="inlineStr">
        <is>
          <t>Föryngringsavverkning</t>
        </is>
      </c>
      <c r="D1785" s="1" t="n">
        <v>46128</v>
      </c>
      <c r="E1785" s="1" t="n">
        <v>46318</v>
      </c>
      <c r="F1785" t="inlineStr">
        <is>
          <t>JÄMTLANDS LÄN</t>
        </is>
      </c>
      <c r="G1785" t="inlineStr">
        <is>
          <t>STRÖMSUND</t>
        </is>
      </c>
      <c r="H1785" t="inlineStr">
        <is>
          <t>SCA</t>
        </is>
      </c>
      <c r="I1785" t="n">
        <v>1.6</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49287-2022</t>
        </is>
      </c>
      <c r="B1786" t="inlineStr">
        <is>
          <t>avverkningsanmälan</t>
        </is>
      </c>
      <c r="C1786" t="inlineStr">
        <is>
          <t>Föryngringsavverkning</t>
        </is>
      </c>
      <c r="D1786" s="1" t="n">
        <v>44858</v>
      </c>
      <c r="E1786" s="1" t="n">
        <v>46318</v>
      </c>
      <c r="F1786" t="inlineStr">
        <is>
          <t>JÄMTLANDS LÄN</t>
        </is>
      </c>
      <c r="G1786" t="inlineStr">
        <is>
          <t>STRÖMSUND</t>
        </is>
      </c>
      <c r="I1786" t="n">
        <v>200</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30713-2026</t>
        </is>
      </c>
      <c r="B1787" t="inlineStr">
        <is>
          <t>avverkningsanmälan</t>
        </is>
      </c>
      <c r="C1787" t="inlineStr">
        <is>
          <t>Avverkning för annat ändamål</t>
        </is>
      </c>
      <c r="D1787" s="1" t="n">
        <v>46211</v>
      </c>
      <c r="E1787" s="1" t="n">
        <v>46318</v>
      </c>
      <c r="F1787" t="inlineStr">
        <is>
          <t>JÄMTLANDS LÄN</t>
        </is>
      </c>
      <c r="G1787" t="inlineStr">
        <is>
          <t>STRÖMSUND</t>
        </is>
      </c>
      <c r="I1787" t="n">
        <v>2.1</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30775-2026</t>
        </is>
      </c>
      <c r="B1788" t="inlineStr">
        <is>
          <t>avverkningsanmälan</t>
        </is>
      </c>
      <c r="C1788" t="inlineStr">
        <is>
          <t>Avverkning för annat ändamål</t>
        </is>
      </c>
      <c r="D1788" s="1" t="n">
        <v>46212</v>
      </c>
      <c r="E1788" s="1" t="n">
        <v>46318</v>
      </c>
      <c r="F1788" t="inlineStr">
        <is>
          <t>JÄMTLANDS LÄN</t>
        </is>
      </c>
      <c r="G1788" t="inlineStr">
        <is>
          <t>STRÖMSUND</t>
        </is>
      </c>
      <c r="H1788" t="inlineStr">
        <is>
          <t>SCA</t>
        </is>
      </c>
      <c r="I1788" t="n">
        <v>0.6</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30840-2026</t>
        </is>
      </c>
      <c r="B1789" t="inlineStr">
        <is>
          <t>avverkningsanmälan</t>
        </is>
      </c>
      <c r="C1789" t="inlineStr">
        <is>
          <t>Föryngringsavverkning</t>
        </is>
      </c>
      <c r="D1789" s="1" t="n">
        <v>46212</v>
      </c>
      <c r="E1789" s="1" t="n">
        <v>46318</v>
      </c>
      <c r="F1789" t="inlineStr">
        <is>
          <t>JÄMTLANDS LÄN</t>
        </is>
      </c>
      <c r="G1789" t="inlineStr">
        <is>
          <t>STRÖMSUND</t>
        </is>
      </c>
      <c r="H1789" t="inlineStr">
        <is>
          <t>SCA</t>
        </is>
      </c>
      <c r="I1789" t="n">
        <v>27.5</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30835-2026</t>
        </is>
      </c>
      <c r="B1790" t="inlineStr">
        <is>
          <t>avverkningsanmälan</t>
        </is>
      </c>
      <c r="C1790" t="inlineStr">
        <is>
          <t>Föryngringsavverkning</t>
        </is>
      </c>
      <c r="D1790" s="1" t="n">
        <v>46212</v>
      </c>
      <c r="E1790" s="1" t="n">
        <v>46318</v>
      </c>
      <c r="F1790" t="inlineStr">
        <is>
          <t>JÄMTLANDS LÄN</t>
        </is>
      </c>
      <c r="G1790" t="inlineStr">
        <is>
          <t>STRÖMSUND</t>
        </is>
      </c>
      <c r="H1790" t="inlineStr">
        <is>
          <t>SCA</t>
        </is>
      </c>
      <c r="I1790" t="n">
        <v>14.9</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30669-2026</t>
        </is>
      </c>
      <c r="B1791" t="inlineStr">
        <is>
          <t>avverkningsanmälan</t>
        </is>
      </c>
      <c r="C1791" t="inlineStr">
        <is>
          <t>Föryngringsavverkning</t>
        </is>
      </c>
      <c r="D1791" s="1" t="n">
        <v>46211</v>
      </c>
      <c r="E1791" s="1" t="n">
        <v>46318</v>
      </c>
      <c r="F1791" t="inlineStr">
        <is>
          <t>JÄMTLANDS LÄN</t>
        </is>
      </c>
      <c r="G1791" t="inlineStr">
        <is>
          <t>STRÖMSUND</t>
        </is>
      </c>
      <c r="H1791" t="inlineStr">
        <is>
          <t>SCA</t>
        </is>
      </c>
      <c r="I1791" t="n">
        <v>10.7</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19180-2026</t>
        </is>
      </c>
      <c r="B1792" t="inlineStr">
        <is>
          <t>avverkningsanmälan</t>
        </is>
      </c>
      <c r="C1792" t="inlineStr">
        <is>
          <t>Föryngringsavverkning</t>
        </is>
      </c>
      <c r="D1792" s="1" t="n">
        <v>46132</v>
      </c>
      <c r="E1792" s="1" t="n">
        <v>46318</v>
      </c>
      <c r="F1792" t="inlineStr">
        <is>
          <t>JÄMTLANDS LÄN</t>
        </is>
      </c>
      <c r="G1792" t="inlineStr">
        <is>
          <t>STRÖMSUND</t>
        </is>
      </c>
      <c r="H1792" t="inlineStr">
        <is>
          <t>SCA</t>
        </is>
      </c>
      <c r="I1792" t="n">
        <v>3</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19183-2026</t>
        </is>
      </c>
      <c r="B1793" t="inlineStr">
        <is>
          <t>avverkningsanmälan</t>
        </is>
      </c>
      <c r="C1793" t="inlineStr">
        <is>
          <t>Föryngringsavverkning</t>
        </is>
      </c>
      <c r="D1793" s="1" t="n">
        <v>46132</v>
      </c>
      <c r="E1793" s="1" t="n">
        <v>46318</v>
      </c>
      <c r="F1793" t="inlineStr">
        <is>
          <t>JÄMTLANDS LÄN</t>
        </is>
      </c>
      <c r="G1793" t="inlineStr">
        <is>
          <t>STRÖMSUND</t>
        </is>
      </c>
      <c r="H1793" t="inlineStr">
        <is>
          <t>SCA</t>
        </is>
      </c>
      <c r="I1793" t="n">
        <v>5.1</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31117-2026</t>
        </is>
      </c>
      <c r="B1794" t="inlineStr">
        <is>
          <t>avverkningsanmälan</t>
        </is>
      </c>
      <c r="C1794" t="inlineStr">
        <is>
          <t>Föryngringsavverkning</t>
        </is>
      </c>
      <c r="D1794" s="1" t="n">
        <v>46216</v>
      </c>
      <c r="E1794" s="1" t="n">
        <v>46318</v>
      </c>
      <c r="F1794" t="inlineStr">
        <is>
          <t>JÄMTLANDS LÄN</t>
        </is>
      </c>
      <c r="G1794" t="inlineStr">
        <is>
          <t>STRÖMSUND</t>
        </is>
      </c>
      <c r="H1794" t="inlineStr">
        <is>
          <t>SCA</t>
        </is>
      </c>
      <c r="I1794" t="n">
        <v>4.7</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31004-2026</t>
        </is>
      </c>
      <c r="B1795" t="inlineStr">
        <is>
          <t>avverkningsanmälan</t>
        </is>
      </c>
      <c r="C1795" t="inlineStr">
        <is>
          <t>Föryngringsavverkning</t>
        </is>
      </c>
      <c r="D1795" s="1" t="n">
        <v>46213</v>
      </c>
      <c r="E1795" s="1" t="n">
        <v>46318</v>
      </c>
      <c r="F1795" t="inlineStr">
        <is>
          <t>JÄMTLANDS LÄN</t>
        </is>
      </c>
      <c r="G1795" t="inlineStr">
        <is>
          <t>STRÖMSUND</t>
        </is>
      </c>
      <c r="H1795" t="inlineStr">
        <is>
          <t>SCA</t>
        </is>
      </c>
      <c r="I1795" t="n">
        <v>12</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30959-2026</t>
        </is>
      </c>
      <c r="B1796" t="inlineStr">
        <is>
          <t>avverkningsanmälan</t>
        </is>
      </c>
      <c r="C1796" t="inlineStr">
        <is>
          <t>Föryngringsavverkning</t>
        </is>
      </c>
      <c r="D1796" s="1" t="n">
        <v>46213</v>
      </c>
      <c r="E1796" s="1" t="n">
        <v>46318</v>
      </c>
      <c r="F1796" t="inlineStr">
        <is>
          <t>JÄMTLANDS LÄN</t>
        </is>
      </c>
      <c r="G1796" t="inlineStr">
        <is>
          <t>STRÖMSUND</t>
        </is>
      </c>
      <c r="I1796" t="n">
        <v>5.8</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19428-2026</t>
        </is>
      </c>
      <c r="B1797" t="inlineStr">
        <is>
          <t>avverkningsanmälan</t>
        </is>
      </c>
      <c r="C1797" t="inlineStr">
        <is>
          <t>Föryngringsavverkning</t>
        </is>
      </c>
      <c r="D1797" s="1" t="n">
        <v>46133</v>
      </c>
      <c r="E1797" s="1" t="n">
        <v>46318</v>
      </c>
      <c r="F1797" t="inlineStr">
        <is>
          <t>JÄMTLANDS LÄN</t>
        </is>
      </c>
      <c r="G1797" t="inlineStr">
        <is>
          <t>STRÖMSUND</t>
        </is>
      </c>
      <c r="H1797" t="inlineStr">
        <is>
          <t>SCA</t>
        </is>
      </c>
      <c r="I1797" t="n">
        <v>9.199999999999999</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31073-2026</t>
        </is>
      </c>
      <c r="B1798" t="inlineStr">
        <is>
          <t>avverkningsanmälan</t>
        </is>
      </c>
      <c r="C1798" t="inlineStr">
        <is>
          <t>Föryngringsavverkning</t>
        </is>
      </c>
      <c r="D1798" s="1" t="n">
        <v>46216</v>
      </c>
      <c r="E1798" s="1" t="n">
        <v>46318</v>
      </c>
      <c r="F1798" t="inlineStr">
        <is>
          <t>JÄMTLANDS LÄN</t>
        </is>
      </c>
      <c r="G1798" t="inlineStr">
        <is>
          <t>STRÖMSUND</t>
        </is>
      </c>
      <c r="H1798" t="inlineStr">
        <is>
          <t>SCA</t>
        </is>
      </c>
      <c r="I1798" t="n">
        <v>1.1</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30955-2026</t>
        </is>
      </c>
      <c r="B1799" t="inlineStr">
        <is>
          <t>avverkningsanmälan</t>
        </is>
      </c>
      <c r="C1799" t="inlineStr">
        <is>
          <t>Föryngringsavverkning</t>
        </is>
      </c>
      <c r="D1799" s="1" t="n">
        <v>46213</v>
      </c>
      <c r="E1799" s="1" t="n">
        <v>46318</v>
      </c>
      <c r="F1799" t="inlineStr">
        <is>
          <t>JÄMTLANDS LÄN</t>
        </is>
      </c>
      <c r="G1799" t="inlineStr">
        <is>
          <t>STRÖMSUND</t>
        </is>
      </c>
      <c r="H1799" t="inlineStr">
        <is>
          <t>SCA</t>
        </is>
      </c>
      <c r="I1799" t="n">
        <v>1.9</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19131-2026</t>
        </is>
      </c>
      <c r="B1800" t="inlineStr">
        <is>
          <t>avverkningsanmälan</t>
        </is>
      </c>
      <c r="C1800" t="inlineStr">
        <is>
          <t>Föryngringsavverkning</t>
        </is>
      </c>
      <c r="D1800" s="1" t="n">
        <v>46132</v>
      </c>
      <c r="E1800" s="1" t="n">
        <v>46318</v>
      </c>
      <c r="F1800" t="inlineStr">
        <is>
          <t>JÄMTLANDS LÄN</t>
        </is>
      </c>
      <c r="G1800" t="inlineStr">
        <is>
          <t>STRÖMSUND</t>
        </is>
      </c>
      <c r="H1800" t="inlineStr">
        <is>
          <t>SCA</t>
        </is>
      </c>
      <c r="I1800" t="n">
        <v>1.6</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28602-2024</t>
        </is>
      </c>
      <c r="B1801" t="inlineStr">
        <is>
          <t>avverkningsanmälan</t>
        </is>
      </c>
      <c r="C1801" t="inlineStr">
        <is>
          <t>Föryngringsavverkning</t>
        </is>
      </c>
      <c r="D1801" s="1" t="n">
        <v>45478</v>
      </c>
      <c r="E1801" s="1" t="n">
        <v>46318</v>
      </c>
      <c r="F1801" t="inlineStr">
        <is>
          <t>JÄMTLANDS LÄN</t>
        </is>
      </c>
      <c r="G1801" t="inlineStr">
        <is>
          <t>STRÖMSUND</t>
        </is>
      </c>
      <c r="I1801" t="n">
        <v>18.6</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31003-2026</t>
        </is>
      </c>
      <c r="B1802" t="inlineStr">
        <is>
          <t>avverkningsanmälan</t>
        </is>
      </c>
      <c r="C1802" t="inlineStr">
        <is>
          <t>Föryngringsavverkning</t>
        </is>
      </c>
      <c r="D1802" s="1" t="n">
        <v>46213</v>
      </c>
      <c r="E1802" s="1" t="n">
        <v>46318</v>
      </c>
      <c r="F1802" t="inlineStr">
        <is>
          <t>JÄMTLANDS LÄN</t>
        </is>
      </c>
      <c r="G1802" t="inlineStr">
        <is>
          <t>STRÖMSUND</t>
        </is>
      </c>
      <c r="H1802" t="inlineStr">
        <is>
          <t>SCA</t>
        </is>
      </c>
      <c r="I1802" t="n">
        <v>0.8</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19155-2026</t>
        </is>
      </c>
      <c r="B1803" t="inlineStr">
        <is>
          <t>avverkningsanmälan</t>
        </is>
      </c>
      <c r="C1803" t="inlineStr">
        <is>
          <t>Föryngringsavverkning</t>
        </is>
      </c>
      <c r="D1803" s="1" t="n">
        <v>46132</v>
      </c>
      <c r="E1803" s="1" t="n">
        <v>46318</v>
      </c>
      <c r="F1803" t="inlineStr">
        <is>
          <t>JÄMTLANDS LÄN</t>
        </is>
      </c>
      <c r="G1803" t="inlineStr">
        <is>
          <t>STRÖMSUND</t>
        </is>
      </c>
      <c r="I1803" t="n">
        <v>3.1</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19203-2026</t>
        </is>
      </c>
      <c r="B1804" t="inlineStr">
        <is>
          <t>avverkningsanmälan</t>
        </is>
      </c>
      <c r="C1804" t="inlineStr">
        <is>
          <t>Föryngringsavverkning</t>
        </is>
      </c>
      <c r="D1804" s="1" t="n">
        <v>46132</v>
      </c>
      <c r="E1804" s="1" t="n">
        <v>46318</v>
      </c>
      <c r="F1804" t="inlineStr">
        <is>
          <t>JÄMTLANDS LÄN</t>
        </is>
      </c>
      <c r="G1804" t="inlineStr">
        <is>
          <t>STRÖMSUND</t>
        </is>
      </c>
      <c r="H1804" t="inlineStr">
        <is>
          <t>SCA</t>
        </is>
      </c>
      <c r="I1804" t="n">
        <v>1.7</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19300-2026</t>
        </is>
      </c>
      <c r="B1805" t="inlineStr">
        <is>
          <t>avverkningsanmälan</t>
        </is>
      </c>
      <c r="C1805" t="inlineStr">
        <is>
          <t>Föryngringsavverkning</t>
        </is>
      </c>
      <c r="D1805" s="1" t="n">
        <v>46133</v>
      </c>
      <c r="E1805" s="1" t="n">
        <v>46318</v>
      </c>
      <c r="F1805" t="inlineStr">
        <is>
          <t>JÄMTLANDS LÄN</t>
        </is>
      </c>
      <c r="G1805" t="inlineStr">
        <is>
          <t>STRÖMSUND</t>
        </is>
      </c>
      <c r="H1805" t="inlineStr">
        <is>
          <t>SCA</t>
        </is>
      </c>
      <c r="I1805" t="n">
        <v>18</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31177-2026</t>
        </is>
      </c>
      <c r="B1806" t="inlineStr">
        <is>
          <t>avverkningsanmälan</t>
        </is>
      </c>
      <c r="C1806" t="inlineStr">
        <is>
          <t>Föryngringsavverkning</t>
        </is>
      </c>
      <c r="D1806" s="1" t="n">
        <v>46217</v>
      </c>
      <c r="E1806" s="1" t="n">
        <v>46318</v>
      </c>
      <c r="F1806" t="inlineStr">
        <is>
          <t>JÄMTLANDS LÄN</t>
        </is>
      </c>
      <c r="G1806" t="inlineStr">
        <is>
          <t>STRÖMSUND</t>
        </is>
      </c>
      <c r="I1806" t="n">
        <v>1.3</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31178-2026</t>
        </is>
      </c>
      <c r="B1807" t="inlineStr">
        <is>
          <t>avverkningsanmälan</t>
        </is>
      </c>
      <c r="C1807" t="inlineStr">
        <is>
          <t>Föryngringsavverkning</t>
        </is>
      </c>
      <c r="D1807" s="1" t="n">
        <v>46217</v>
      </c>
      <c r="E1807" s="1" t="n">
        <v>46318</v>
      </c>
      <c r="F1807" t="inlineStr">
        <is>
          <t>JÄMTLANDS LÄN</t>
        </is>
      </c>
      <c r="G1807" t="inlineStr">
        <is>
          <t>STRÖMSUND</t>
        </is>
      </c>
      <c r="I1807" t="n">
        <v>3.6</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28878-2024</t>
        </is>
      </c>
      <c r="B1808" t="inlineStr">
        <is>
          <t>avverkningsanmälan</t>
        </is>
      </c>
      <c r="C1808" t="inlineStr">
        <is>
          <t>Föryngringsavverkning</t>
        </is>
      </c>
      <c r="D1808" s="1" t="n">
        <v>45478</v>
      </c>
      <c r="E1808" s="1" t="n">
        <v>46318</v>
      </c>
      <c r="F1808" t="inlineStr">
        <is>
          <t>JÄMTLANDS LÄN</t>
        </is>
      </c>
      <c r="G1808" t="inlineStr">
        <is>
          <t>STRÖMSUND</t>
        </is>
      </c>
      <c r="I1808" t="n">
        <v>0.5</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25475-2026</t>
        </is>
      </c>
      <c r="B1809" t="inlineStr">
        <is>
          <t>avverkningsanmälan</t>
        </is>
      </c>
      <c r="C1809" t="inlineStr">
        <is>
          <t>Föryngringsavverkning</t>
        </is>
      </c>
      <c r="D1809" s="1" t="n">
        <v>46177</v>
      </c>
      <c r="E1809" s="1" t="n">
        <v>46318</v>
      </c>
      <c r="F1809" t="inlineStr">
        <is>
          <t>JÄMTLANDS LÄN</t>
        </is>
      </c>
      <c r="G1809" t="inlineStr">
        <is>
          <t>STRÖMSUND</t>
        </is>
      </c>
      <c r="H1809" t="inlineStr">
        <is>
          <t>SCA</t>
        </is>
      </c>
      <c r="I1809" t="n">
        <v>6.9</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25472-2026</t>
        </is>
      </c>
      <c r="B1810" t="inlineStr">
        <is>
          <t>avverkningsanmälan</t>
        </is>
      </c>
      <c r="C1810" t="inlineStr">
        <is>
          <t>Föryngringsavverkning</t>
        </is>
      </c>
      <c r="D1810" s="1" t="n">
        <v>46177</v>
      </c>
      <c r="E1810" s="1" t="n">
        <v>46318</v>
      </c>
      <c r="F1810" t="inlineStr">
        <is>
          <t>JÄMTLANDS LÄN</t>
        </is>
      </c>
      <c r="G1810" t="inlineStr">
        <is>
          <t>STRÖMSUND</t>
        </is>
      </c>
      <c r="H1810" t="inlineStr">
        <is>
          <t>SCA</t>
        </is>
      </c>
      <c r="I1810" t="n">
        <v>57.1</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18238-2026</t>
        </is>
      </c>
      <c r="B1811" t="inlineStr">
        <is>
          <t>avverkningsanmälan</t>
        </is>
      </c>
      <c r="C1811" t="inlineStr">
        <is>
          <t>Föryngringsavverkning</t>
        </is>
      </c>
      <c r="D1811" s="1" t="n">
        <v>46126</v>
      </c>
      <c r="E1811" s="1" t="n">
        <v>46318</v>
      </c>
      <c r="F1811" t="inlineStr">
        <is>
          <t>JÄMTLANDS LÄN</t>
        </is>
      </c>
      <c r="G1811" t="inlineStr">
        <is>
          <t>STRÖMSUND</t>
        </is>
      </c>
      <c r="H1811" t="inlineStr">
        <is>
          <t>SCA</t>
        </is>
      </c>
      <c r="I1811" t="n">
        <v>28.2</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11808-2026</t>
        </is>
      </c>
      <c r="B1812" t="inlineStr">
        <is>
          <t>avverkningsanmälan</t>
        </is>
      </c>
      <c r="C1812" t="inlineStr">
        <is>
          <t>Föryngringsavverkning</t>
        </is>
      </c>
      <c r="D1812" s="1" t="n">
        <v>46085</v>
      </c>
      <c r="E1812" s="1" t="n">
        <v>46318</v>
      </c>
      <c r="F1812" t="inlineStr">
        <is>
          <t>JÄMTLANDS LÄN</t>
        </is>
      </c>
      <c r="G1812" t="inlineStr">
        <is>
          <t>STRÖMSUND</t>
        </is>
      </c>
      <c r="H1812" t="inlineStr">
        <is>
          <t>SCA</t>
        </is>
      </c>
      <c r="I1812" t="n">
        <v>5.2</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31176-2026</t>
        </is>
      </c>
      <c r="B1813" t="inlineStr">
        <is>
          <t>avverkningsanmälan</t>
        </is>
      </c>
      <c r="C1813" t="inlineStr">
        <is>
          <t>Föryngringsavverkning</t>
        </is>
      </c>
      <c r="D1813" s="1" t="n">
        <v>46217</v>
      </c>
      <c r="E1813" s="1" t="n">
        <v>46318</v>
      </c>
      <c r="F1813" t="inlineStr">
        <is>
          <t>JÄMTLANDS LÄN</t>
        </is>
      </c>
      <c r="G1813" t="inlineStr">
        <is>
          <t>STRÖMSUND</t>
        </is>
      </c>
      <c r="I1813" t="n">
        <v>5.3</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29887-2026</t>
        </is>
      </c>
      <c r="B1814" t="inlineStr">
        <is>
          <t>avverkningsanmälan</t>
        </is>
      </c>
      <c r="C1814" t="inlineStr">
        <is>
          <t>Föryngringsavverkning</t>
        </is>
      </c>
      <c r="D1814" s="1" t="n">
        <v>46205</v>
      </c>
      <c r="E1814" s="1" t="n">
        <v>46318</v>
      </c>
      <c r="F1814" t="inlineStr">
        <is>
          <t>JÄMTLANDS LÄN</t>
        </is>
      </c>
      <c r="G1814" t="inlineStr">
        <is>
          <t>STRÖMSUND</t>
        </is>
      </c>
      <c r="H1814" t="inlineStr">
        <is>
          <t>SCA</t>
        </is>
      </c>
      <c r="I1814" t="n">
        <v>11</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11557-2026</t>
        </is>
      </c>
      <c r="B1815" t="inlineStr">
        <is>
          <t>avverkningsanmälan</t>
        </is>
      </c>
      <c r="C1815" t="inlineStr">
        <is>
          <t>Föryngringsavverkning</t>
        </is>
      </c>
      <c r="D1815" s="1" t="n">
        <v>46084</v>
      </c>
      <c r="E1815" s="1" t="n">
        <v>46318</v>
      </c>
      <c r="F1815" t="inlineStr">
        <is>
          <t>JÄMTLANDS LÄN</t>
        </is>
      </c>
      <c r="G1815" t="inlineStr">
        <is>
          <t>STRÖMSUND</t>
        </is>
      </c>
      <c r="H1815" t="inlineStr">
        <is>
          <t>SCA</t>
        </is>
      </c>
      <c r="I1815" t="n">
        <v>3.8</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11558-2026</t>
        </is>
      </c>
      <c r="B1816" t="inlineStr">
        <is>
          <t>avverkningsanmälan</t>
        </is>
      </c>
      <c r="C1816" t="inlineStr">
        <is>
          <t>Föryngringsavverkning</t>
        </is>
      </c>
      <c r="D1816" s="1" t="n">
        <v>46084</v>
      </c>
      <c r="E1816" s="1" t="n">
        <v>46318</v>
      </c>
      <c r="F1816" t="inlineStr">
        <is>
          <t>JÄMTLANDS LÄN</t>
        </is>
      </c>
      <c r="G1816" t="inlineStr">
        <is>
          <t>STRÖMSUND</t>
        </is>
      </c>
      <c r="H1816" t="inlineStr">
        <is>
          <t>SCA</t>
        </is>
      </c>
      <c r="I1816" t="n">
        <v>1.1</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19516-2026</t>
        </is>
      </c>
      <c r="B1817" t="inlineStr">
        <is>
          <t>avverkningsanmälan</t>
        </is>
      </c>
      <c r="C1817" t="inlineStr">
        <is>
          <t>Föryngringsavverkning</t>
        </is>
      </c>
      <c r="D1817" s="1" t="n">
        <v>46134</v>
      </c>
      <c r="E1817" s="1" t="n">
        <v>46318</v>
      </c>
      <c r="F1817" t="inlineStr">
        <is>
          <t>JÄMTLANDS LÄN</t>
        </is>
      </c>
      <c r="G1817" t="inlineStr">
        <is>
          <t>STRÖMSUND</t>
        </is>
      </c>
      <c r="H1817" t="inlineStr">
        <is>
          <t>SCA</t>
        </is>
      </c>
      <c r="I1817" t="n">
        <v>30.6</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11559-2026</t>
        </is>
      </c>
      <c r="B1818" t="inlineStr">
        <is>
          <t>avverkningsanmälan</t>
        </is>
      </c>
      <c r="C1818" t="inlineStr">
        <is>
          <t>Föryngringsavverkning</t>
        </is>
      </c>
      <c r="D1818" s="1" t="n">
        <v>46084</v>
      </c>
      <c r="E1818" s="1" t="n">
        <v>46318</v>
      </c>
      <c r="F1818" t="inlineStr">
        <is>
          <t>JÄMTLANDS LÄN</t>
        </is>
      </c>
      <c r="G1818" t="inlineStr">
        <is>
          <t>STRÖMSUND</t>
        </is>
      </c>
      <c r="H1818" t="inlineStr">
        <is>
          <t>SCA</t>
        </is>
      </c>
      <c r="I1818" t="n">
        <v>8.5</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22729-2026</t>
        </is>
      </c>
      <c r="B1819" t="inlineStr">
        <is>
          <t>avverkningsanmälan</t>
        </is>
      </c>
      <c r="C1819" t="inlineStr">
        <is>
          <t>Föryngringsavverkning</t>
        </is>
      </c>
      <c r="D1819" s="1" t="n">
        <v>46157</v>
      </c>
      <c r="E1819" s="1" t="n">
        <v>46318</v>
      </c>
      <c r="F1819" t="inlineStr">
        <is>
          <t>JÄMTLANDS LÄN</t>
        </is>
      </c>
      <c r="G1819" t="inlineStr">
        <is>
          <t>STRÖMSUND</t>
        </is>
      </c>
      <c r="H1819" t="inlineStr">
        <is>
          <t>SCA</t>
        </is>
      </c>
      <c r="I1819" t="n">
        <v>1.4</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19844-2026</t>
        </is>
      </c>
      <c r="B1820" t="inlineStr">
        <is>
          <t>avverkningsanmälan</t>
        </is>
      </c>
      <c r="C1820" t="inlineStr">
        <is>
          <t>Föryngringsavverkning</t>
        </is>
      </c>
      <c r="D1820" s="1" t="n">
        <v>46135</v>
      </c>
      <c r="E1820" s="1" t="n">
        <v>46318</v>
      </c>
      <c r="F1820" t="inlineStr">
        <is>
          <t>JÄMTLANDS LÄN</t>
        </is>
      </c>
      <c r="G1820" t="inlineStr">
        <is>
          <t>STRÖMSUND</t>
        </is>
      </c>
      <c r="H1820" t="inlineStr">
        <is>
          <t>SCA</t>
        </is>
      </c>
      <c r="I1820" t="n">
        <v>4.4</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19617-2026</t>
        </is>
      </c>
      <c r="B1821" t="inlineStr">
        <is>
          <t>avverkningsanmälan</t>
        </is>
      </c>
      <c r="C1821" t="inlineStr">
        <is>
          <t>Föryngringsavverkning</t>
        </is>
      </c>
      <c r="D1821" s="1" t="n">
        <v>46134</v>
      </c>
      <c r="E1821" s="1" t="n">
        <v>46318</v>
      </c>
      <c r="F1821" t="inlineStr">
        <is>
          <t>JÄMTLANDS LÄN</t>
        </is>
      </c>
      <c r="G1821" t="inlineStr">
        <is>
          <t>STRÖMSUND</t>
        </is>
      </c>
      <c r="H1821" t="inlineStr">
        <is>
          <t>SCA</t>
        </is>
      </c>
      <c r="I1821" t="n">
        <v>0.4</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31429-2026</t>
        </is>
      </c>
      <c r="B1822" t="inlineStr">
        <is>
          <t>avverkningsanmälan</t>
        </is>
      </c>
      <c r="C1822" t="inlineStr">
        <is>
          <t>Föryngringsavverkning</t>
        </is>
      </c>
      <c r="D1822" s="1" t="n">
        <v>46220</v>
      </c>
      <c r="E1822" s="1" t="n">
        <v>46318</v>
      </c>
      <c r="F1822" t="inlineStr">
        <is>
          <t>JÄMTLANDS LÄN</t>
        </is>
      </c>
      <c r="G1822" t="inlineStr">
        <is>
          <t>STRÖMSUND</t>
        </is>
      </c>
      <c r="H1822" t="inlineStr">
        <is>
          <t>SCA</t>
        </is>
      </c>
      <c r="I1822" t="n">
        <v>6.4</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52139-2023</t>
        </is>
      </c>
      <c r="B1823" t="inlineStr">
        <is>
          <t>avverkningsanmälan</t>
        </is>
      </c>
      <c r="C1823" t="inlineStr">
        <is>
          <t>Föryngringsavverkning</t>
        </is>
      </c>
      <c r="D1823" s="1" t="n">
        <v>45223</v>
      </c>
      <c r="E1823" s="1" t="n">
        <v>46318</v>
      </c>
      <c r="F1823" t="inlineStr">
        <is>
          <t>JÄMTLANDS LÄN</t>
        </is>
      </c>
      <c r="G1823" t="inlineStr">
        <is>
          <t>STRÖMSUND</t>
        </is>
      </c>
      <c r="H1823" t="inlineStr">
        <is>
          <t>SCA</t>
        </is>
      </c>
      <c r="I1823" t="n">
        <v>3.6</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35904-2024</t>
        </is>
      </c>
      <c r="B1824" t="inlineStr">
        <is>
          <t>avverkningsanmälan</t>
        </is>
      </c>
      <c r="C1824" t="inlineStr">
        <is>
          <t>Avverkning för annat ändamål</t>
        </is>
      </c>
      <c r="D1824" s="1" t="n">
        <v>45533</v>
      </c>
      <c r="E1824" s="1" t="n">
        <v>46318</v>
      </c>
      <c r="F1824" t="inlineStr">
        <is>
          <t>JÄMTLANDS LÄN</t>
        </is>
      </c>
      <c r="G1824" t="inlineStr">
        <is>
          <t>STRÖMSUND</t>
        </is>
      </c>
      <c r="H1824" t="inlineStr">
        <is>
          <t>SCA</t>
        </is>
      </c>
      <c r="I1824" t="n">
        <v>1.5</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31608-2026</t>
        </is>
      </c>
      <c r="B1825" t="inlineStr">
        <is>
          <t>avverkningsanmälan</t>
        </is>
      </c>
      <c r="C1825" t="inlineStr">
        <is>
          <t>Föryngringsavverkning</t>
        </is>
      </c>
      <c r="D1825" s="1" t="n">
        <v>46224</v>
      </c>
      <c r="E1825" s="1" t="n">
        <v>46318</v>
      </c>
      <c r="F1825" t="inlineStr">
        <is>
          <t>JÄMTLANDS LÄN</t>
        </is>
      </c>
      <c r="G1825" t="inlineStr">
        <is>
          <t>STRÖMSUND</t>
        </is>
      </c>
      <c r="I1825" t="n">
        <v>11.5</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32731-2023</t>
        </is>
      </c>
      <c r="B1826" t="inlineStr">
        <is>
          <t>avverkningsanmälan</t>
        </is>
      </c>
      <c r="C1826" t="inlineStr">
        <is>
          <t>Föryngringsavverkning</t>
        </is>
      </c>
      <c r="D1826" s="1" t="n">
        <v>45121</v>
      </c>
      <c r="E1826" s="1" t="n">
        <v>46318</v>
      </c>
      <c r="F1826" t="inlineStr">
        <is>
          <t>JÄMTLANDS LÄN</t>
        </is>
      </c>
      <c r="G1826" t="inlineStr">
        <is>
          <t>STRÖMSUND</t>
        </is>
      </c>
      <c r="I1826" t="n">
        <v>1.4</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19261-2023</t>
        </is>
      </c>
      <c r="B1827" t="inlineStr">
        <is>
          <t>avverkningsanmälan</t>
        </is>
      </c>
      <c r="C1827" t="inlineStr">
        <is>
          <t>Föryngringsavverkning</t>
        </is>
      </c>
      <c r="D1827" s="1" t="n">
        <v>45048</v>
      </c>
      <c r="E1827" s="1" t="n">
        <v>46318</v>
      </c>
      <c r="F1827" t="inlineStr">
        <is>
          <t>JÄMTLANDS LÄN</t>
        </is>
      </c>
      <c r="G1827" t="inlineStr">
        <is>
          <t>STRÖMSUND</t>
        </is>
      </c>
      <c r="I1827" t="n">
        <v>17.2</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31613-2026</t>
        </is>
      </c>
      <c r="B1828" t="inlineStr">
        <is>
          <t>avverkningsanmälan</t>
        </is>
      </c>
      <c r="C1828" t="inlineStr">
        <is>
          <t>Föryngringsavverkning</t>
        </is>
      </c>
      <c r="D1828" s="1" t="n">
        <v>46225</v>
      </c>
      <c r="E1828" s="1" t="n">
        <v>46318</v>
      </c>
      <c r="F1828" t="inlineStr">
        <is>
          <t>JÄMTLANDS LÄN</t>
        </is>
      </c>
      <c r="G1828" t="inlineStr">
        <is>
          <t>STRÖMSUND</t>
        </is>
      </c>
      <c r="H1828" t="inlineStr">
        <is>
          <t>SCA</t>
        </is>
      </c>
      <c r="I1828" t="n">
        <v>2.4</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28752-2023</t>
        </is>
      </c>
      <c r="B1829" t="inlineStr">
        <is>
          <t>avverkningsanmälan</t>
        </is>
      </c>
      <c r="C1829" t="inlineStr">
        <is>
          <t>Föryngringsavverkning</t>
        </is>
      </c>
      <c r="D1829" s="1" t="n">
        <v>45103</v>
      </c>
      <c r="E1829" s="1" t="n">
        <v>46318</v>
      </c>
      <c r="F1829" t="inlineStr">
        <is>
          <t>JÄMTLANDS LÄN</t>
        </is>
      </c>
      <c r="G1829" t="inlineStr">
        <is>
          <t>STRÖMSUND</t>
        </is>
      </c>
      <c r="H1829" t="inlineStr">
        <is>
          <t>SCA</t>
        </is>
      </c>
      <c r="I1829" t="n">
        <v>0.7</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2619-2024</t>
        </is>
      </c>
      <c r="B1830" t="inlineStr">
        <is>
          <t>avverkningsanmälan</t>
        </is>
      </c>
      <c r="C1830" t="inlineStr">
        <is>
          <t>Föryngringsavverkning</t>
        </is>
      </c>
      <c r="D1830" s="1" t="n">
        <v>45313</v>
      </c>
      <c r="E1830" s="1" t="n">
        <v>46318</v>
      </c>
      <c r="F1830" t="inlineStr">
        <is>
          <t>JÄMTLANDS LÄN</t>
        </is>
      </c>
      <c r="G1830" t="inlineStr">
        <is>
          <t>STRÖMSUND</t>
        </is>
      </c>
      <c r="I1830" t="n">
        <v>3.1</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31831-2026</t>
        </is>
      </c>
      <c r="B1831" t="inlineStr">
        <is>
          <t>avverkningsanmälan</t>
        </is>
      </c>
      <c r="C1831" t="inlineStr">
        <is>
          <t>Föryngringsavverkning</t>
        </is>
      </c>
      <c r="D1831" s="1" t="n">
        <v>46230</v>
      </c>
      <c r="E1831" s="1" t="n">
        <v>46318</v>
      </c>
      <c r="F1831" t="inlineStr">
        <is>
          <t>JÄMTLANDS LÄN</t>
        </is>
      </c>
      <c r="G1831" t="inlineStr">
        <is>
          <t>STRÖMSUND</t>
        </is>
      </c>
      <c r="H1831" t="inlineStr">
        <is>
          <t>SCA</t>
        </is>
      </c>
      <c r="I1831" t="n">
        <v>5.7</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59152-2024</t>
        </is>
      </c>
      <c r="B1832" t="inlineStr">
        <is>
          <t>avverkningsanmälan</t>
        </is>
      </c>
      <c r="C1832" t="inlineStr">
        <is>
          <t>Föryngringsavverkning</t>
        </is>
      </c>
      <c r="D1832" s="1" t="n">
        <v>45637</v>
      </c>
      <c r="E1832" s="1" t="n">
        <v>46318</v>
      </c>
      <c r="F1832" t="inlineStr">
        <is>
          <t>JÄMTLANDS LÄN</t>
        </is>
      </c>
      <c r="G1832" t="inlineStr">
        <is>
          <t>STRÖMSUND</t>
        </is>
      </c>
      <c r="I1832" t="n">
        <v>1.4</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27542-2026</t>
        </is>
      </c>
      <c r="B1833" t="inlineStr">
        <is>
          <t>avverkningsanmälan</t>
        </is>
      </c>
      <c r="C1833" t="inlineStr">
        <is>
          <t>Avverkning för annat ändamål</t>
        </is>
      </c>
      <c r="D1833" s="1" t="n">
        <v>46187</v>
      </c>
      <c r="E1833" s="1" t="n">
        <v>46318</v>
      </c>
      <c r="F1833" t="inlineStr">
        <is>
          <t>JÄMTLANDS LÄN</t>
        </is>
      </c>
      <c r="G1833" t="inlineStr">
        <is>
          <t>STRÖMSUND</t>
        </is>
      </c>
      <c r="I1833" t="n">
        <v>2.4</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31818-2026</t>
        </is>
      </c>
      <c r="B1834" t="inlineStr">
        <is>
          <t>avverkningsanmälan</t>
        </is>
      </c>
      <c r="C1834" t="inlineStr">
        <is>
          <t>Avverkning för att bevara och utveckla /försöksver</t>
        </is>
      </c>
      <c r="D1834" s="1" t="n">
        <v>46230</v>
      </c>
      <c r="E1834" s="1" t="n">
        <v>46318</v>
      </c>
      <c r="F1834" t="inlineStr">
        <is>
          <t>JÄMTLANDS LÄN</t>
        </is>
      </c>
      <c r="G1834" t="inlineStr">
        <is>
          <t>STRÖMSUND</t>
        </is>
      </c>
      <c r="H1834" t="inlineStr">
        <is>
          <t>SCA</t>
        </is>
      </c>
      <c r="I1834" t="n">
        <v>1.3</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18863-2025</t>
        </is>
      </c>
      <c r="B1835" t="inlineStr">
        <is>
          <t>avverkningsanmälan</t>
        </is>
      </c>
      <c r="C1835" t="inlineStr">
        <is>
          <t>Föryngringsavverkning</t>
        </is>
      </c>
      <c r="D1835" s="1" t="n">
        <v>45764</v>
      </c>
      <c r="E1835" s="1" t="n">
        <v>46318</v>
      </c>
      <c r="F1835" t="inlineStr">
        <is>
          <t>JÄMTLANDS LÄN</t>
        </is>
      </c>
      <c r="G1835" t="inlineStr">
        <is>
          <t>STRÖMSUND</t>
        </is>
      </c>
      <c r="H1835" t="inlineStr">
        <is>
          <t>SCA</t>
        </is>
      </c>
      <c r="I1835" t="n">
        <v>6.2</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18768-2023</t>
        </is>
      </c>
      <c r="B1836" t="inlineStr">
        <is>
          <t>avverkningsanmälan</t>
        </is>
      </c>
      <c r="C1836" t="inlineStr">
        <is>
          <t>Föryngringsavverkning</t>
        </is>
      </c>
      <c r="D1836" s="1" t="n">
        <v>45043</v>
      </c>
      <c r="E1836" s="1" t="n">
        <v>46318</v>
      </c>
      <c r="F1836" t="inlineStr">
        <is>
          <t>JÄMTLANDS LÄN</t>
        </is>
      </c>
      <c r="G1836" t="inlineStr">
        <is>
          <t>STRÖMSUND</t>
        </is>
      </c>
      <c r="H1836" t="inlineStr">
        <is>
          <t>SCA</t>
        </is>
      </c>
      <c r="I1836" t="n">
        <v>3.1</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18773-2023</t>
        </is>
      </c>
      <c r="B1837" t="inlineStr">
        <is>
          <t>avverkningsanmälan</t>
        </is>
      </c>
      <c r="C1837" t="inlineStr">
        <is>
          <t>Avverkning för att bevara och utveckla /försöksver</t>
        </is>
      </c>
      <c r="D1837" s="1" t="n">
        <v>45043</v>
      </c>
      <c r="E1837" s="1" t="n">
        <v>46318</v>
      </c>
      <c r="F1837" t="inlineStr">
        <is>
          <t>JÄMTLANDS LÄN</t>
        </is>
      </c>
      <c r="G1837" t="inlineStr">
        <is>
          <t>STRÖMSUND</t>
        </is>
      </c>
      <c r="H1837" t="inlineStr">
        <is>
          <t>SCA</t>
        </is>
      </c>
      <c r="I1837" t="n">
        <v>2.4</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32134-2026</t>
        </is>
      </c>
      <c r="B1838" t="inlineStr">
        <is>
          <t>avverkningsanmälan</t>
        </is>
      </c>
      <c r="C1838" t="inlineStr">
        <is>
          <t>Föryngringsavverkning</t>
        </is>
      </c>
      <c r="D1838" s="1" t="n">
        <v>46234</v>
      </c>
      <c r="E1838" s="1" t="n">
        <v>46318</v>
      </c>
      <c r="F1838" t="inlineStr">
        <is>
          <t>JÄMTLANDS LÄN</t>
        </is>
      </c>
      <c r="G1838" t="inlineStr">
        <is>
          <t>STRÖMSUND</t>
        </is>
      </c>
      <c r="I1838" t="n">
        <v>6.3</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32144-2026</t>
        </is>
      </c>
      <c r="B1839" t="inlineStr">
        <is>
          <t>avverkningsanmälan</t>
        </is>
      </c>
      <c r="C1839" t="inlineStr">
        <is>
          <t>Föryngringsavverkning</t>
        </is>
      </c>
      <c r="D1839" s="1" t="n">
        <v>46234</v>
      </c>
      <c r="E1839" s="1" t="n">
        <v>46318</v>
      </c>
      <c r="F1839" t="inlineStr">
        <is>
          <t>JÄMTLANDS LÄN</t>
        </is>
      </c>
      <c r="G1839" t="inlineStr">
        <is>
          <t>STRÖMSUND</t>
        </is>
      </c>
      <c r="I1839" t="n">
        <v>15.9</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37802-2026</t>
        </is>
      </c>
      <c r="B1840" t="inlineStr">
        <is>
          <t>avverkningsanmälan</t>
        </is>
      </c>
      <c r="C1840" t="inlineStr">
        <is>
          <t>Föryngringsavverkning</t>
        </is>
      </c>
      <c r="D1840" s="1" t="n">
        <v>46279</v>
      </c>
      <c r="E1840" s="1" t="n">
        <v>46318</v>
      </c>
      <c r="F1840" t="inlineStr">
        <is>
          <t>JÄMTLANDS LÄN</t>
        </is>
      </c>
      <c r="G1840" t="inlineStr">
        <is>
          <t>STRÖMSUND</t>
        </is>
      </c>
      <c r="I1840" t="n">
        <v>0.8</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37516-2026</t>
        </is>
      </c>
      <c r="B1841" t="inlineStr">
        <is>
          <t>avverkningsanmälan</t>
        </is>
      </c>
      <c r="C1841" t="inlineStr">
        <is>
          <t>Föryngringsavverkning</t>
        </is>
      </c>
      <c r="D1841" s="1" t="n">
        <v>46276</v>
      </c>
      <c r="E1841" s="1" t="n">
        <v>46318</v>
      </c>
      <c r="F1841" t="inlineStr">
        <is>
          <t>JÄMTLANDS LÄN</t>
        </is>
      </c>
      <c r="G1841" t="inlineStr">
        <is>
          <t>STRÖMSUND</t>
        </is>
      </c>
      <c r="H1841" t="inlineStr">
        <is>
          <t>SCA</t>
        </is>
      </c>
      <c r="I1841" t="n">
        <v>1.1</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41988-2024</t>
        </is>
      </c>
      <c r="B1842" t="inlineStr">
        <is>
          <t>avverkningsanmälan</t>
        </is>
      </c>
      <c r="C1842" t="inlineStr">
        <is>
          <t>Föryngringsavverkning</t>
        </is>
      </c>
      <c r="D1842" s="1" t="n">
        <v>45561</v>
      </c>
      <c r="E1842" s="1" t="n">
        <v>46318</v>
      </c>
      <c r="F1842" t="inlineStr">
        <is>
          <t>JÄMTLANDS LÄN</t>
        </is>
      </c>
      <c r="G1842" t="inlineStr">
        <is>
          <t>STRÖMSUND</t>
        </is>
      </c>
      <c r="H1842" t="inlineStr">
        <is>
          <t>SCA</t>
        </is>
      </c>
      <c r="I1842" t="n">
        <v>2.3</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37886-2026</t>
        </is>
      </c>
      <c r="B1843" t="inlineStr">
        <is>
          <t>avverkningsanmälan</t>
        </is>
      </c>
      <c r="C1843" t="inlineStr">
        <is>
          <t>Föryngringsavverkning</t>
        </is>
      </c>
      <c r="D1843" s="1" t="n">
        <v>46279</v>
      </c>
      <c r="E1843" s="1" t="n">
        <v>46318</v>
      </c>
      <c r="F1843" t="inlineStr">
        <is>
          <t>JÄMTLANDS LÄN</t>
        </is>
      </c>
      <c r="G1843" t="inlineStr">
        <is>
          <t>STRÖMSUND</t>
        </is>
      </c>
      <c r="H1843" t="inlineStr">
        <is>
          <t>Kyrkan</t>
        </is>
      </c>
      <c r="I1843" t="n">
        <v>26.4</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28377-2023</t>
        </is>
      </c>
      <c r="B1844" t="inlineStr">
        <is>
          <t>avverkningsanmälan</t>
        </is>
      </c>
      <c r="C1844" t="inlineStr">
        <is>
          <t>Föryngringsavverkning</t>
        </is>
      </c>
      <c r="D1844" s="1" t="n">
        <v>45099</v>
      </c>
      <c r="E1844" s="1" t="n">
        <v>46318</v>
      </c>
      <c r="F1844" t="inlineStr">
        <is>
          <t>JÄMTLANDS LÄN</t>
        </is>
      </c>
      <c r="G1844" t="inlineStr">
        <is>
          <t>STRÖMSUND</t>
        </is>
      </c>
      <c r="H1844" t="inlineStr">
        <is>
          <t>SCA</t>
        </is>
      </c>
      <c r="I1844" t="n">
        <v>0.5</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32149-2026</t>
        </is>
      </c>
      <c r="B1845" t="inlineStr">
        <is>
          <t>avverkningsanmälan</t>
        </is>
      </c>
      <c r="C1845" t="inlineStr">
        <is>
          <t>Avverkning för att bevara och utveckla /försöksver</t>
        </is>
      </c>
      <c r="D1845" s="1" t="n">
        <v>46235</v>
      </c>
      <c r="E1845" s="1" t="n">
        <v>46318</v>
      </c>
      <c r="F1845" t="inlineStr">
        <is>
          <t>JÄMTLANDS LÄN</t>
        </is>
      </c>
      <c r="G1845" t="inlineStr">
        <is>
          <t>STRÖMSUND</t>
        </is>
      </c>
      <c r="H1845" t="inlineStr">
        <is>
          <t>SCA</t>
        </is>
      </c>
      <c r="I1845" t="n">
        <v>3.6</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25052-2023</t>
        </is>
      </c>
      <c r="B1846" t="inlineStr">
        <is>
          <t>avverkningsanmälan</t>
        </is>
      </c>
      <c r="C1846" t="inlineStr">
        <is>
          <t>Föryngringsavverkning</t>
        </is>
      </c>
      <c r="D1846" s="1" t="n">
        <v>45085</v>
      </c>
      <c r="E1846" s="1" t="n">
        <v>46318</v>
      </c>
      <c r="F1846" t="inlineStr">
        <is>
          <t>JÄMTLANDS LÄN</t>
        </is>
      </c>
      <c r="G1846" t="inlineStr">
        <is>
          <t>STRÖMSUND</t>
        </is>
      </c>
      <c r="H1846" t="inlineStr">
        <is>
          <t>SCA</t>
        </is>
      </c>
      <c r="I1846" t="n">
        <v>1.5</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42681-2024</t>
        </is>
      </c>
      <c r="B1847" t="inlineStr">
        <is>
          <t>avverkningsanmälan</t>
        </is>
      </c>
      <c r="C1847" t="inlineStr">
        <is>
          <t>Avverkning för annat ändamål</t>
        </is>
      </c>
      <c r="D1847" s="1" t="n">
        <v>45566</v>
      </c>
      <c r="E1847" s="1" t="n">
        <v>46318</v>
      </c>
      <c r="F1847" t="inlineStr">
        <is>
          <t>JÄMTLANDS LÄN</t>
        </is>
      </c>
      <c r="G1847" t="inlineStr">
        <is>
          <t>STRÖMSUND</t>
        </is>
      </c>
      <c r="I1847" t="n">
        <v>2.8</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44009-2024</t>
        </is>
      </c>
      <c r="B1848" t="inlineStr">
        <is>
          <t>avverkningsanmälan</t>
        </is>
      </c>
      <c r="C1848" t="inlineStr">
        <is>
          <t>Föryngringsavverkning</t>
        </is>
      </c>
      <c r="D1848" s="1" t="n">
        <v>45572</v>
      </c>
      <c r="E1848" s="1" t="n">
        <v>46318</v>
      </c>
      <c r="F1848" t="inlineStr">
        <is>
          <t>JÄMTLANDS LÄN</t>
        </is>
      </c>
      <c r="G1848" t="inlineStr">
        <is>
          <t>STRÖMSUND</t>
        </is>
      </c>
      <c r="I1848" t="n">
        <v>0.9</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37745-2026</t>
        </is>
      </c>
      <c r="B1849" t="inlineStr">
        <is>
          <t>avverkningsanmälan</t>
        </is>
      </c>
      <c r="C1849" t="inlineStr">
        <is>
          <t>Föryngringsavverkning</t>
        </is>
      </c>
      <c r="D1849" s="1" t="n">
        <v>46279</v>
      </c>
      <c r="E1849" s="1" t="n">
        <v>46318</v>
      </c>
      <c r="F1849" t="inlineStr">
        <is>
          <t>JÄMTLANDS LÄN</t>
        </is>
      </c>
      <c r="G1849" t="inlineStr">
        <is>
          <t>STRÖMSUND</t>
        </is>
      </c>
      <c r="I1849" t="n">
        <v>4</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37884-2026</t>
        </is>
      </c>
      <c r="B1850" t="inlineStr">
        <is>
          <t>avverkningsanmälan</t>
        </is>
      </c>
      <c r="C1850" t="inlineStr">
        <is>
          <t>Föryngringsavverkning</t>
        </is>
      </c>
      <c r="D1850" s="1" t="n">
        <v>46279</v>
      </c>
      <c r="E1850" s="1" t="n">
        <v>46318</v>
      </c>
      <c r="F1850" t="inlineStr">
        <is>
          <t>JÄMTLANDS LÄN</t>
        </is>
      </c>
      <c r="G1850" t="inlineStr">
        <is>
          <t>STRÖMSUND</t>
        </is>
      </c>
      <c r="I1850" t="n">
        <v>1.6</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25644-2026</t>
        </is>
      </c>
      <c r="B1851" t="inlineStr">
        <is>
          <t>avverkningsanmälan</t>
        </is>
      </c>
      <c r="C1851" t="inlineStr">
        <is>
          <t>Föryngringsavverkning</t>
        </is>
      </c>
      <c r="D1851" s="1" t="n">
        <v>46177</v>
      </c>
      <c r="E1851" s="1" t="n">
        <v>46318</v>
      </c>
      <c r="F1851" t="inlineStr">
        <is>
          <t>JÄMTLANDS LÄN</t>
        </is>
      </c>
      <c r="G1851" t="inlineStr">
        <is>
          <t>STRÖMSUND</t>
        </is>
      </c>
      <c r="H1851" t="inlineStr">
        <is>
          <t>SCA</t>
        </is>
      </c>
      <c r="I1851" t="n">
        <v>21.3</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37772-2026</t>
        </is>
      </c>
      <c r="B1852" t="inlineStr">
        <is>
          <t>avverkningsanmälan</t>
        </is>
      </c>
      <c r="C1852" t="inlineStr">
        <is>
          <t>Föryngringsavverkning</t>
        </is>
      </c>
      <c r="D1852" s="1" t="n">
        <v>46279</v>
      </c>
      <c r="E1852" s="1" t="n">
        <v>46318</v>
      </c>
      <c r="F1852" t="inlineStr">
        <is>
          <t>JÄMTLANDS LÄN</t>
        </is>
      </c>
      <c r="G1852" t="inlineStr">
        <is>
          <t>STRÖMSUND</t>
        </is>
      </c>
      <c r="H1852" t="inlineStr">
        <is>
          <t>SCA</t>
        </is>
      </c>
      <c r="I1852" t="n">
        <v>3.2</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23303-2023</t>
        </is>
      </c>
      <c r="B1853" t="inlineStr">
        <is>
          <t>avverkningsanmälan</t>
        </is>
      </c>
      <c r="C1853" t="inlineStr">
        <is>
          <t>Föryngringsavverkning</t>
        </is>
      </c>
      <c r="D1853" s="1" t="n">
        <v>45075</v>
      </c>
      <c r="E1853" s="1" t="n">
        <v>46318</v>
      </c>
      <c r="F1853" t="inlineStr">
        <is>
          <t>JÄMTLANDS LÄN</t>
        </is>
      </c>
      <c r="G1853" t="inlineStr">
        <is>
          <t>STRÖMSUND</t>
        </is>
      </c>
      <c r="H1853" t="inlineStr">
        <is>
          <t>SCA</t>
        </is>
      </c>
      <c r="I1853" t="n">
        <v>2.3</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23311-2023</t>
        </is>
      </c>
      <c r="B1854" t="inlineStr">
        <is>
          <t>avverkningsanmälan</t>
        </is>
      </c>
      <c r="C1854" t="inlineStr">
        <is>
          <t>Avverkning för att bevara och utveckla /försöksver</t>
        </is>
      </c>
      <c r="D1854" s="1" t="n">
        <v>45075</v>
      </c>
      <c r="E1854" s="1" t="n">
        <v>46318</v>
      </c>
      <c r="F1854" t="inlineStr">
        <is>
          <t>JÄMTLANDS LÄN</t>
        </is>
      </c>
      <c r="G1854" t="inlineStr">
        <is>
          <t>STRÖMSUND</t>
        </is>
      </c>
      <c r="H1854" t="inlineStr">
        <is>
          <t>SCA</t>
        </is>
      </c>
      <c r="I1854" t="n">
        <v>2</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32150-2026</t>
        </is>
      </c>
      <c r="B1855" t="inlineStr">
        <is>
          <t>avverkningsanmälan</t>
        </is>
      </c>
      <c r="C1855" t="inlineStr">
        <is>
          <t>Föryngringsavverkning</t>
        </is>
      </c>
      <c r="D1855" s="1" t="n">
        <v>46235</v>
      </c>
      <c r="E1855" s="1" t="n">
        <v>46318</v>
      </c>
      <c r="F1855" t="inlineStr">
        <is>
          <t>JÄMTLANDS LÄN</t>
        </is>
      </c>
      <c r="G1855" t="inlineStr">
        <is>
          <t>STRÖMSUND</t>
        </is>
      </c>
      <c r="H1855" t="inlineStr">
        <is>
          <t>SCA</t>
        </is>
      </c>
      <c r="I1855" t="n">
        <v>10</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18777-2023</t>
        </is>
      </c>
      <c r="B1856" t="inlineStr">
        <is>
          <t>avverkningsanmälan</t>
        </is>
      </c>
      <c r="C1856" t="inlineStr">
        <is>
          <t>Avverkning för att bevara och utveckla /försöksver</t>
        </is>
      </c>
      <c r="D1856" s="1" t="n">
        <v>45043</v>
      </c>
      <c r="E1856" s="1" t="n">
        <v>46318</v>
      </c>
      <c r="F1856" t="inlineStr">
        <is>
          <t>JÄMTLANDS LÄN</t>
        </is>
      </c>
      <c r="G1856" t="inlineStr">
        <is>
          <t>STRÖMSUND</t>
        </is>
      </c>
      <c r="H1856" t="inlineStr">
        <is>
          <t>SCA</t>
        </is>
      </c>
      <c r="I1856" t="n">
        <v>4.9</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32255-2026</t>
        </is>
      </c>
      <c r="B1857" t="inlineStr">
        <is>
          <t>avverkningsanmälan</t>
        </is>
      </c>
      <c r="C1857" t="inlineStr">
        <is>
          <t>Föryngringsavverkning</t>
        </is>
      </c>
      <c r="D1857" s="1" t="n">
        <v>46237</v>
      </c>
      <c r="E1857" s="1" t="n">
        <v>46318</v>
      </c>
      <c r="F1857" t="inlineStr">
        <is>
          <t>JÄMTLANDS LÄN</t>
        </is>
      </c>
      <c r="G1857" t="inlineStr">
        <is>
          <t>STRÖMSUND</t>
        </is>
      </c>
      <c r="H1857" t="inlineStr">
        <is>
          <t>SCA</t>
        </is>
      </c>
      <c r="I1857" t="n">
        <v>2.3</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35385-2023</t>
        </is>
      </c>
      <c r="B1858" t="inlineStr">
        <is>
          <t>avverkningsanmälan</t>
        </is>
      </c>
      <c r="C1858" t="inlineStr">
        <is>
          <t>Föryngringsavverkning</t>
        </is>
      </c>
      <c r="D1858" s="1" t="n">
        <v>45145</v>
      </c>
      <c r="E1858" s="1" t="n">
        <v>46318</v>
      </c>
      <c r="F1858" t="inlineStr">
        <is>
          <t>JÄMTLANDS LÄN</t>
        </is>
      </c>
      <c r="G1858" t="inlineStr">
        <is>
          <t>STRÖMSUND</t>
        </is>
      </c>
      <c r="I1858" t="n">
        <v>29.8</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37231-2022</t>
        </is>
      </c>
      <c r="B1859" t="inlineStr">
        <is>
          <t>avverkningsanmälan</t>
        </is>
      </c>
      <c r="C1859" t="inlineStr">
        <is>
          <t>Avverkning för att bevara och utveckla /försöksver</t>
        </is>
      </c>
      <c r="D1859" s="1" t="n">
        <v>44806</v>
      </c>
      <c r="E1859" s="1" t="n">
        <v>46318</v>
      </c>
      <c r="F1859" t="inlineStr">
        <is>
          <t>JÄMTLANDS LÄN</t>
        </is>
      </c>
      <c r="G1859" t="inlineStr">
        <is>
          <t>STRÖMSUND</t>
        </is>
      </c>
      <c r="H1859" t="inlineStr">
        <is>
          <t>SCA</t>
        </is>
      </c>
      <c r="I1859" t="n">
        <v>0.4</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53132-2024</t>
        </is>
      </c>
      <c r="B1860" t="inlineStr">
        <is>
          <t>avverkningsanmälan</t>
        </is>
      </c>
      <c r="C1860" t="inlineStr">
        <is>
          <t>Föryngringsavverkning</t>
        </is>
      </c>
      <c r="D1860" s="1" t="n">
        <v>45611</v>
      </c>
      <c r="E1860" s="1" t="n">
        <v>46318</v>
      </c>
      <c r="F1860" t="inlineStr">
        <is>
          <t>JÄMTLANDS LÄN</t>
        </is>
      </c>
      <c r="G1860" t="inlineStr">
        <is>
          <t>STRÖMSUND</t>
        </is>
      </c>
      <c r="H1860" t="inlineStr">
        <is>
          <t>SCA</t>
        </is>
      </c>
      <c r="I1860" t="n">
        <v>29.2</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56270-2024</t>
        </is>
      </c>
      <c r="B1861" t="inlineStr">
        <is>
          <t>avverkningsanmälan</t>
        </is>
      </c>
      <c r="C1861" t="inlineStr">
        <is>
          <t>Föryngringsavverkning</t>
        </is>
      </c>
      <c r="D1861" s="1" t="n">
        <v>45624</v>
      </c>
      <c r="E1861" s="1" t="n">
        <v>46318</v>
      </c>
      <c r="F1861" t="inlineStr">
        <is>
          <t>JÄMTLANDS LÄN</t>
        </is>
      </c>
      <c r="G1861" t="inlineStr">
        <is>
          <t>STRÖMSUND</t>
        </is>
      </c>
      <c r="I1861" t="n">
        <v>1</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32871-2023</t>
        </is>
      </c>
      <c r="B1862" t="inlineStr">
        <is>
          <t>avverkningsanmälan</t>
        </is>
      </c>
      <c r="C1862" t="inlineStr">
        <is>
          <t>Föryngringsavverkning</t>
        </is>
      </c>
      <c r="D1862" s="1" t="n">
        <v>45112</v>
      </c>
      <c r="E1862" s="1" t="n">
        <v>46318</v>
      </c>
      <c r="F1862" t="inlineStr">
        <is>
          <t>JÄMTLANDS LÄN</t>
        </is>
      </c>
      <c r="G1862" t="inlineStr">
        <is>
          <t>STRÖMSUND</t>
        </is>
      </c>
      <c r="H1862" t="inlineStr">
        <is>
          <t>Kommuner</t>
        </is>
      </c>
      <c r="I1862" t="n">
        <v>0.7</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38101-2026</t>
        </is>
      </c>
      <c r="B1863" t="inlineStr">
        <is>
          <t>avverkningsanmälan</t>
        </is>
      </c>
      <c r="C1863" t="inlineStr">
        <is>
          <t>Föryngringsavverkning</t>
        </is>
      </c>
      <c r="D1863" s="1" t="n">
        <v>46281</v>
      </c>
      <c r="E1863" s="1" t="n">
        <v>46318</v>
      </c>
      <c r="F1863" t="inlineStr">
        <is>
          <t>JÄMTLANDS LÄN</t>
        </is>
      </c>
      <c r="G1863" t="inlineStr">
        <is>
          <t>STRÖMSUND</t>
        </is>
      </c>
      <c r="H1863" t="inlineStr">
        <is>
          <t>SCA</t>
        </is>
      </c>
      <c r="I1863" t="n">
        <v>2.8</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32256-2026</t>
        </is>
      </c>
      <c r="B1864" t="inlineStr">
        <is>
          <t>avverkningsanmälan</t>
        </is>
      </c>
      <c r="C1864" t="inlineStr">
        <is>
          <t>Föryngringsavverkning</t>
        </is>
      </c>
      <c r="D1864" s="1" t="n">
        <v>46237</v>
      </c>
      <c r="E1864" s="1" t="n">
        <v>46318</v>
      </c>
      <c r="F1864" t="inlineStr">
        <is>
          <t>JÄMTLANDS LÄN</t>
        </is>
      </c>
      <c r="G1864" t="inlineStr">
        <is>
          <t>STRÖMSUND</t>
        </is>
      </c>
      <c r="H1864" t="inlineStr">
        <is>
          <t>SCA</t>
        </is>
      </c>
      <c r="I1864" t="n">
        <v>3.6</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32366-2026</t>
        </is>
      </c>
      <c r="B1865" t="inlineStr">
        <is>
          <t>avverkningsanmälan</t>
        </is>
      </c>
      <c r="C1865" t="inlineStr">
        <is>
          <t>Föryngringsavverkning</t>
        </is>
      </c>
      <c r="D1865" s="1" t="n">
        <v>46238</v>
      </c>
      <c r="E1865" s="1" t="n">
        <v>46318</v>
      </c>
      <c r="F1865" t="inlineStr">
        <is>
          <t>JÄMTLANDS LÄN</t>
        </is>
      </c>
      <c r="G1865" t="inlineStr">
        <is>
          <t>STRÖMSUND</t>
        </is>
      </c>
      <c r="H1865" t="inlineStr">
        <is>
          <t>SCA</t>
        </is>
      </c>
      <c r="I1865" t="n">
        <v>5.6</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27374-2023</t>
        </is>
      </c>
      <c r="B1866" t="inlineStr">
        <is>
          <t>avverkningsanmälan</t>
        </is>
      </c>
      <c r="C1866" t="inlineStr">
        <is>
          <t>Föryngringsavverkning</t>
        </is>
      </c>
      <c r="D1866" s="1" t="n">
        <v>45096</v>
      </c>
      <c r="E1866" s="1" t="n">
        <v>46318</v>
      </c>
      <c r="F1866" t="inlineStr">
        <is>
          <t>JÄMTLANDS LÄN</t>
        </is>
      </c>
      <c r="G1866" t="inlineStr">
        <is>
          <t>STRÖMSUND</t>
        </is>
      </c>
      <c r="H1866" t="inlineStr">
        <is>
          <t>SCA</t>
        </is>
      </c>
      <c r="I1866" t="n">
        <v>4.3</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28207-2022</t>
        </is>
      </c>
      <c r="B1867" t="inlineStr">
        <is>
          <t>avverkningsanmälan</t>
        </is>
      </c>
      <c r="C1867" t="inlineStr">
        <is>
          <t>Föryngringsavverkning</t>
        </is>
      </c>
      <c r="D1867" s="1" t="n">
        <v>44746</v>
      </c>
      <c r="E1867" s="1" t="n">
        <v>46318</v>
      </c>
      <c r="F1867" t="inlineStr">
        <is>
          <t>JÄMTLANDS LÄN</t>
        </is>
      </c>
      <c r="G1867" t="inlineStr">
        <is>
          <t>STRÖMSUND</t>
        </is>
      </c>
      <c r="I1867" t="n">
        <v>7.5</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38172-2026</t>
        </is>
      </c>
      <c r="B1868" t="inlineStr">
        <is>
          <t>avverkningsanmälan</t>
        </is>
      </c>
      <c r="C1868" t="inlineStr">
        <is>
          <t>Föryngringsavverkning</t>
        </is>
      </c>
      <c r="D1868" s="1" t="n">
        <v>46281</v>
      </c>
      <c r="E1868" s="1" t="n">
        <v>46318</v>
      </c>
      <c r="F1868" t="inlineStr">
        <is>
          <t>JÄMTLANDS LÄN</t>
        </is>
      </c>
      <c r="G1868" t="inlineStr">
        <is>
          <t>STRÖMSUND</t>
        </is>
      </c>
      <c r="I1868" t="n">
        <v>0.7</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57453-2024</t>
        </is>
      </c>
      <c r="B1869" t="inlineStr">
        <is>
          <t>avverkningsanmälan</t>
        </is>
      </c>
      <c r="C1869" t="inlineStr">
        <is>
          <t>Föryngringsavverkning</t>
        </is>
      </c>
      <c r="D1869" s="1" t="n">
        <v>45630</v>
      </c>
      <c r="E1869" s="1" t="n">
        <v>46318</v>
      </c>
      <c r="F1869" t="inlineStr">
        <is>
          <t>JÄMTLANDS LÄN</t>
        </is>
      </c>
      <c r="G1869" t="inlineStr">
        <is>
          <t>STRÖMSUND</t>
        </is>
      </c>
      <c r="I1869" t="n">
        <v>11.6</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32524-2026</t>
        </is>
      </c>
      <c r="B1870" t="inlineStr">
        <is>
          <t>avverkningsanmälan</t>
        </is>
      </c>
      <c r="C1870" t="inlineStr">
        <is>
          <t>Föryngringsavverkning</t>
        </is>
      </c>
      <c r="D1870" s="1" t="n">
        <v>46239</v>
      </c>
      <c r="E1870" s="1" t="n">
        <v>46318</v>
      </c>
      <c r="F1870" t="inlineStr">
        <is>
          <t>JÄMTLANDS LÄN</t>
        </is>
      </c>
      <c r="G1870" t="inlineStr">
        <is>
          <t>STRÖMSUND</t>
        </is>
      </c>
      <c r="H1870" t="inlineStr">
        <is>
          <t>SCA</t>
        </is>
      </c>
      <c r="I1870" t="n">
        <v>0.8</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32578-2026</t>
        </is>
      </c>
      <c r="B1871" t="inlineStr">
        <is>
          <t>avverkningsanmälan</t>
        </is>
      </c>
      <c r="C1871" t="inlineStr">
        <is>
          <t>Föryngringsavverkning</t>
        </is>
      </c>
      <c r="D1871" s="1" t="n">
        <v>46239</v>
      </c>
      <c r="E1871" s="1" t="n">
        <v>46318</v>
      </c>
      <c r="F1871" t="inlineStr">
        <is>
          <t>JÄMTLANDS LÄN</t>
        </is>
      </c>
      <c r="G1871" t="inlineStr">
        <is>
          <t>STRÖMSUND</t>
        </is>
      </c>
      <c r="H1871" t="inlineStr">
        <is>
          <t>Holmen skog AB</t>
        </is>
      </c>
      <c r="I1871" t="n">
        <v>2.7</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32604-2026</t>
        </is>
      </c>
      <c r="B1872" t="inlineStr">
        <is>
          <t>avverkningsanmälan</t>
        </is>
      </c>
      <c r="C1872" t="inlineStr">
        <is>
          <t>Föryngringsavverkning</t>
        </is>
      </c>
      <c r="D1872" s="1" t="n">
        <v>46240</v>
      </c>
      <c r="E1872" s="1" t="n">
        <v>46318</v>
      </c>
      <c r="F1872" t="inlineStr">
        <is>
          <t>JÄMTLANDS LÄN</t>
        </is>
      </c>
      <c r="G1872" t="inlineStr">
        <is>
          <t>STRÖMSUND</t>
        </is>
      </c>
      <c r="H1872" t="inlineStr">
        <is>
          <t>SCA</t>
        </is>
      </c>
      <c r="I1872" t="n">
        <v>2.1</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38301-2026</t>
        </is>
      </c>
      <c r="B1873" t="inlineStr">
        <is>
          <t>avverkningsanmälan</t>
        </is>
      </c>
      <c r="C1873" t="inlineStr">
        <is>
          <t>Föryngringsavverkning</t>
        </is>
      </c>
      <c r="D1873" s="1" t="n">
        <v>46282</v>
      </c>
      <c r="E1873" s="1" t="n">
        <v>46318</v>
      </c>
      <c r="F1873" t="inlineStr">
        <is>
          <t>JÄMTLANDS LÄN</t>
        </is>
      </c>
      <c r="G1873" t="inlineStr">
        <is>
          <t>STRÖMSUND</t>
        </is>
      </c>
      <c r="H1873" t="inlineStr">
        <is>
          <t>SCA</t>
        </is>
      </c>
      <c r="I1873" t="n">
        <v>5.2</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38546-2026</t>
        </is>
      </c>
      <c r="B1874" t="inlineStr">
        <is>
          <t>avverkningsanmälan</t>
        </is>
      </c>
      <c r="C1874" t="inlineStr">
        <is>
          <t>Föryngringsavverkning</t>
        </is>
      </c>
      <c r="D1874" s="1" t="n">
        <v>46283</v>
      </c>
      <c r="E1874" s="1" t="n">
        <v>46318</v>
      </c>
      <c r="F1874" t="inlineStr">
        <is>
          <t>JÄMTLANDS LÄN</t>
        </is>
      </c>
      <c r="G1874" t="inlineStr">
        <is>
          <t>STRÖMSUND</t>
        </is>
      </c>
      <c r="H1874" t="inlineStr">
        <is>
          <t>SCA</t>
        </is>
      </c>
      <c r="I1874" t="n">
        <v>1.9</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59969-2023</t>
        </is>
      </c>
      <c r="B1875" t="inlineStr">
        <is>
          <t>avverkningsanmälan</t>
        </is>
      </c>
      <c r="C1875" t="inlineStr">
        <is>
          <t>Föryngringsavverkning</t>
        </is>
      </c>
      <c r="D1875" s="1" t="n">
        <v>45254</v>
      </c>
      <c r="E1875" s="1" t="n">
        <v>46318</v>
      </c>
      <c r="F1875" t="inlineStr">
        <is>
          <t>JÄMTLANDS LÄN</t>
        </is>
      </c>
      <c r="G1875" t="inlineStr">
        <is>
          <t>STRÖMSUND</t>
        </is>
      </c>
      <c r="I1875" t="n">
        <v>23.3</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40492-2024</t>
        </is>
      </c>
      <c r="B1876" t="inlineStr">
        <is>
          <t>avverkningsanmälan</t>
        </is>
      </c>
      <c r="C1876" t="inlineStr">
        <is>
          <t>Avverkning för annat ändamål</t>
        </is>
      </c>
      <c r="D1876" s="1" t="n">
        <v>45555</v>
      </c>
      <c r="E1876" s="1" t="n">
        <v>46318</v>
      </c>
      <c r="F1876" t="inlineStr">
        <is>
          <t>JÄMTLANDS LÄN</t>
        </is>
      </c>
      <c r="G1876" t="inlineStr">
        <is>
          <t>STRÖMSUND</t>
        </is>
      </c>
      <c r="I1876" t="n">
        <v>0.2</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38528-2026</t>
        </is>
      </c>
      <c r="B1877" t="inlineStr">
        <is>
          <t>avverkningsanmälan</t>
        </is>
      </c>
      <c r="C1877" t="inlineStr">
        <is>
          <t>Föryngringsavverkning</t>
        </is>
      </c>
      <c r="D1877" s="1" t="n">
        <v>46283</v>
      </c>
      <c r="E1877" s="1" t="n">
        <v>46318</v>
      </c>
      <c r="F1877" t="inlineStr">
        <is>
          <t>JÄMTLANDS LÄN</t>
        </is>
      </c>
      <c r="G1877" t="inlineStr">
        <is>
          <t>STRÖMSUND</t>
        </is>
      </c>
      <c r="H1877" t="inlineStr">
        <is>
          <t>Holmen skog AB</t>
        </is>
      </c>
      <c r="I1877" t="n">
        <v>6.4</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54479-2023</t>
        </is>
      </c>
      <c r="B1878" t="inlineStr">
        <is>
          <t>avverkningsanmälan</t>
        </is>
      </c>
      <c r="C1878" t="inlineStr">
        <is>
          <t>Avverkning för annat ändamål</t>
        </is>
      </c>
      <c r="D1878" s="1" t="n">
        <v>45233</v>
      </c>
      <c r="E1878" s="1" t="n">
        <v>46318</v>
      </c>
      <c r="F1878" t="inlineStr">
        <is>
          <t>JÄMTLANDS LÄN</t>
        </is>
      </c>
      <c r="G1878" t="inlineStr">
        <is>
          <t>STRÖMSUND</t>
        </is>
      </c>
      <c r="H1878" t="inlineStr">
        <is>
          <t>Holmen skog AB</t>
        </is>
      </c>
      <c r="I1878" t="n">
        <v>0.5</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38372-2026</t>
        </is>
      </c>
      <c r="B1879" t="inlineStr">
        <is>
          <t>avverkningsanmälan</t>
        </is>
      </c>
      <c r="C1879" t="inlineStr">
        <is>
          <t>Föryngringsavverkning</t>
        </is>
      </c>
      <c r="D1879" s="1" t="n">
        <v>46282</v>
      </c>
      <c r="E1879" s="1" t="n">
        <v>46318</v>
      </c>
      <c r="F1879" t="inlineStr">
        <is>
          <t>JÄMTLANDS LÄN</t>
        </is>
      </c>
      <c r="G1879" t="inlineStr">
        <is>
          <t>STRÖMSUND</t>
        </is>
      </c>
      <c r="H1879" t="inlineStr">
        <is>
          <t>SCA</t>
        </is>
      </c>
      <c r="I1879" t="n">
        <v>3.2</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38373-2026</t>
        </is>
      </c>
      <c r="B1880" t="inlineStr">
        <is>
          <t>avverkningsanmälan</t>
        </is>
      </c>
      <c r="C1880" t="inlineStr">
        <is>
          <t>Föryngringsavverkning</t>
        </is>
      </c>
      <c r="D1880" s="1" t="n">
        <v>46282</v>
      </c>
      <c r="E1880" s="1" t="n">
        <v>46318</v>
      </c>
      <c r="F1880" t="inlineStr">
        <is>
          <t>JÄMTLANDS LÄN</t>
        </is>
      </c>
      <c r="G1880" t="inlineStr">
        <is>
          <t>STRÖMSUND</t>
        </is>
      </c>
      <c r="H1880" t="inlineStr">
        <is>
          <t>SCA</t>
        </is>
      </c>
      <c r="I1880" t="n">
        <v>7.6</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32523-2026</t>
        </is>
      </c>
      <c r="B1881" t="inlineStr">
        <is>
          <t>avverkningsanmälan</t>
        </is>
      </c>
      <c r="C1881" t="inlineStr">
        <is>
          <t>Föryngringsavverkning</t>
        </is>
      </c>
      <c r="D1881" s="1" t="n">
        <v>46239</v>
      </c>
      <c r="E1881" s="1" t="n">
        <v>46318</v>
      </c>
      <c r="F1881" t="inlineStr">
        <is>
          <t>JÄMTLANDS LÄN</t>
        </is>
      </c>
      <c r="G1881" t="inlineStr">
        <is>
          <t>STRÖMSUND</t>
        </is>
      </c>
      <c r="H1881" t="inlineStr">
        <is>
          <t>SCA</t>
        </is>
      </c>
      <c r="I1881" t="n">
        <v>2.3</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32669-2026</t>
        </is>
      </c>
      <c r="B1882" t="inlineStr">
        <is>
          <t>avverkningsanmälan</t>
        </is>
      </c>
      <c r="C1882" t="inlineStr">
        <is>
          <t>Föryngringsavverkning</t>
        </is>
      </c>
      <c r="D1882" s="1" t="n">
        <v>46240</v>
      </c>
      <c r="E1882" s="1" t="n">
        <v>46318</v>
      </c>
      <c r="F1882" t="inlineStr">
        <is>
          <t>JÄMTLANDS LÄN</t>
        </is>
      </c>
      <c r="G1882" t="inlineStr">
        <is>
          <t>STRÖMSUND</t>
        </is>
      </c>
      <c r="H1882" t="inlineStr">
        <is>
          <t>SCA</t>
        </is>
      </c>
      <c r="I1882" t="n">
        <v>1.2</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56484-2023</t>
        </is>
      </c>
      <c r="B1883" t="inlineStr">
        <is>
          <t>avverkningsanmälan</t>
        </is>
      </c>
      <c r="C1883" t="inlineStr">
        <is>
          <t>Föryngringsavverkning</t>
        </is>
      </c>
      <c r="D1883" s="1" t="n">
        <v>45237</v>
      </c>
      <c r="E1883" s="1" t="n">
        <v>46318</v>
      </c>
      <c r="F1883" t="inlineStr">
        <is>
          <t>JÄMTLANDS LÄN</t>
        </is>
      </c>
      <c r="G1883" t="inlineStr">
        <is>
          <t>STRÖMSUND</t>
        </is>
      </c>
      <c r="I1883" t="n">
        <v>0.3</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8895-2024</t>
        </is>
      </c>
      <c r="B1884" t="inlineStr">
        <is>
          <t>avverkningsanmälan</t>
        </is>
      </c>
      <c r="C1884" t="inlineStr">
        <is>
          <t>Avverkning för att bevara och utveckla /försöksver</t>
        </is>
      </c>
      <c r="D1884" s="1" t="n">
        <v>45357</v>
      </c>
      <c r="E1884" s="1" t="n">
        <v>46318</v>
      </c>
      <c r="F1884" t="inlineStr">
        <is>
          <t>JÄMTLANDS LÄN</t>
        </is>
      </c>
      <c r="G1884" t="inlineStr">
        <is>
          <t>STRÖMSUND</t>
        </is>
      </c>
      <c r="H1884" t="inlineStr">
        <is>
          <t>Holmen skog AB</t>
        </is>
      </c>
      <c r="I1884" t="n">
        <v>0.3</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2780-2026</t>
        </is>
      </c>
      <c r="B1885" t="inlineStr">
        <is>
          <t>avverkningsanmälan</t>
        </is>
      </c>
      <c r="C1885" t="inlineStr">
        <is>
          <t>Föryngringsavverkning</t>
        </is>
      </c>
      <c r="D1885" s="1" t="n">
        <v>46038</v>
      </c>
      <c r="E1885" s="1" t="n">
        <v>46318</v>
      </c>
      <c r="F1885" t="inlineStr">
        <is>
          <t>JÄMTLANDS LÄN</t>
        </is>
      </c>
      <c r="G1885" t="inlineStr">
        <is>
          <t>STRÖMSUND</t>
        </is>
      </c>
      <c r="H1885" t="inlineStr">
        <is>
          <t>SCA</t>
        </is>
      </c>
      <c r="I1885" t="n">
        <v>12.1</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49384-2024</t>
        </is>
      </c>
      <c r="B1886" t="inlineStr">
        <is>
          <t>avverkningsanmälan</t>
        </is>
      </c>
      <c r="C1886" t="inlineStr">
        <is>
          <t>Föryngringsavverkning</t>
        </is>
      </c>
      <c r="D1886" s="1" t="n">
        <v>45595</v>
      </c>
      <c r="E1886" s="1" t="n">
        <v>46318</v>
      </c>
      <c r="F1886" t="inlineStr">
        <is>
          <t>JÄMTLANDS LÄN</t>
        </is>
      </c>
      <c r="G1886" t="inlineStr">
        <is>
          <t>STRÖMSUND</t>
        </is>
      </c>
      <c r="H1886" t="inlineStr">
        <is>
          <t>SCA</t>
        </is>
      </c>
      <c r="I1886" t="n">
        <v>4.5</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53025-2023</t>
        </is>
      </c>
      <c r="B1887" t="inlineStr">
        <is>
          <t>avverkningsanmälan</t>
        </is>
      </c>
      <c r="C1887" t="inlineStr">
        <is>
          <t>Föryngringsavverkning</t>
        </is>
      </c>
      <c r="D1887" s="1" t="n">
        <v>45222</v>
      </c>
      <c r="E1887" s="1" t="n">
        <v>46318</v>
      </c>
      <c r="F1887" t="inlineStr">
        <is>
          <t>JÄMTLANDS LÄN</t>
        </is>
      </c>
      <c r="G1887" t="inlineStr">
        <is>
          <t>STRÖMSUND</t>
        </is>
      </c>
      <c r="I1887" t="n">
        <v>3.1</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57445-2023</t>
        </is>
      </c>
      <c r="B1888" t="inlineStr">
        <is>
          <t>avverkningsanmälan</t>
        </is>
      </c>
      <c r="C1888" t="inlineStr">
        <is>
          <t>Föryngringsavverkning</t>
        </is>
      </c>
      <c r="D1888" s="1" t="n">
        <v>45246</v>
      </c>
      <c r="E1888" s="1" t="n">
        <v>46318</v>
      </c>
      <c r="F1888" t="inlineStr">
        <is>
          <t>JÄMTLANDS LÄN</t>
        </is>
      </c>
      <c r="G1888" t="inlineStr">
        <is>
          <t>STRÖMSUND</t>
        </is>
      </c>
      <c r="H1888" t="inlineStr">
        <is>
          <t>Holmen skog AB</t>
        </is>
      </c>
      <c r="I1888" t="n">
        <v>1.7</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51585-2024</t>
        </is>
      </c>
      <c r="B1889" t="inlineStr">
        <is>
          <t>avverkningsanmälan</t>
        </is>
      </c>
      <c r="C1889" t="inlineStr">
        <is>
          <t>Föryngringsavverkning</t>
        </is>
      </c>
      <c r="D1889" s="1" t="n">
        <v>45604</v>
      </c>
      <c r="E1889" s="1" t="n">
        <v>46318</v>
      </c>
      <c r="F1889" t="inlineStr">
        <is>
          <t>JÄMTLANDS LÄN</t>
        </is>
      </c>
      <c r="G1889" t="inlineStr">
        <is>
          <t>STRÖMSUND</t>
        </is>
      </c>
      <c r="H1889" t="inlineStr">
        <is>
          <t>Kommuner</t>
        </is>
      </c>
      <c r="I1889" t="n">
        <v>1.8</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19146-2025</t>
        </is>
      </c>
      <c r="B1890" t="inlineStr">
        <is>
          <t>avverkningsanmälan</t>
        </is>
      </c>
      <c r="C1890" t="inlineStr">
        <is>
          <t>Föryngringsavverkning</t>
        </is>
      </c>
      <c r="D1890" s="1" t="n">
        <v>45769</v>
      </c>
      <c r="E1890" s="1" t="n">
        <v>46318</v>
      </c>
      <c r="F1890" t="inlineStr">
        <is>
          <t>JÄMTLANDS LÄN</t>
        </is>
      </c>
      <c r="G1890" t="inlineStr">
        <is>
          <t>STRÖMSUND</t>
        </is>
      </c>
      <c r="H1890" t="inlineStr">
        <is>
          <t>SCA</t>
        </is>
      </c>
      <c r="I1890" t="n">
        <v>1.6</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52113-2023</t>
        </is>
      </c>
      <c r="B1891" t="inlineStr">
        <is>
          <t>avverkningsanmälan</t>
        </is>
      </c>
      <c r="C1891" t="inlineStr">
        <is>
          <t>Föryngringsavverkning</t>
        </is>
      </c>
      <c r="D1891" s="1" t="n">
        <v>45223</v>
      </c>
      <c r="E1891" s="1" t="n">
        <v>46318</v>
      </c>
      <c r="F1891" t="inlineStr">
        <is>
          <t>JÄMTLANDS LÄN</t>
        </is>
      </c>
      <c r="G1891" t="inlineStr">
        <is>
          <t>STRÖMSUND</t>
        </is>
      </c>
      <c r="I1891" t="n">
        <v>4.2</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24397-2023</t>
        </is>
      </c>
      <c r="B1892" t="inlineStr">
        <is>
          <t>avverkningsanmälan</t>
        </is>
      </c>
      <c r="C1892" t="inlineStr">
        <is>
          <t>Föryngringsavverkning</t>
        </is>
      </c>
      <c r="D1892" s="1" t="n">
        <v>45082</v>
      </c>
      <c r="E1892" s="1" t="n">
        <v>46318</v>
      </c>
      <c r="F1892" t="inlineStr">
        <is>
          <t>JÄMTLANDS LÄN</t>
        </is>
      </c>
      <c r="G1892" t="inlineStr">
        <is>
          <t>STRÖMSUND</t>
        </is>
      </c>
      <c r="I1892" t="n">
        <v>4.4</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39117-2026</t>
        </is>
      </c>
      <c r="B1893" t="inlineStr">
        <is>
          <t>avverkningsanmälan</t>
        </is>
      </c>
      <c r="C1893" t="inlineStr">
        <is>
          <t>Föryngringsavverkning</t>
        </is>
      </c>
      <c r="D1893" s="1" t="n">
        <v>46286</v>
      </c>
      <c r="E1893" s="1" t="n">
        <v>46318</v>
      </c>
      <c r="F1893" t="inlineStr">
        <is>
          <t>JÄMTLANDS LÄN</t>
        </is>
      </c>
      <c r="G1893" t="inlineStr">
        <is>
          <t>STRÖMSUND</t>
        </is>
      </c>
      <c r="I1893" t="n">
        <v>2.2</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54231-2025</t>
        </is>
      </c>
      <c r="B1894" t="inlineStr">
        <is>
          <t>avverkningsanmälan</t>
        </is>
      </c>
      <c r="C1894" t="inlineStr">
        <is>
          <t>Avverkning för annat ändamål</t>
        </is>
      </c>
      <c r="D1894" s="1" t="n">
        <v>45964</v>
      </c>
      <c r="E1894" s="1" t="n">
        <v>46318</v>
      </c>
      <c r="F1894" t="inlineStr">
        <is>
          <t>JÄMTLANDS LÄN</t>
        </is>
      </c>
      <c r="G1894" t="inlineStr">
        <is>
          <t>STRÖMSUND</t>
        </is>
      </c>
      <c r="H1894" t="inlineStr">
        <is>
          <t>SCA</t>
        </is>
      </c>
      <c r="I1894" t="n">
        <v>5.1</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54216-2025</t>
        </is>
      </c>
      <c r="B1895" t="inlineStr">
        <is>
          <t>avverkningsanmälan</t>
        </is>
      </c>
      <c r="C1895" t="inlineStr">
        <is>
          <t>Avverkning för annat ändamål</t>
        </is>
      </c>
      <c r="D1895" s="1" t="n">
        <v>45964</v>
      </c>
      <c r="E1895" s="1" t="n">
        <v>46318</v>
      </c>
      <c r="F1895" t="inlineStr">
        <is>
          <t>JÄMTLANDS LÄN</t>
        </is>
      </c>
      <c r="G1895" t="inlineStr">
        <is>
          <t>STRÖMSUND</t>
        </is>
      </c>
      <c r="H1895" t="inlineStr">
        <is>
          <t>SCA</t>
        </is>
      </c>
      <c r="I1895" t="n">
        <v>1.4</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38754-2026</t>
        </is>
      </c>
      <c r="B1896" t="inlineStr">
        <is>
          <t>avverkningsanmälan</t>
        </is>
      </c>
      <c r="C1896" t="inlineStr">
        <is>
          <t>Föryngringsavverkning</t>
        </is>
      </c>
      <c r="D1896" s="1" t="n">
        <v>46286</v>
      </c>
      <c r="E1896" s="1" t="n">
        <v>46318</v>
      </c>
      <c r="F1896" t="inlineStr">
        <is>
          <t>JÄMTLANDS LÄN</t>
        </is>
      </c>
      <c r="G1896" t="inlineStr">
        <is>
          <t>STRÖMSUND</t>
        </is>
      </c>
      <c r="H1896" t="inlineStr">
        <is>
          <t>SCA</t>
        </is>
      </c>
      <c r="I1896" t="n">
        <v>7.7</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22096-2022</t>
        </is>
      </c>
      <c r="B1897" t="inlineStr">
        <is>
          <t>avverkningsanmälan</t>
        </is>
      </c>
      <c r="C1897" t="inlineStr">
        <is>
          <t>Föryngringsavverkning</t>
        </is>
      </c>
      <c r="D1897" s="1" t="n">
        <v>44711</v>
      </c>
      <c r="E1897" s="1" t="n">
        <v>46318</v>
      </c>
      <c r="F1897" t="inlineStr">
        <is>
          <t>JÄMTLANDS LÄN</t>
        </is>
      </c>
      <c r="G1897" t="inlineStr">
        <is>
          <t>STRÖMSUND</t>
        </is>
      </c>
      <c r="H1897" t="inlineStr">
        <is>
          <t>SCA</t>
        </is>
      </c>
      <c r="I1897" t="n">
        <v>10</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59478-2023</t>
        </is>
      </c>
      <c r="B1898" t="inlineStr">
        <is>
          <t>avverkningsanmälan</t>
        </is>
      </c>
      <c r="C1898" t="inlineStr">
        <is>
          <t>Avverkning för att bevara och utveckla /försöksver</t>
        </is>
      </c>
      <c r="D1898" s="1" t="n">
        <v>45254</v>
      </c>
      <c r="E1898" s="1" t="n">
        <v>46318</v>
      </c>
      <c r="F1898" t="inlineStr">
        <is>
          <t>JÄMTLANDS LÄN</t>
        </is>
      </c>
      <c r="G1898" t="inlineStr">
        <is>
          <t>STRÖMSUND</t>
        </is>
      </c>
      <c r="H1898" t="inlineStr">
        <is>
          <t>Holmen skog AB</t>
        </is>
      </c>
      <c r="I1898" t="n">
        <v>2.7</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59469-2023</t>
        </is>
      </c>
      <c r="B1899" t="inlineStr">
        <is>
          <t>avverkningsanmälan</t>
        </is>
      </c>
      <c r="C1899" t="inlineStr">
        <is>
          <t>Avverkning för att bevara och utveckla /försöksver</t>
        </is>
      </c>
      <c r="D1899" s="1" t="n">
        <v>45254</v>
      </c>
      <c r="E1899" s="1" t="n">
        <v>46318</v>
      </c>
      <c r="F1899" t="inlineStr">
        <is>
          <t>JÄMTLANDS LÄN</t>
        </is>
      </c>
      <c r="G1899" t="inlineStr">
        <is>
          <t>STRÖMSUND</t>
        </is>
      </c>
      <c r="H1899" t="inlineStr">
        <is>
          <t>Holmen skog AB</t>
        </is>
      </c>
      <c r="I1899" t="n">
        <v>2.5</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18298-2024</t>
        </is>
      </c>
      <c r="B1900" t="inlineStr">
        <is>
          <t>avverkningsanmälan</t>
        </is>
      </c>
      <c r="C1900" t="inlineStr">
        <is>
          <t>Avverkning för annat ändamål</t>
        </is>
      </c>
      <c r="D1900" s="1" t="n">
        <v>45421</v>
      </c>
      <c r="E1900" s="1" t="n">
        <v>46318</v>
      </c>
      <c r="F1900" t="inlineStr">
        <is>
          <t>JÄMTLANDS LÄN</t>
        </is>
      </c>
      <c r="G1900" t="inlineStr">
        <is>
          <t>STRÖMSUND</t>
        </is>
      </c>
      <c r="I1900" t="n">
        <v>1.5</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6685-2025</t>
        </is>
      </c>
      <c r="B1901" t="inlineStr">
        <is>
          <t>avverkningsanmälan</t>
        </is>
      </c>
      <c r="C1901" t="inlineStr">
        <is>
          <t>Föryngringsavverkning</t>
        </is>
      </c>
      <c r="D1901" s="1" t="n">
        <v>45700</v>
      </c>
      <c r="E1901" s="1" t="n">
        <v>46318</v>
      </c>
      <c r="F1901" t="inlineStr">
        <is>
          <t>JÄMTLANDS LÄN</t>
        </is>
      </c>
      <c r="G1901" t="inlineStr">
        <is>
          <t>STRÖMSUND</t>
        </is>
      </c>
      <c r="H1901" t="inlineStr">
        <is>
          <t>SCA</t>
        </is>
      </c>
      <c r="I1901" t="n">
        <v>7.1</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38839-2026</t>
        </is>
      </c>
      <c r="B1902" t="inlineStr">
        <is>
          <t>avverkningsanmälan</t>
        </is>
      </c>
      <c r="C1902" t="inlineStr">
        <is>
          <t>Föryngringsavverkning</t>
        </is>
      </c>
      <c r="D1902" s="1" t="n">
        <v>46286</v>
      </c>
      <c r="E1902" s="1" t="n">
        <v>46318</v>
      </c>
      <c r="F1902" t="inlineStr">
        <is>
          <t>JÄMTLANDS LÄN</t>
        </is>
      </c>
      <c r="G1902" t="inlineStr">
        <is>
          <t>STRÖMSUND</t>
        </is>
      </c>
      <c r="H1902" t="inlineStr">
        <is>
          <t>SCA</t>
        </is>
      </c>
      <c r="I1902" t="n">
        <v>2.8</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38850-2026</t>
        </is>
      </c>
      <c r="B1903" t="inlineStr">
        <is>
          <t>avverkningsanmälan</t>
        </is>
      </c>
      <c r="C1903" t="inlineStr">
        <is>
          <t>Föryngringsavverkning</t>
        </is>
      </c>
      <c r="D1903" s="1" t="n">
        <v>46286</v>
      </c>
      <c r="E1903" s="1" t="n">
        <v>46318</v>
      </c>
      <c r="F1903" t="inlineStr">
        <is>
          <t>JÄMTLANDS LÄN</t>
        </is>
      </c>
      <c r="G1903" t="inlineStr">
        <is>
          <t>STRÖMSUND</t>
        </is>
      </c>
      <c r="H1903" t="inlineStr">
        <is>
          <t>SCA</t>
        </is>
      </c>
      <c r="I1903" t="n">
        <v>5</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32920-2026</t>
        </is>
      </c>
      <c r="B1904" t="inlineStr">
        <is>
          <t>avverkningsanmälan</t>
        </is>
      </c>
      <c r="C1904" t="inlineStr">
        <is>
          <t>Föryngringsavverkning</t>
        </is>
      </c>
      <c r="D1904" s="1" t="n">
        <v>46244</v>
      </c>
      <c r="E1904" s="1" t="n">
        <v>46318</v>
      </c>
      <c r="F1904" t="inlineStr">
        <is>
          <t>JÄMTLANDS LÄN</t>
        </is>
      </c>
      <c r="G1904" t="inlineStr">
        <is>
          <t>STRÖMSUND</t>
        </is>
      </c>
      <c r="H1904" t="inlineStr">
        <is>
          <t>Sveaskog</t>
        </is>
      </c>
      <c r="I1904" t="n">
        <v>23.9</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35407-2024</t>
        </is>
      </c>
      <c r="B1905" t="inlineStr">
        <is>
          <t>avverkningsanmälan</t>
        </is>
      </c>
      <c r="C1905" t="inlineStr">
        <is>
          <t>Avverkning för att bevara och utveckla /försöksver</t>
        </is>
      </c>
      <c r="D1905" s="1" t="n">
        <v>45531</v>
      </c>
      <c r="E1905" s="1" t="n">
        <v>46318</v>
      </c>
      <c r="F1905" t="inlineStr">
        <is>
          <t>JÄMTLANDS LÄN</t>
        </is>
      </c>
      <c r="G1905" t="inlineStr">
        <is>
          <t>STRÖMSUND</t>
        </is>
      </c>
      <c r="H1905" t="inlineStr">
        <is>
          <t>SCA</t>
        </is>
      </c>
      <c r="I1905" t="n">
        <v>3.5</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32974-2026</t>
        </is>
      </c>
      <c r="B1906" t="inlineStr">
        <is>
          <t>avverkningsanmälan</t>
        </is>
      </c>
      <c r="C1906" t="inlineStr">
        <is>
          <t>Föryngringsavverkning</t>
        </is>
      </c>
      <c r="D1906" s="1" t="n">
        <v>46244</v>
      </c>
      <c r="E1906" s="1" t="n">
        <v>46318</v>
      </c>
      <c r="F1906" t="inlineStr">
        <is>
          <t>JÄMTLANDS LÄN</t>
        </is>
      </c>
      <c r="G1906" t="inlineStr">
        <is>
          <t>STRÖMSUND</t>
        </is>
      </c>
      <c r="H1906" t="inlineStr">
        <is>
          <t>SCA</t>
        </is>
      </c>
      <c r="I1906" t="n">
        <v>3.5</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57280-2022</t>
        </is>
      </c>
      <c r="B1907" t="inlineStr">
        <is>
          <t>avverkningsanmälan</t>
        </is>
      </c>
      <c r="C1907" t="inlineStr">
        <is>
          <t>Föryngringsavverkning</t>
        </is>
      </c>
      <c r="D1907" s="1" t="n">
        <v>44895</v>
      </c>
      <c r="E1907" s="1" t="n">
        <v>46318</v>
      </c>
      <c r="F1907" t="inlineStr">
        <is>
          <t>JÄMTLANDS LÄN</t>
        </is>
      </c>
      <c r="G1907" t="inlineStr">
        <is>
          <t>STRÖMSUND</t>
        </is>
      </c>
      <c r="H1907" t="inlineStr">
        <is>
          <t>SCA</t>
        </is>
      </c>
      <c r="I1907" t="n">
        <v>2.3</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39001-2026</t>
        </is>
      </c>
      <c r="B1908" t="inlineStr">
        <is>
          <t>avverkningsanmälan</t>
        </is>
      </c>
      <c r="C1908" t="inlineStr">
        <is>
          <t>Föryngringsavverkning</t>
        </is>
      </c>
      <c r="D1908" s="1" t="n">
        <v>46287</v>
      </c>
      <c r="E1908" s="1" t="n">
        <v>46318</v>
      </c>
      <c r="F1908" t="inlineStr">
        <is>
          <t>JÄMTLANDS LÄN</t>
        </is>
      </c>
      <c r="G1908" t="inlineStr">
        <is>
          <t>STRÖMSUND</t>
        </is>
      </c>
      <c r="H1908" t="inlineStr">
        <is>
          <t>SCA</t>
        </is>
      </c>
      <c r="I1908" t="n">
        <v>4.6</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37302-2024</t>
        </is>
      </c>
      <c r="B1909" t="inlineStr">
        <is>
          <t>avverkningsanmälan</t>
        </is>
      </c>
      <c r="C1909" t="inlineStr">
        <is>
          <t>Föryngringsavverkning</t>
        </is>
      </c>
      <c r="D1909" s="1" t="n">
        <v>45540</v>
      </c>
      <c r="E1909" s="1" t="n">
        <v>46318</v>
      </c>
      <c r="F1909" t="inlineStr">
        <is>
          <t>JÄMTLANDS LÄN</t>
        </is>
      </c>
      <c r="G1909" t="inlineStr">
        <is>
          <t>STRÖMSUND</t>
        </is>
      </c>
      <c r="H1909" t="inlineStr">
        <is>
          <t>SCA</t>
        </is>
      </c>
      <c r="I1909" t="n">
        <v>2.1</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39132-2026</t>
        </is>
      </c>
      <c r="B1910" t="inlineStr">
        <is>
          <t>avverkningsanmälan</t>
        </is>
      </c>
      <c r="C1910" t="inlineStr">
        <is>
          <t>Föryngringsavverkning</t>
        </is>
      </c>
      <c r="D1910" s="1" t="n">
        <v>46286</v>
      </c>
      <c r="E1910" s="1" t="n">
        <v>46318</v>
      </c>
      <c r="F1910" t="inlineStr">
        <is>
          <t>JÄMTLANDS LÄN</t>
        </is>
      </c>
      <c r="G1910" t="inlineStr">
        <is>
          <t>STRÖMSUND</t>
        </is>
      </c>
      <c r="I1910" t="n">
        <v>3.7</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30818-2023</t>
        </is>
      </c>
      <c r="B1911" t="inlineStr">
        <is>
          <t>avverkningsanmälan</t>
        </is>
      </c>
      <c r="C1911" t="inlineStr">
        <is>
          <t>Föryngringsavverkning</t>
        </is>
      </c>
      <c r="D1911" s="1" t="n">
        <v>45112</v>
      </c>
      <c r="E1911" s="1" t="n">
        <v>46318</v>
      </c>
      <c r="F1911" t="inlineStr">
        <is>
          <t>JÄMTLANDS LÄN</t>
        </is>
      </c>
      <c r="G1911" t="inlineStr">
        <is>
          <t>STRÖMSUND</t>
        </is>
      </c>
      <c r="I1911" t="n">
        <v>10.4</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34512-2022</t>
        </is>
      </c>
      <c r="B1912" t="inlineStr">
        <is>
          <t>avverkningsanmälan</t>
        </is>
      </c>
      <c r="C1912" t="inlineStr">
        <is>
          <t>Föryngringsavverkning</t>
        </is>
      </c>
      <c r="D1912" s="1" t="n">
        <v>44792</v>
      </c>
      <c r="E1912" s="1" t="n">
        <v>46318</v>
      </c>
      <c r="F1912" t="inlineStr">
        <is>
          <t>JÄMTLANDS LÄN</t>
        </is>
      </c>
      <c r="G1912" t="inlineStr">
        <is>
          <t>STRÖMSUND</t>
        </is>
      </c>
      <c r="I1912" t="n">
        <v>1.9</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38749-2026</t>
        </is>
      </c>
      <c r="B1913" t="inlineStr">
        <is>
          <t>avverkningsanmälan</t>
        </is>
      </c>
      <c r="C1913" t="inlineStr">
        <is>
          <t>Föryngringsavverkning</t>
        </is>
      </c>
      <c r="D1913" s="1" t="n">
        <v>46286</v>
      </c>
      <c r="E1913" s="1" t="n">
        <v>46318</v>
      </c>
      <c r="F1913" t="inlineStr">
        <is>
          <t>JÄMTLANDS LÄN</t>
        </is>
      </c>
      <c r="G1913" t="inlineStr">
        <is>
          <t>STRÖMSUND</t>
        </is>
      </c>
      <c r="I1913" t="n">
        <v>1.9</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38751-2026</t>
        </is>
      </c>
      <c r="B1914" t="inlineStr">
        <is>
          <t>avverkningsanmälan</t>
        </is>
      </c>
      <c r="C1914" t="inlineStr">
        <is>
          <t>Föryngringsavverkning</t>
        </is>
      </c>
      <c r="D1914" s="1" t="n">
        <v>46286</v>
      </c>
      <c r="E1914" s="1" t="n">
        <v>46318</v>
      </c>
      <c r="F1914" t="inlineStr">
        <is>
          <t>JÄMTLANDS LÄN</t>
        </is>
      </c>
      <c r="G1914" t="inlineStr">
        <is>
          <t>STRÖMSUND</t>
        </is>
      </c>
      <c r="I1914" t="n">
        <v>8</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57005-2022</t>
        </is>
      </c>
      <c r="B1915" t="inlineStr">
        <is>
          <t>avverkningsanmälan</t>
        </is>
      </c>
      <c r="C1915" t="inlineStr">
        <is>
          <t>Föryngringsavverkning</t>
        </is>
      </c>
      <c r="D1915" s="1" t="n">
        <v>44894</v>
      </c>
      <c r="E1915" s="1" t="n">
        <v>46318</v>
      </c>
      <c r="F1915" t="inlineStr">
        <is>
          <t>JÄMTLANDS LÄN</t>
        </is>
      </c>
      <c r="G1915" t="inlineStr">
        <is>
          <t>STRÖMSUND</t>
        </is>
      </c>
      <c r="H1915" t="inlineStr">
        <is>
          <t>SCA</t>
        </is>
      </c>
      <c r="I1915" t="n">
        <v>5.4</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33636-2026</t>
        </is>
      </c>
      <c r="B1916" t="inlineStr">
        <is>
          <t>avverkningsanmälan</t>
        </is>
      </c>
      <c r="C1916" t="inlineStr">
        <is>
          <t>Föryngringsavverkning</t>
        </is>
      </c>
      <c r="D1916" s="1" t="n">
        <v>46247</v>
      </c>
      <c r="E1916" s="1" t="n">
        <v>46318</v>
      </c>
      <c r="F1916" t="inlineStr">
        <is>
          <t>JÄMTLANDS LÄN</t>
        </is>
      </c>
      <c r="G1916" t="inlineStr">
        <is>
          <t>STRÖMSUND</t>
        </is>
      </c>
      <c r="I1916" t="n">
        <v>0.8</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39214-2026</t>
        </is>
      </c>
      <c r="B1917" t="inlineStr">
        <is>
          <t>avverkningsanmälan</t>
        </is>
      </c>
      <c r="C1917" t="inlineStr">
        <is>
          <t>Föryngringsavverkning</t>
        </is>
      </c>
      <c r="D1917" s="1" t="n">
        <v>46287</v>
      </c>
      <c r="E1917" s="1" t="n">
        <v>46318</v>
      </c>
      <c r="F1917" t="inlineStr">
        <is>
          <t>JÄMTLANDS LÄN</t>
        </is>
      </c>
      <c r="G1917" t="inlineStr">
        <is>
          <t>STRÖMSUND</t>
        </is>
      </c>
      <c r="H1917" t="inlineStr">
        <is>
          <t>SCA</t>
        </is>
      </c>
      <c r="I1917" t="n">
        <v>0.7</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33227-2026</t>
        </is>
      </c>
      <c r="B1918" t="inlineStr">
        <is>
          <t>avverkningsanmälan</t>
        </is>
      </c>
      <c r="C1918" t="inlineStr">
        <is>
          <t>Föryngringsavverkning</t>
        </is>
      </c>
      <c r="D1918" s="1" t="n">
        <v>46246</v>
      </c>
      <c r="E1918" s="1" t="n">
        <v>46318</v>
      </c>
      <c r="F1918" t="inlineStr">
        <is>
          <t>JÄMTLANDS LÄN</t>
        </is>
      </c>
      <c r="G1918" t="inlineStr">
        <is>
          <t>STRÖMSUND</t>
        </is>
      </c>
      <c r="I1918" t="n">
        <v>3.5</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26348-2023</t>
        </is>
      </c>
      <c r="B1919" t="inlineStr">
        <is>
          <t>avverkningsanmälan</t>
        </is>
      </c>
      <c r="C1919" t="inlineStr">
        <is>
          <t>Föryngringsavverkning</t>
        </is>
      </c>
      <c r="D1919" s="1" t="n">
        <v>45091</v>
      </c>
      <c r="E1919" s="1" t="n">
        <v>46318</v>
      </c>
      <c r="F1919" t="inlineStr">
        <is>
          <t>JÄMTLANDS LÄN</t>
        </is>
      </c>
      <c r="G1919" t="inlineStr">
        <is>
          <t>STRÖMSUND</t>
        </is>
      </c>
      <c r="H1919" t="inlineStr">
        <is>
          <t>SCA</t>
        </is>
      </c>
      <c r="I1919" t="n">
        <v>0.7</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39302-2026</t>
        </is>
      </c>
      <c r="B1920" t="inlineStr">
        <is>
          <t>avverkningsanmälan</t>
        </is>
      </c>
      <c r="C1920" t="inlineStr">
        <is>
          <t>Avverkning för att bevara och utveckla /försöksver</t>
        </is>
      </c>
      <c r="D1920" s="1" t="n">
        <v>46288</v>
      </c>
      <c r="E1920" s="1" t="n">
        <v>46318</v>
      </c>
      <c r="F1920" t="inlineStr">
        <is>
          <t>JÄMTLANDS LÄN</t>
        </is>
      </c>
      <c r="G1920" t="inlineStr">
        <is>
          <t>STRÖMSUND</t>
        </is>
      </c>
      <c r="H1920" t="inlineStr">
        <is>
          <t>SCA</t>
        </is>
      </c>
      <c r="I1920" t="n">
        <v>0.8</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39287-2026</t>
        </is>
      </c>
      <c r="B1921" t="inlineStr">
        <is>
          <t>avverkningsanmälan</t>
        </is>
      </c>
      <c r="C1921" t="inlineStr">
        <is>
          <t>Föryngringsavverkning</t>
        </is>
      </c>
      <c r="D1921" s="1" t="n">
        <v>46288</v>
      </c>
      <c r="E1921" s="1" t="n">
        <v>46318</v>
      </c>
      <c r="F1921" t="inlineStr">
        <is>
          <t>JÄMTLANDS LÄN</t>
        </is>
      </c>
      <c r="G1921" t="inlineStr">
        <is>
          <t>STRÖMSUND</t>
        </is>
      </c>
      <c r="I1921" t="n">
        <v>4.9</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33609-2026</t>
        </is>
      </c>
      <c r="B1922" t="inlineStr">
        <is>
          <t>avverkningsanmälan</t>
        </is>
      </c>
      <c r="C1922" t="inlineStr">
        <is>
          <t>Föryngringsavverkning</t>
        </is>
      </c>
      <c r="D1922" s="1" t="n">
        <v>46247</v>
      </c>
      <c r="E1922" s="1" t="n">
        <v>46318</v>
      </c>
      <c r="F1922" t="inlineStr">
        <is>
          <t>JÄMTLANDS LÄN</t>
        </is>
      </c>
      <c r="G1922" t="inlineStr">
        <is>
          <t>STRÖMSUND</t>
        </is>
      </c>
      <c r="I1922" t="n">
        <v>1.8</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39244-2026</t>
        </is>
      </c>
      <c r="B1923" t="inlineStr">
        <is>
          <t>avverkningsanmälan</t>
        </is>
      </c>
      <c r="C1923" t="inlineStr">
        <is>
          <t>Föryngringsavverkning</t>
        </is>
      </c>
      <c r="D1923" s="1" t="n">
        <v>46288</v>
      </c>
      <c r="E1923" s="1" t="n">
        <v>46318</v>
      </c>
      <c r="F1923" t="inlineStr">
        <is>
          <t>JÄMTLANDS LÄN</t>
        </is>
      </c>
      <c r="G1923" t="inlineStr">
        <is>
          <t>STRÖMSUND</t>
        </is>
      </c>
      <c r="I1923" t="n">
        <v>2.2</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39272-2026</t>
        </is>
      </c>
      <c r="B1924" t="inlineStr">
        <is>
          <t>avverkningsanmälan</t>
        </is>
      </c>
      <c r="C1924" t="inlineStr">
        <is>
          <t>Avverkning för att bevara och utveckla /försöksver</t>
        </is>
      </c>
      <c r="D1924" s="1" t="n">
        <v>46288</v>
      </c>
      <c r="E1924" s="1" t="n">
        <v>46318</v>
      </c>
      <c r="F1924" t="inlineStr">
        <is>
          <t>JÄMTLANDS LÄN</t>
        </is>
      </c>
      <c r="G1924" t="inlineStr">
        <is>
          <t>STRÖMSUND</t>
        </is>
      </c>
      <c r="H1924" t="inlineStr">
        <is>
          <t>SCA</t>
        </is>
      </c>
      <c r="I1924" t="n">
        <v>1.5</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31675-2024</t>
        </is>
      </c>
      <c r="B1925" t="inlineStr">
        <is>
          <t>avverkningsanmälan</t>
        </is>
      </c>
      <c r="C1925" t="inlineStr">
        <is>
          <t>Föryngringsavverkning</t>
        </is>
      </c>
      <c r="D1925" s="1" t="n">
        <v>45506</v>
      </c>
      <c r="E1925" s="1" t="n">
        <v>46318</v>
      </c>
      <c r="F1925" t="inlineStr">
        <is>
          <t>JÄMTLANDS LÄN</t>
        </is>
      </c>
      <c r="G1925" t="inlineStr">
        <is>
          <t>STRÖMSUND</t>
        </is>
      </c>
      <c r="H1925" t="inlineStr">
        <is>
          <t>SCA</t>
        </is>
      </c>
      <c r="I1925" t="n">
        <v>12.4</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26748-2026</t>
        </is>
      </c>
      <c r="B1926" t="inlineStr">
        <is>
          <t>avverkningsanmälan</t>
        </is>
      </c>
      <c r="C1926" t="inlineStr">
        <is>
          <t>Föryngringsavverkning</t>
        </is>
      </c>
      <c r="D1926" s="1" t="n">
        <v>46184</v>
      </c>
      <c r="E1926" s="1" t="n">
        <v>46318</v>
      </c>
      <c r="F1926" t="inlineStr">
        <is>
          <t>JÄMTLANDS LÄN</t>
        </is>
      </c>
      <c r="G1926" t="inlineStr">
        <is>
          <t>STRÖMSUND</t>
        </is>
      </c>
      <c r="H1926" t="inlineStr">
        <is>
          <t>SCA</t>
        </is>
      </c>
      <c r="I1926" t="n">
        <v>1.5</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39370-2026</t>
        </is>
      </c>
      <c r="B1927" t="inlineStr">
        <is>
          <t>avverkningsanmälan</t>
        </is>
      </c>
      <c r="C1927" t="inlineStr">
        <is>
          <t>Föryngringsavverkning</t>
        </is>
      </c>
      <c r="D1927" s="1" t="n">
        <v>46288</v>
      </c>
      <c r="E1927" s="1" t="n">
        <v>46318</v>
      </c>
      <c r="F1927" t="inlineStr">
        <is>
          <t>JÄMTLANDS LÄN</t>
        </is>
      </c>
      <c r="G1927" t="inlineStr">
        <is>
          <t>STRÖMSUND</t>
        </is>
      </c>
      <c r="H1927" t="inlineStr">
        <is>
          <t>SCA</t>
        </is>
      </c>
      <c r="I1927" t="n">
        <v>2.1</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39010-2026</t>
        </is>
      </c>
      <c r="B1928" t="inlineStr">
        <is>
          <t>avverkningsanmälan</t>
        </is>
      </c>
      <c r="C1928" t="inlineStr">
        <is>
          <t>Föryngringsavverkning</t>
        </is>
      </c>
      <c r="D1928" s="1" t="n">
        <v>46287</v>
      </c>
      <c r="E1928" s="1" t="n">
        <v>46318</v>
      </c>
      <c r="F1928" t="inlineStr">
        <is>
          <t>JÄMTLANDS LÄN</t>
        </is>
      </c>
      <c r="G1928" t="inlineStr">
        <is>
          <t>STRÖMSUND</t>
        </is>
      </c>
      <c r="I1928" t="n">
        <v>2.2</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39254-2026</t>
        </is>
      </c>
      <c r="B1929" t="inlineStr">
        <is>
          <t>avverkningsanmälan</t>
        </is>
      </c>
      <c r="C1929" t="inlineStr">
        <is>
          <t>Föryngringsavverkning</t>
        </is>
      </c>
      <c r="D1929" s="1" t="n">
        <v>46288</v>
      </c>
      <c r="E1929" s="1" t="n">
        <v>46318</v>
      </c>
      <c r="F1929" t="inlineStr">
        <is>
          <t>JÄMTLANDS LÄN</t>
        </is>
      </c>
      <c r="G1929" t="inlineStr">
        <is>
          <t>STRÖMSUND</t>
        </is>
      </c>
      <c r="I1929" t="n">
        <v>2.4</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39284-2026</t>
        </is>
      </c>
      <c r="B1930" t="inlineStr">
        <is>
          <t>avverkningsanmälan</t>
        </is>
      </c>
      <c r="C1930" t="inlineStr">
        <is>
          <t>Föryngringsavverkning</t>
        </is>
      </c>
      <c r="D1930" s="1" t="n">
        <v>46288</v>
      </c>
      <c r="E1930" s="1" t="n">
        <v>46318</v>
      </c>
      <c r="F1930" t="inlineStr">
        <is>
          <t>JÄMTLANDS LÄN</t>
        </is>
      </c>
      <c r="G1930" t="inlineStr">
        <is>
          <t>STRÖMSUND</t>
        </is>
      </c>
      <c r="H1930" t="inlineStr">
        <is>
          <t>SCA</t>
        </is>
      </c>
      <c r="I1930" t="n">
        <v>13.3</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2686-2025</t>
        </is>
      </c>
      <c r="B1931" t="inlineStr">
        <is>
          <t>avverkningsanmälan</t>
        </is>
      </c>
      <c r="C1931" t="inlineStr">
        <is>
          <t>Föryngringsavverkning</t>
        </is>
      </c>
      <c r="D1931" s="1" t="n">
        <v>45677</v>
      </c>
      <c r="E1931" s="1" t="n">
        <v>46318</v>
      </c>
      <c r="F1931" t="inlineStr">
        <is>
          <t>JÄMTLANDS LÄN</t>
        </is>
      </c>
      <c r="G1931" t="inlineStr">
        <is>
          <t>STRÖMSUND</t>
        </is>
      </c>
      <c r="H1931" t="inlineStr">
        <is>
          <t>SCA</t>
        </is>
      </c>
      <c r="I1931" t="n">
        <v>4.1</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60850-2023</t>
        </is>
      </c>
      <c r="B1932" t="inlineStr">
        <is>
          <t>avverkningsanmälan</t>
        </is>
      </c>
      <c r="C1932" t="inlineStr">
        <is>
          <t>Föryngringsavverkning</t>
        </is>
      </c>
      <c r="D1932" s="1" t="n">
        <v>45260</v>
      </c>
      <c r="E1932" s="1" t="n">
        <v>46318</v>
      </c>
      <c r="F1932" t="inlineStr">
        <is>
          <t>JÄMTLANDS LÄN</t>
        </is>
      </c>
      <c r="G1932" t="inlineStr">
        <is>
          <t>STRÖMSUND</t>
        </is>
      </c>
      <c r="I1932" t="n">
        <v>11.8</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33246-2026</t>
        </is>
      </c>
      <c r="B1933" t="inlineStr">
        <is>
          <t>avverkningsanmälan</t>
        </is>
      </c>
      <c r="C1933" t="inlineStr">
        <is>
          <t>Föryngringsavverkning</t>
        </is>
      </c>
      <c r="D1933" s="1" t="n">
        <v>46246</v>
      </c>
      <c r="E1933" s="1" t="n">
        <v>46318</v>
      </c>
      <c r="F1933" t="inlineStr">
        <is>
          <t>JÄMTLANDS LÄN</t>
        </is>
      </c>
      <c r="G1933" t="inlineStr">
        <is>
          <t>STRÖMSUND</t>
        </is>
      </c>
      <c r="I1933" t="n">
        <v>3</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39274-2026</t>
        </is>
      </c>
      <c r="B1934" t="inlineStr">
        <is>
          <t>avverkningsanmälan</t>
        </is>
      </c>
      <c r="C1934" t="inlineStr">
        <is>
          <t>Föryngringsavverkning</t>
        </is>
      </c>
      <c r="D1934" s="1" t="n">
        <v>46288</v>
      </c>
      <c r="E1934" s="1" t="n">
        <v>46318</v>
      </c>
      <c r="F1934" t="inlineStr">
        <is>
          <t>JÄMTLANDS LÄN</t>
        </is>
      </c>
      <c r="G1934" t="inlineStr">
        <is>
          <t>STRÖMSUND</t>
        </is>
      </c>
      <c r="H1934" t="inlineStr">
        <is>
          <t>SCA</t>
        </is>
      </c>
      <c r="I1934" t="n">
        <v>1.4</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39300-2026</t>
        </is>
      </c>
      <c r="B1935" t="inlineStr">
        <is>
          <t>avverkningsanmälan</t>
        </is>
      </c>
      <c r="C1935" t="inlineStr">
        <is>
          <t>Föryngringsavverkning</t>
        </is>
      </c>
      <c r="D1935" s="1" t="n">
        <v>46288</v>
      </c>
      <c r="E1935" s="1" t="n">
        <v>46318</v>
      </c>
      <c r="F1935" t="inlineStr">
        <is>
          <t>JÄMTLANDS LÄN</t>
        </is>
      </c>
      <c r="G1935" t="inlineStr">
        <is>
          <t>STRÖMSUND</t>
        </is>
      </c>
      <c r="H1935" t="inlineStr">
        <is>
          <t>SCA</t>
        </is>
      </c>
      <c r="I1935" t="n">
        <v>1.6</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24833-2023</t>
        </is>
      </c>
      <c r="B1936" t="inlineStr">
        <is>
          <t>avverkningsanmälan</t>
        </is>
      </c>
      <c r="C1936" t="inlineStr">
        <is>
          <t>Föryngringsavverkning</t>
        </is>
      </c>
      <c r="D1936" s="1" t="n">
        <v>45084</v>
      </c>
      <c r="E1936" s="1" t="n">
        <v>46318</v>
      </c>
      <c r="F1936" t="inlineStr">
        <is>
          <t>JÄMTLANDS LÄN</t>
        </is>
      </c>
      <c r="G1936" t="inlineStr">
        <is>
          <t>STRÖMSUND</t>
        </is>
      </c>
      <c r="H1936" t="inlineStr">
        <is>
          <t>SCA</t>
        </is>
      </c>
      <c r="I1936" t="n">
        <v>5.8</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39251-2026</t>
        </is>
      </c>
      <c r="B1937" t="inlineStr">
        <is>
          <t>avverkningsanmälan</t>
        </is>
      </c>
      <c r="C1937" t="inlineStr">
        <is>
          <t>Föryngringsavverkning</t>
        </is>
      </c>
      <c r="D1937" s="1" t="n">
        <v>46288</v>
      </c>
      <c r="E1937" s="1" t="n">
        <v>46318</v>
      </c>
      <c r="F1937" t="inlineStr">
        <is>
          <t>JÄMTLANDS LÄN</t>
        </is>
      </c>
      <c r="G1937" t="inlineStr">
        <is>
          <t>STRÖMSUND</t>
        </is>
      </c>
      <c r="I1937" t="n">
        <v>8.4</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7545-2025</t>
        </is>
      </c>
      <c r="B1938" t="inlineStr">
        <is>
          <t>avverkningsanmälan</t>
        </is>
      </c>
      <c r="C1938" t="inlineStr">
        <is>
          <t>Föryngringsavverkning</t>
        </is>
      </c>
      <c r="D1938" s="1" t="n">
        <v>45705</v>
      </c>
      <c r="E1938" s="1" t="n">
        <v>46318</v>
      </c>
      <c r="F1938" t="inlineStr">
        <is>
          <t>JÄMTLANDS LÄN</t>
        </is>
      </c>
      <c r="G1938" t="inlineStr">
        <is>
          <t>STRÖMSUND</t>
        </is>
      </c>
      <c r="H1938" t="inlineStr">
        <is>
          <t>SCA</t>
        </is>
      </c>
      <c r="I1938" t="n">
        <v>1.5</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40351-2024</t>
        </is>
      </c>
      <c r="B1939" t="inlineStr">
        <is>
          <t>avverkningsanmälan</t>
        </is>
      </c>
      <c r="C1939" t="inlineStr">
        <is>
          <t>Föryngringsavverkning</t>
        </is>
      </c>
      <c r="D1939" s="1" t="n">
        <v>45555</v>
      </c>
      <c r="E1939" s="1" t="n">
        <v>46318</v>
      </c>
      <c r="F1939" t="inlineStr">
        <is>
          <t>JÄMTLANDS LÄN</t>
        </is>
      </c>
      <c r="G1939" t="inlineStr">
        <is>
          <t>STRÖMSUND</t>
        </is>
      </c>
      <c r="I1939" t="n">
        <v>0.6</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39275-2026</t>
        </is>
      </c>
      <c r="B1940" t="inlineStr">
        <is>
          <t>avverkningsanmälan</t>
        </is>
      </c>
      <c r="C1940" t="inlineStr">
        <is>
          <t>Avverkning för att bevara och utveckla /försöksver</t>
        </is>
      </c>
      <c r="D1940" s="1" t="n">
        <v>46288</v>
      </c>
      <c r="E1940" s="1" t="n">
        <v>46318</v>
      </c>
      <c r="F1940" t="inlineStr">
        <is>
          <t>JÄMTLANDS LÄN</t>
        </is>
      </c>
      <c r="G1940" t="inlineStr">
        <is>
          <t>STRÖMSUND</t>
        </is>
      </c>
      <c r="H1940" t="inlineStr">
        <is>
          <t>SCA</t>
        </is>
      </c>
      <c r="I1940" t="n">
        <v>2.2</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33286-2026</t>
        </is>
      </c>
      <c r="B1941" t="inlineStr">
        <is>
          <t>avverkningsanmälan</t>
        </is>
      </c>
      <c r="C1941" t="inlineStr">
        <is>
          <t>Föryngringsavverkning</t>
        </is>
      </c>
      <c r="D1941" s="1" t="n">
        <v>46246</v>
      </c>
      <c r="E1941" s="1" t="n">
        <v>46318</v>
      </c>
      <c r="F1941" t="inlineStr">
        <is>
          <t>JÄMTLANDS LÄN</t>
        </is>
      </c>
      <c r="G1941" t="inlineStr">
        <is>
          <t>STRÖMSUND</t>
        </is>
      </c>
      <c r="I1941" t="n">
        <v>4.5</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39009-2026</t>
        </is>
      </c>
      <c r="B1942" t="inlineStr">
        <is>
          <t>avverkningsanmälan</t>
        </is>
      </c>
      <c r="C1942" t="inlineStr">
        <is>
          <t>Föryngringsavverkning</t>
        </is>
      </c>
      <c r="D1942" s="1" t="n">
        <v>46287</v>
      </c>
      <c r="E1942" s="1" t="n">
        <v>46318</v>
      </c>
      <c r="F1942" t="inlineStr">
        <is>
          <t>JÄMTLANDS LÄN</t>
        </is>
      </c>
      <c r="G1942" t="inlineStr">
        <is>
          <t>STRÖMSUND</t>
        </is>
      </c>
      <c r="I1942" t="n">
        <v>0.8</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40168-2026</t>
        </is>
      </c>
      <c r="B1943" t="inlineStr">
        <is>
          <t>avverkningsanmälan</t>
        </is>
      </c>
      <c r="C1943" t="inlineStr">
        <is>
          <t>Avverkning för annat ändamål</t>
        </is>
      </c>
      <c r="D1943" s="1" t="n">
        <v>46293</v>
      </c>
      <c r="E1943" s="1" t="n">
        <v>46318</v>
      </c>
      <c r="F1943" t="inlineStr">
        <is>
          <t>JÄMTLANDS LÄN</t>
        </is>
      </c>
      <c r="G1943" t="inlineStr">
        <is>
          <t>STRÖMSUND</t>
        </is>
      </c>
      <c r="I1943" t="n">
        <v>0.9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27638-2024</t>
        </is>
      </c>
      <c r="B1944" t="inlineStr">
        <is>
          <t>avverkningsanmälan</t>
        </is>
      </c>
      <c r="C1944" t="inlineStr">
        <is>
          <t>Avverkning för att bevara och utveckla /försöksver</t>
        </is>
      </c>
      <c r="D1944" s="1" t="n">
        <v>45474</v>
      </c>
      <c r="E1944" s="1" t="n">
        <v>46318</v>
      </c>
      <c r="F1944" t="inlineStr">
        <is>
          <t>JÄMTLANDS LÄN</t>
        </is>
      </c>
      <c r="G1944" t="inlineStr">
        <is>
          <t>STRÖMSUND</t>
        </is>
      </c>
      <c r="H1944" t="inlineStr">
        <is>
          <t>SCA</t>
        </is>
      </c>
      <c r="I1944" t="n">
        <v>3.5</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27649-2024</t>
        </is>
      </c>
      <c r="B1945" t="inlineStr">
        <is>
          <t>avverkningsanmälan</t>
        </is>
      </c>
      <c r="C1945" t="inlineStr">
        <is>
          <t>Föryngringsavverkning</t>
        </is>
      </c>
      <c r="D1945" s="1" t="n">
        <v>45474</v>
      </c>
      <c r="E1945" s="1" t="n">
        <v>46318</v>
      </c>
      <c r="F1945" t="inlineStr">
        <is>
          <t>JÄMTLANDS LÄN</t>
        </is>
      </c>
      <c r="G1945" t="inlineStr">
        <is>
          <t>STRÖMSUND</t>
        </is>
      </c>
      <c r="H1945" t="inlineStr">
        <is>
          <t>SCA</t>
        </is>
      </c>
      <c r="I1945" t="n">
        <v>1.1</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54482-2023</t>
        </is>
      </c>
      <c r="B1946" t="inlineStr">
        <is>
          <t>avverkningsanmälan</t>
        </is>
      </c>
      <c r="C1946" t="inlineStr">
        <is>
          <t>Avverkning för annat ändamål</t>
        </is>
      </c>
      <c r="D1946" s="1" t="n">
        <v>45233</v>
      </c>
      <c r="E1946" s="1" t="n">
        <v>46318</v>
      </c>
      <c r="F1946" t="inlineStr">
        <is>
          <t>JÄMTLANDS LÄN</t>
        </is>
      </c>
      <c r="G1946" t="inlineStr">
        <is>
          <t>STRÖMSUND</t>
        </is>
      </c>
      <c r="H1946" t="inlineStr">
        <is>
          <t>Holmen skog AB</t>
        </is>
      </c>
      <c r="I1946" t="n">
        <v>0.4</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40154-2026</t>
        </is>
      </c>
      <c r="B1947" t="inlineStr">
        <is>
          <t>avverkningsanmälan</t>
        </is>
      </c>
      <c r="C1947" t="inlineStr">
        <is>
          <t>Föryngringsavverkning</t>
        </is>
      </c>
      <c r="D1947" s="1" t="n">
        <v>46293</v>
      </c>
      <c r="E1947" s="1" t="n">
        <v>46318</v>
      </c>
      <c r="F1947" t="inlineStr">
        <is>
          <t>JÄMTLANDS LÄN</t>
        </is>
      </c>
      <c r="G1947" t="inlineStr">
        <is>
          <t>STRÖMSUND</t>
        </is>
      </c>
      <c r="H1947" t="inlineStr">
        <is>
          <t>SCA</t>
        </is>
      </c>
      <c r="I1947" t="n">
        <v>10.7</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33582-2026</t>
        </is>
      </c>
      <c r="B1948" t="inlineStr">
        <is>
          <t>avverkningsanmälan</t>
        </is>
      </c>
      <c r="C1948" t="inlineStr">
        <is>
          <t>Föryngringsavverkning</t>
        </is>
      </c>
      <c r="D1948" s="1" t="n">
        <v>46248</v>
      </c>
      <c r="E1948" s="1" t="n">
        <v>46318</v>
      </c>
      <c r="F1948" t="inlineStr">
        <is>
          <t>JÄMTLANDS LÄN</t>
        </is>
      </c>
      <c r="G1948" t="inlineStr">
        <is>
          <t>STRÖMSUND</t>
        </is>
      </c>
      <c r="I1948" t="n">
        <v>1.6</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27036-2022</t>
        </is>
      </c>
      <c r="B1949" t="inlineStr">
        <is>
          <t>avverkningsanmälan</t>
        </is>
      </c>
      <c r="C1949" t="inlineStr">
        <is>
          <t>Föryngringsavverkning</t>
        </is>
      </c>
      <c r="D1949" s="1" t="n">
        <v>44740</v>
      </c>
      <c r="E1949" s="1" t="n">
        <v>46318</v>
      </c>
      <c r="F1949" t="inlineStr">
        <is>
          <t>JÄMTLANDS LÄN</t>
        </is>
      </c>
      <c r="G1949" t="inlineStr">
        <is>
          <t>STRÖMSUND</t>
        </is>
      </c>
      <c r="H1949" t="inlineStr">
        <is>
          <t>SCA</t>
        </is>
      </c>
      <c r="I1949" t="n">
        <v>2.2</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40162-2026</t>
        </is>
      </c>
      <c r="B1950" t="inlineStr">
        <is>
          <t>avverkningsanmälan</t>
        </is>
      </c>
      <c r="C1950" t="inlineStr">
        <is>
          <t>Avverkning för annat ändamål</t>
        </is>
      </c>
      <c r="D1950" s="1" t="n">
        <v>46293</v>
      </c>
      <c r="E1950" s="1" t="n">
        <v>46318</v>
      </c>
      <c r="F1950" t="inlineStr">
        <is>
          <t>JÄMTLANDS LÄN</t>
        </is>
      </c>
      <c r="G1950" t="inlineStr">
        <is>
          <t>STRÖMSUND</t>
        </is>
      </c>
      <c r="I1950" t="n">
        <v>0.8</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61858-2025</t>
        </is>
      </c>
      <c r="B1951" t="inlineStr">
        <is>
          <t>avverkningsanmälan</t>
        </is>
      </c>
      <c r="C1951" t="inlineStr">
        <is>
          <t>Föryngringsavverkning</t>
        </is>
      </c>
      <c r="D1951" s="1" t="n">
        <v>46003</v>
      </c>
      <c r="E1951" s="1" t="n">
        <v>46318</v>
      </c>
      <c r="F1951" t="inlineStr">
        <is>
          <t>JÄMTLANDS LÄN</t>
        </is>
      </c>
      <c r="G1951" t="inlineStr">
        <is>
          <t>STRÖMSUND</t>
        </is>
      </c>
      <c r="H1951" t="inlineStr">
        <is>
          <t>SCA</t>
        </is>
      </c>
      <c r="I1951" t="n">
        <v>4.4</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39982-2026</t>
        </is>
      </c>
      <c r="B1952" t="inlineStr">
        <is>
          <t>avverkningsanmälan</t>
        </is>
      </c>
      <c r="C1952" t="inlineStr">
        <is>
          <t>Föryngringsavverkning</t>
        </is>
      </c>
      <c r="D1952" s="1" t="n">
        <v>46293</v>
      </c>
      <c r="E1952" s="1" t="n">
        <v>46318</v>
      </c>
      <c r="F1952" t="inlineStr">
        <is>
          <t>JÄMTLANDS LÄN</t>
        </is>
      </c>
      <c r="G1952" t="inlineStr">
        <is>
          <t>STRÖMSUND</t>
        </is>
      </c>
      <c r="H1952" t="inlineStr">
        <is>
          <t>SCA</t>
        </is>
      </c>
      <c r="I1952" t="n">
        <v>12</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35011-2023</t>
        </is>
      </c>
      <c r="B1953" t="inlineStr">
        <is>
          <t>avverkningsanmälan</t>
        </is>
      </c>
      <c r="C1953" t="inlineStr">
        <is>
          <t>Föryngringsavverkning</t>
        </is>
      </c>
      <c r="D1953" s="1" t="n">
        <v>45142</v>
      </c>
      <c r="E1953" s="1" t="n">
        <v>46318</v>
      </c>
      <c r="F1953" t="inlineStr">
        <is>
          <t>JÄMTLANDS LÄN</t>
        </is>
      </c>
      <c r="G1953" t="inlineStr">
        <is>
          <t>STRÖMSUND</t>
        </is>
      </c>
      <c r="H1953" t="inlineStr">
        <is>
          <t>SCA</t>
        </is>
      </c>
      <c r="I1953" t="n">
        <v>1.7</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40153-2026</t>
        </is>
      </c>
      <c r="B1954" t="inlineStr">
        <is>
          <t>avverkningsanmälan</t>
        </is>
      </c>
      <c r="C1954" t="inlineStr">
        <is>
          <t>Föryngringsavverkning</t>
        </is>
      </c>
      <c r="D1954" s="1" t="n">
        <v>46293</v>
      </c>
      <c r="E1954" s="1" t="n">
        <v>46318</v>
      </c>
      <c r="F1954" t="inlineStr">
        <is>
          <t>JÄMTLANDS LÄN</t>
        </is>
      </c>
      <c r="G1954" t="inlineStr">
        <is>
          <t>STRÖMSUND</t>
        </is>
      </c>
      <c r="I1954" t="n">
        <v>0.5</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1824-2025</t>
        </is>
      </c>
      <c r="B1955" t="inlineStr">
        <is>
          <t>avverkningsanmälan</t>
        </is>
      </c>
      <c r="C1955" t="inlineStr">
        <is>
          <t>Föryngringsavverkning</t>
        </is>
      </c>
      <c r="D1955" s="1" t="n">
        <v>45671</v>
      </c>
      <c r="E1955" s="1" t="n">
        <v>46318</v>
      </c>
      <c r="F1955" t="inlineStr">
        <is>
          <t>JÄMTLANDS LÄN</t>
        </is>
      </c>
      <c r="G1955" t="inlineStr">
        <is>
          <t>STRÖMSUND</t>
        </is>
      </c>
      <c r="H1955" t="inlineStr">
        <is>
          <t>SCA</t>
        </is>
      </c>
      <c r="I1955" t="n">
        <v>3.2</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16848-2022</t>
        </is>
      </c>
      <c r="B1956" t="inlineStr">
        <is>
          <t>avverkningsanmälan</t>
        </is>
      </c>
      <c r="C1956" t="inlineStr">
        <is>
          <t>Föryngringsavverkning</t>
        </is>
      </c>
      <c r="D1956" s="1" t="n">
        <v>44673</v>
      </c>
      <c r="E1956" s="1" t="n">
        <v>46318</v>
      </c>
      <c r="F1956" t="inlineStr">
        <is>
          <t>JÄMTLANDS LÄN</t>
        </is>
      </c>
      <c r="G1956" t="inlineStr">
        <is>
          <t>STRÖMSUND</t>
        </is>
      </c>
      <c r="H1956" t="inlineStr">
        <is>
          <t>SCA</t>
        </is>
      </c>
      <c r="I1956" t="n">
        <v>6.6</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39746-2026</t>
        </is>
      </c>
      <c r="B1957" t="inlineStr">
        <is>
          <t>avverkningsanmälan</t>
        </is>
      </c>
      <c r="C1957" t="inlineStr">
        <is>
          <t>Föryngringsavverkning</t>
        </is>
      </c>
      <c r="D1957" s="1" t="n">
        <v>46290</v>
      </c>
      <c r="E1957" s="1" t="n">
        <v>46318</v>
      </c>
      <c r="F1957" t="inlineStr">
        <is>
          <t>JÄMTLANDS LÄN</t>
        </is>
      </c>
      <c r="G1957" t="inlineStr">
        <is>
          <t>STRÖMSUND</t>
        </is>
      </c>
      <c r="H1957" t="inlineStr">
        <is>
          <t>SCA</t>
        </is>
      </c>
      <c r="I1957" t="n">
        <v>2.4</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33392-2026</t>
        </is>
      </c>
      <c r="B1958" t="inlineStr">
        <is>
          <t>avverkningsanmälan</t>
        </is>
      </c>
      <c r="C1958" t="inlineStr">
        <is>
          <t>Föryngringsavverkning</t>
        </is>
      </c>
      <c r="D1958" s="1" t="n">
        <v>46247</v>
      </c>
      <c r="E1958" s="1" t="n">
        <v>46318</v>
      </c>
      <c r="F1958" t="inlineStr">
        <is>
          <t>JÄMTLANDS LÄN</t>
        </is>
      </c>
      <c r="G1958" t="inlineStr">
        <is>
          <t>STRÖMSUND</t>
        </is>
      </c>
      <c r="H1958" t="inlineStr">
        <is>
          <t>SCA</t>
        </is>
      </c>
      <c r="I1958" t="n">
        <v>23.1</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47391-2022</t>
        </is>
      </c>
      <c r="B1959" t="inlineStr">
        <is>
          <t>avverkningsanmälan</t>
        </is>
      </c>
      <c r="C1959" t="inlineStr">
        <is>
          <t>Föryngringsavverkning</t>
        </is>
      </c>
      <c r="D1959" s="1" t="n">
        <v>44853</v>
      </c>
      <c r="E1959" s="1" t="n">
        <v>46318</v>
      </c>
      <c r="F1959" t="inlineStr">
        <is>
          <t>JÄMTLANDS LÄN</t>
        </is>
      </c>
      <c r="G1959" t="inlineStr">
        <is>
          <t>STRÖMSUND</t>
        </is>
      </c>
      <c r="H1959" t="inlineStr">
        <is>
          <t>Holmen skog AB</t>
        </is>
      </c>
      <c r="I1959" t="n">
        <v>11.8</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58446-2023</t>
        </is>
      </c>
      <c r="B1960" t="inlineStr">
        <is>
          <t>avverkningsanmälan</t>
        </is>
      </c>
      <c r="C1960" t="inlineStr">
        <is>
          <t>Föryngringsavverkning</t>
        </is>
      </c>
      <c r="D1960" s="1" t="n">
        <v>45250</v>
      </c>
      <c r="E1960" s="1" t="n">
        <v>46318</v>
      </c>
      <c r="F1960" t="inlineStr">
        <is>
          <t>JÄMTLANDS LÄN</t>
        </is>
      </c>
      <c r="G1960" t="inlineStr">
        <is>
          <t>STRÖMSUND</t>
        </is>
      </c>
      <c r="I1960" t="n">
        <v>7.3</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61864-2025</t>
        </is>
      </c>
      <c r="B1961" t="inlineStr">
        <is>
          <t>avverkningsanmälan</t>
        </is>
      </c>
      <c r="C1961" t="inlineStr">
        <is>
          <t>Föryngringsavverkning</t>
        </is>
      </c>
      <c r="D1961" s="1" t="n">
        <v>46003</v>
      </c>
      <c r="E1961" s="1" t="n">
        <v>46318</v>
      </c>
      <c r="F1961" t="inlineStr">
        <is>
          <t>JÄMTLANDS LÄN</t>
        </is>
      </c>
      <c r="G1961" t="inlineStr">
        <is>
          <t>STRÖMSUND</t>
        </is>
      </c>
      <c r="H1961" t="inlineStr">
        <is>
          <t>SCA</t>
        </is>
      </c>
      <c r="I1961" t="n">
        <v>18.1</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63754-2023</t>
        </is>
      </c>
      <c r="B1962" t="inlineStr">
        <is>
          <t>avverkningsanmälan</t>
        </is>
      </c>
      <c r="C1962" t="inlineStr">
        <is>
          <t>Föryngringsavverkning</t>
        </is>
      </c>
      <c r="D1962" s="1" t="n">
        <v>45278</v>
      </c>
      <c r="E1962" s="1" t="n">
        <v>46318</v>
      </c>
      <c r="F1962" t="inlineStr">
        <is>
          <t>JÄMTLANDS LÄN</t>
        </is>
      </c>
      <c r="G1962" t="inlineStr">
        <is>
          <t>STRÖMSUND</t>
        </is>
      </c>
      <c r="I1962" t="n">
        <v>1.6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1823-2025</t>
        </is>
      </c>
      <c r="B1963" t="inlineStr">
        <is>
          <t>avverkningsanmälan</t>
        </is>
      </c>
      <c r="C1963" t="inlineStr">
        <is>
          <t>Föryngringsavverkning</t>
        </is>
      </c>
      <c r="D1963" s="1" t="n">
        <v>45671</v>
      </c>
      <c r="E1963" s="1" t="n">
        <v>46318</v>
      </c>
      <c r="F1963" t="inlineStr">
        <is>
          <t>JÄMTLANDS LÄN</t>
        </is>
      </c>
      <c r="G1963" t="inlineStr">
        <is>
          <t>STRÖMSUND</t>
        </is>
      </c>
      <c r="H1963" t="inlineStr">
        <is>
          <t>SCA</t>
        </is>
      </c>
      <c r="I1963" t="n">
        <v>4.5</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40500-2024</t>
        </is>
      </c>
      <c r="B1964" t="inlineStr">
        <is>
          <t>avverkningsanmälan</t>
        </is>
      </c>
      <c r="C1964" t="inlineStr">
        <is>
          <t>Föryngringsavverkning</t>
        </is>
      </c>
      <c r="D1964" s="1" t="n">
        <v>45555</v>
      </c>
      <c r="E1964" s="1" t="n">
        <v>46318</v>
      </c>
      <c r="F1964" t="inlineStr">
        <is>
          <t>JÄMTLANDS LÄN</t>
        </is>
      </c>
      <c r="G1964" t="inlineStr">
        <is>
          <t>STRÖMSUND</t>
        </is>
      </c>
      <c r="I1964" t="n">
        <v>1</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46259-2023</t>
        </is>
      </c>
      <c r="B1965" t="inlineStr">
        <is>
          <t>avverkningsanmälan</t>
        </is>
      </c>
      <c r="C1965" t="inlineStr">
        <is>
          <t>Avverkning för att bevara och utveckla /försöksver</t>
        </is>
      </c>
      <c r="D1965" s="1" t="n">
        <v>45196</v>
      </c>
      <c r="E1965" s="1" t="n">
        <v>46318</v>
      </c>
      <c r="F1965" t="inlineStr">
        <is>
          <t>JÄMTLANDS LÄN</t>
        </is>
      </c>
      <c r="G1965" t="inlineStr">
        <is>
          <t>STRÖMSUND</t>
        </is>
      </c>
      <c r="H1965" t="inlineStr">
        <is>
          <t>SCA</t>
        </is>
      </c>
      <c r="I1965" t="n">
        <v>2.6</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39900-2026</t>
        </is>
      </c>
      <c r="B1966" t="inlineStr">
        <is>
          <t>avverkningsanmälan</t>
        </is>
      </c>
      <c r="C1966" t="inlineStr">
        <is>
          <t>Föryngringsavverkning</t>
        </is>
      </c>
      <c r="D1966" s="1" t="n">
        <v>46290</v>
      </c>
      <c r="E1966" s="1" t="n">
        <v>46318</v>
      </c>
      <c r="F1966" t="inlineStr">
        <is>
          <t>JÄMTLANDS LÄN</t>
        </is>
      </c>
      <c r="G1966" t="inlineStr">
        <is>
          <t>STRÖMSUND</t>
        </is>
      </c>
      <c r="H1966" t="inlineStr">
        <is>
          <t>SCA</t>
        </is>
      </c>
      <c r="I1966" t="n">
        <v>6.6</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33569-2026</t>
        </is>
      </c>
      <c r="B1967" t="inlineStr">
        <is>
          <t>avverkningsanmälan</t>
        </is>
      </c>
      <c r="C1967" t="inlineStr">
        <is>
          <t>Föryngringsavverkning</t>
        </is>
      </c>
      <c r="D1967" s="1" t="n">
        <v>46248</v>
      </c>
      <c r="E1967" s="1" t="n">
        <v>46318</v>
      </c>
      <c r="F1967" t="inlineStr">
        <is>
          <t>JÄMTLANDS LÄN</t>
        </is>
      </c>
      <c r="G1967" t="inlineStr">
        <is>
          <t>STRÖMSUND</t>
        </is>
      </c>
      <c r="I1967" t="n">
        <v>6.1</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33393-2026</t>
        </is>
      </c>
      <c r="B1968" t="inlineStr">
        <is>
          <t>avverkningsanmälan</t>
        </is>
      </c>
      <c r="C1968" t="inlineStr">
        <is>
          <t>Föryngringsavverkning</t>
        </is>
      </c>
      <c r="D1968" s="1" t="n">
        <v>46247</v>
      </c>
      <c r="E1968" s="1" t="n">
        <v>46318</v>
      </c>
      <c r="F1968" t="inlineStr">
        <is>
          <t>JÄMTLANDS LÄN</t>
        </is>
      </c>
      <c r="G1968" t="inlineStr">
        <is>
          <t>STRÖMSUND</t>
        </is>
      </c>
      <c r="H1968" t="inlineStr">
        <is>
          <t>SCA</t>
        </is>
      </c>
      <c r="I1968" t="n">
        <v>6.5</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33685-2026</t>
        </is>
      </c>
      <c r="B1969" t="inlineStr">
        <is>
          <t>avverkningsanmälan</t>
        </is>
      </c>
      <c r="C1969" t="inlineStr">
        <is>
          <t>Föryngringsavverkning</t>
        </is>
      </c>
      <c r="D1969" s="1" t="n">
        <v>46248</v>
      </c>
      <c r="E1969" s="1" t="n">
        <v>46318</v>
      </c>
      <c r="F1969" t="inlineStr">
        <is>
          <t>JÄMTLANDS LÄN</t>
        </is>
      </c>
      <c r="G1969" t="inlineStr">
        <is>
          <t>STRÖMSUND</t>
        </is>
      </c>
      <c r="H1969" t="inlineStr">
        <is>
          <t>SCA</t>
        </is>
      </c>
      <c r="I1969" t="n">
        <v>2.5</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34337-2026</t>
        </is>
      </c>
      <c r="B1970" t="inlineStr">
        <is>
          <t>avverkningsanmälan</t>
        </is>
      </c>
      <c r="C1970" t="inlineStr">
        <is>
          <t>Föryngringsavverkning</t>
        </is>
      </c>
      <c r="D1970" s="1" t="n">
        <v>46253</v>
      </c>
      <c r="E1970" s="1" t="n">
        <v>46318</v>
      </c>
      <c r="F1970" t="inlineStr">
        <is>
          <t>JÄMTLANDS LÄN</t>
        </is>
      </c>
      <c r="G1970" t="inlineStr">
        <is>
          <t>STRÖMSUND</t>
        </is>
      </c>
      <c r="I1970" t="n">
        <v>3</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32443-2024</t>
        </is>
      </c>
      <c r="B1971" t="inlineStr">
        <is>
          <t>avverkningsanmälan</t>
        </is>
      </c>
      <c r="C1971" t="inlineStr">
        <is>
          <t>Avverkning för att bevara och utveckla /försöksver</t>
        </is>
      </c>
      <c r="D1971" s="1" t="n">
        <v>45512</v>
      </c>
      <c r="E1971" s="1" t="n">
        <v>46318</v>
      </c>
      <c r="F1971" t="inlineStr">
        <is>
          <t>JÄMTLANDS LÄN</t>
        </is>
      </c>
      <c r="G1971" t="inlineStr">
        <is>
          <t>STRÖMSUND</t>
        </is>
      </c>
      <c r="H1971" t="inlineStr">
        <is>
          <t>SCA</t>
        </is>
      </c>
      <c r="I1971" t="n">
        <v>4.6</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60911-2024</t>
        </is>
      </c>
      <c r="B1972" t="inlineStr">
        <is>
          <t>avverkningsanmälan</t>
        </is>
      </c>
      <c r="C1972" t="inlineStr">
        <is>
          <t>Föryngringsavverkning</t>
        </is>
      </c>
      <c r="D1972" s="1" t="n">
        <v>45644</v>
      </c>
      <c r="E1972" s="1" t="n">
        <v>46318</v>
      </c>
      <c r="F1972" t="inlineStr">
        <is>
          <t>JÄMTLANDS LÄN</t>
        </is>
      </c>
      <c r="G1972" t="inlineStr">
        <is>
          <t>STRÖMSUND</t>
        </is>
      </c>
      <c r="I1972" t="n">
        <v>1.8</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60917-2024</t>
        </is>
      </c>
      <c r="B1973" t="inlineStr">
        <is>
          <t>avverkningsanmälan</t>
        </is>
      </c>
      <c r="C1973" t="inlineStr">
        <is>
          <t>Föryngringsavverkning</t>
        </is>
      </c>
      <c r="D1973" s="1" t="n">
        <v>45644</v>
      </c>
      <c r="E1973" s="1" t="n">
        <v>46318</v>
      </c>
      <c r="F1973" t="inlineStr">
        <is>
          <t>JÄMTLANDS LÄN</t>
        </is>
      </c>
      <c r="G1973" t="inlineStr">
        <is>
          <t>STRÖMSUND</t>
        </is>
      </c>
      <c r="I1973" t="n">
        <v>7.5</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33845-2026</t>
        </is>
      </c>
      <c r="B1974" t="inlineStr">
        <is>
          <t>avverkningsanmälan</t>
        </is>
      </c>
      <c r="C1974" t="inlineStr">
        <is>
          <t>Föryngringsavverkning</t>
        </is>
      </c>
      <c r="D1974" s="1" t="n">
        <v>46251</v>
      </c>
      <c r="E1974" s="1" t="n">
        <v>46318</v>
      </c>
      <c r="F1974" t="inlineStr">
        <is>
          <t>JÄMTLANDS LÄN</t>
        </is>
      </c>
      <c r="G1974" t="inlineStr">
        <is>
          <t>STRÖMSUND</t>
        </is>
      </c>
      <c r="H1974" t="inlineStr">
        <is>
          <t>SCA</t>
        </is>
      </c>
      <c r="I1974" t="n">
        <v>6.3</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41940-2024</t>
        </is>
      </c>
      <c r="B1975" t="inlineStr">
        <is>
          <t>avverkningsanmälan</t>
        </is>
      </c>
      <c r="C1975" t="inlineStr">
        <is>
          <t>Föryngringsavverkning</t>
        </is>
      </c>
      <c r="D1975" s="1" t="n">
        <v>45561</v>
      </c>
      <c r="E1975" s="1" t="n">
        <v>46318</v>
      </c>
      <c r="F1975" t="inlineStr">
        <is>
          <t>JÄMTLANDS LÄN</t>
        </is>
      </c>
      <c r="G1975" t="inlineStr">
        <is>
          <t>STRÖMSUND</t>
        </is>
      </c>
      <c r="H1975" t="inlineStr">
        <is>
          <t>SCA</t>
        </is>
      </c>
      <c r="I1975" t="n">
        <v>3.1</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34370-2026</t>
        </is>
      </c>
      <c r="B1976" t="inlineStr">
        <is>
          <t>avverkningsanmälan</t>
        </is>
      </c>
      <c r="C1976" t="inlineStr">
        <is>
          <t>Föryngringsavverkning</t>
        </is>
      </c>
      <c r="D1976" s="1" t="n">
        <v>46253</v>
      </c>
      <c r="E1976" s="1" t="n">
        <v>46318</v>
      </c>
      <c r="F1976" t="inlineStr">
        <is>
          <t>JÄMTLANDS LÄN</t>
        </is>
      </c>
      <c r="G1976" t="inlineStr">
        <is>
          <t>STRÖMSUND</t>
        </is>
      </c>
      <c r="I1976" t="n">
        <v>2.9</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40379-2026</t>
        </is>
      </c>
      <c r="B1977" t="inlineStr">
        <is>
          <t>avverkningsanmälan</t>
        </is>
      </c>
      <c r="C1977" t="inlineStr">
        <is>
          <t>Föryngringsavverkning</t>
        </is>
      </c>
      <c r="D1977" s="1" t="n">
        <v>46294</v>
      </c>
      <c r="E1977" s="1" t="n">
        <v>46318</v>
      </c>
      <c r="F1977" t="inlineStr">
        <is>
          <t>JÄMTLANDS LÄN</t>
        </is>
      </c>
      <c r="G1977" t="inlineStr">
        <is>
          <t>STRÖMSUND</t>
        </is>
      </c>
      <c r="H1977" t="inlineStr">
        <is>
          <t>SCA</t>
        </is>
      </c>
      <c r="I1977" t="n">
        <v>1</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7854-2024</t>
        </is>
      </c>
      <c r="B1978" t="inlineStr">
        <is>
          <t>avverkningsanmälan</t>
        </is>
      </c>
      <c r="C1978" t="inlineStr">
        <is>
          <t>Föryngringsavverkning</t>
        </is>
      </c>
      <c r="D1978" s="1" t="n">
        <v>45350</v>
      </c>
      <c r="E1978" s="1" t="n">
        <v>46318</v>
      </c>
      <c r="F1978" t="inlineStr">
        <is>
          <t>JÄMTLANDS LÄN</t>
        </is>
      </c>
      <c r="G1978" t="inlineStr">
        <is>
          <t>STRÖMSUND</t>
        </is>
      </c>
      <c r="H1978" t="inlineStr">
        <is>
          <t>SCA</t>
        </is>
      </c>
      <c r="I1978" t="n">
        <v>3.3</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6494-2025</t>
        </is>
      </c>
      <c r="B1979" t="inlineStr">
        <is>
          <t>avverkningsanmälan</t>
        </is>
      </c>
      <c r="C1979" t="inlineStr">
        <is>
          <t>Föryngringsavverkning</t>
        </is>
      </c>
      <c r="D1979" s="1" t="n">
        <v>45699</v>
      </c>
      <c r="E1979" s="1" t="n">
        <v>46318</v>
      </c>
      <c r="F1979" t="inlineStr">
        <is>
          <t>JÄMTLANDS LÄN</t>
        </is>
      </c>
      <c r="G1979" t="inlineStr">
        <is>
          <t>STRÖMSUND</t>
        </is>
      </c>
      <c r="I1979" t="n">
        <v>1.1</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33895-2026</t>
        </is>
      </c>
      <c r="B1980" t="inlineStr">
        <is>
          <t>avverkningsanmälan</t>
        </is>
      </c>
      <c r="C1980" t="inlineStr">
        <is>
          <t>Föryngringsavverkning</t>
        </is>
      </c>
      <c r="D1980" s="1" t="n">
        <v>46251</v>
      </c>
      <c r="E1980" s="1" t="n">
        <v>46318</v>
      </c>
      <c r="F1980" t="inlineStr">
        <is>
          <t>JÄMTLANDS LÄN</t>
        </is>
      </c>
      <c r="G1980" t="inlineStr">
        <is>
          <t>STRÖMSUND</t>
        </is>
      </c>
      <c r="H1980" t="inlineStr">
        <is>
          <t>SCA</t>
        </is>
      </c>
      <c r="I1980" t="n">
        <v>4.8</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67099-2021</t>
        </is>
      </c>
      <c r="B1981" t="inlineStr">
        <is>
          <t>avverkningsanmälan</t>
        </is>
      </c>
      <c r="C1981" t="inlineStr">
        <is>
          <t>Föryngringsavverkning</t>
        </is>
      </c>
      <c r="D1981" s="1" t="n">
        <v>44522</v>
      </c>
      <c r="E1981" s="1" t="n">
        <v>46318</v>
      </c>
      <c r="F1981" t="inlineStr">
        <is>
          <t>JÄMTLANDS LÄN</t>
        </is>
      </c>
      <c r="G1981" t="inlineStr">
        <is>
          <t>STRÖMSUND</t>
        </is>
      </c>
      <c r="H1981" t="inlineStr">
        <is>
          <t>SCA</t>
        </is>
      </c>
      <c r="I1981" t="n">
        <v>1.2</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33952-2026</t>
        </is>
      </c>
      <c r="B1982" t="inlineStr">
        <is>
          <t>avverkningsanmälan</t>
        </is>
      </c>
      <c r="C1982" t="inlineStr">
        <is>
          <t>Föryngringsavverkning</t>
        </is>
      </c>
      <c r="D1982" s="1" t="n">
        <v>46252</v>
      </c>
      <c r="E1982" s="1" t="n">
        <v>46318</v>
      </c>
      <c r="F1982" t="inlineStr">
        <is>
          <t>JÄMTLANDS LÄN</t>
        </is>
      </c>
      <c r="G1982" t="inlineStr">
        <is>
          <t>STRÖMSUND</t>
        </is>
      </c>
      <c r="I1982" t="n">
        <v>1.8</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35375-2022</t>
        </is>
      </c>
      <c r="B1983" t="inlineStr">
        <is>
          <t>avverkningsanmälan</t>
        </is>
      </c>
      <c r="C1983" t="inlineStr">
        <is>
          <t>Föryngringsavverkning</t>
        </is>
      </c>
      <c r="D1983" s="1" t="n">
        <v>44798</v>
      </c>
      <c r="E1983" s="1" t="n">
        <v>46318</v>
      </c>
      <c r="F1983" t="inlineStr">
        <is>
          <t>JÄMTLANDS LÄN</t>
        </is>
      </c>
      <c r="G1983" t="inlineStr">
        <is>
          <t>STRÖMSUND</t>
        </is>
      </c>
      <c r="H1983" t="inlineStr">
        <is>
          <t>Kommuner</t>
        </is>
      </c>
      <c r="I1983" t="n">
        <v>3.9</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58393-2024</t>
        </is>
      </c>
      <c r="B1984" t="inlineStr">
        <is>
          <t>avverkningsanmälan</t>
        </is>
      </c>
      <c r="C1984" t="inlineStr">
        <is>
          <t>Föryngringsavverkning</t>
        </is>
      </c>
      <c r="D1984" s="1" t="n">
        <v>45633</v>
      </c>
      <c r="E1984" s="1" t="n">
        <v>46318</v>
      </c>
      <c r="F1984" t="inlineStr">
        <is>
          <t>JÄMTLANDS LÄN</t>
        </is>
      </c>
      <c r="G1984" t="inlineStr">
        <is>
          <t>STRÖMSUND</t>
        </is>
      </c>
      <c r="I1984" t="n">
        <v>2.3</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12822-2022</t>
        </is>
      </c>
      <c r="B1985" t="inlineStr">
        <is>
          <t>avverkningsanmälan</t>
        </is>
      </c>
      <c r="C1985" t="inlineStr">
        <is>
          <t>Avverkning för annat ändamål</t>
        </is>
      </c>
      <c r="D1985" s="1" t="n">
        <v>44642</v>
      </c>
      <c r="E1985" s="1" t="n">
        <v>46318</v>
      </c>
      <c r="F1985" t="inlineStr">
        <is>
          <t>JÄMTLANDS LÄN</t>
        </is>
      </c>
      <c r="G1985" t="inlineStr">
        <is>
          <t>STRÖMSUND</t>
        </is>
      </c>
      <c r="I1985" t="n">
        <v>2.2</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23780-2023</t>
        </is>
      </c>
      <c r="B1986" t="inlineStr">
        <is>
          <t>avverkningsanmälan</t>
        </is>
      </c>
      <c r="C1986" t="inlineStr">
        <is>
          <t>Föryngringsavverkning</t>
        </is>
      </c>
      <c r="D1986" s="1" t="n">
        <v>45077</v>
      </c>
      <c r="E1986" s="1" t="n">
        <v>46318</v>
      </c>
      <c r="F1986" t="inlineStr">
        <is>
          <t>JÄMTLANDS LÄN</t>
        </is>
      </c>
      <c r="G1986" t="inlineStr">
        <is>
          <t>STRÖMSUND</t>
        </is>
      </c>
      <c r="H1986" t="inlineStr">
        <is>
          <t>SCA</t>
        </is>
      </c>
      <c r="I1986" t="n">
        <v>3.8</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37143-2023</t>
        </is>
      </c>
      <c r="B1987" t="inlineStr">
        <is>
          <t>avverkningsanmälan</t>
        </is>
      </c>
      <c r="C1987" t="inlineStr">
        <is>
          <t>Föryngringsavverkning</t>
        </is>
      </c>
      <c r="D1987" s="1" t="n">
        <v>45155</v>
      </c>
      <c r="E1987" s="1" t="n">
        <v>46318</v>
      </c>
      <c r="F1987" t="inlineStr">
        <is>
          <t>JÄMTLANDS LÄN</t>
        </is>
      </c>
      <c r="G1987" t="inlineStr">
        <is>
          <t>STRÖMSUND</t>
        </is>
      </c>
      <c r="I1987" t="n">
        <v>4.3</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59987-2025</t>
        </is>
      </c>
      <c r="B1988" t="inlineStr">
        <is>
          <t>avverkningsanmälan</t>
        </is>
      </c>
      <c r="C1988" t="inlineStr">
        <is>
          <t>Föryngringsavverkning</t>
        </is>
      </c>
      <c r="D1988" s="1" t="n">
        <v>45993</v>
      </c>
      <c r="E1988" s="1" t="n">
        <v>46318</v>
      </c>
      <c r="F1988" t="inlineStr">
        <is>
          <t>JÄMTLANDS LÄN</t>
        </is>
      </c>
      <c r="G1988" t="inlineStr">
        <is>
          <t>STRÖMSUND</t>
        </is>
      </c>
      <c r="H1988" t="inlineStr">
        <is>
          <t>SCA</t>
        </is>
      </c>
      <c r="I1988" t="n">
        <v>1.5</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16053-2024</t>
        </is>
      </c>
      <c r="B1989" t="inlineStr">
        <is>
          <t>avverkningsanmälan</t>
        </is>
      </c>
      <c r="C1989" t="inlineStr">
        <is>
          <t>Föryngringsavverkning</t>
        </is>
      </c>
      <c r="D1989" s="1" t="n">
        <v>45406</v>
      </c>
      <c r="E1989" s="1" t="n">
        <v>46318</v>
      </c>
      <c r="F1989" t="inlineStr">
        <is>
          <t>JÄMTLANDS LÄN</t>
        </is>
      </c>
      <c r="G1989" t="inlineStr">
        <is>
          <t>STRÖMSUND</t>
        </is>
      </c>
      <c r="H1989" t="inlineStr">
        <is>
          <t>SCA</t>
        </is>
      </c>
      <c r="I1989" t="n">
        <v>11.7</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58846-2025</t>
        </is>
      </c>
      <c r="B1990" t="inlineStr">
        <is>
          <t>avverkningsanmälan</t>
        </is>
      </c>
      <c r="C1990" t="inlineStr">
        <is>
          <t>Föryngringsavverkning</t>
        </is>
      </c>
      <c r="D1990" s="1" t="n">
        <v>45987</v>
      </c>
      <c r="E1990" s="1" t="n">
        <v>46318</v>
      </c>
      <c r="F1990" t="inlineStr">
        <is>
          <t>JÄMTLANDS LÄN</t>
        </is>
      </c>
      <c r="G1990" t="inlineStr">
        <is>
          <t>STRÖMSUND</t>
        </is>
      </c>
      <c r="H1990" t="inlineStr">
        <is>
          <t>SCA</t>
        </is>
      </c>
      <c r="I1990" t="n">
        <v>7.1</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32976-2026</t>
        </is>
      </c>
      <c r="B1991" t="inlineStr">
        <is>
          <t>avverkningsanmälan</t>
        </is>
      </c>
      <c r="C1991" t="inlineStr">
        <is>
          <t>Föryngringsavverkning</t>
        </is>
      </c>
      <c r="D1991" s="1" t="n">
        <v>46244</v>
      </c>
      <c r="E1991" s="1" t="n">
        <v>46318</v>
      </c>
      <c r="F1991" t="inlineStr">
        <is>
          <t>JÄMTLANDS LÄN</t>
        </is>
      </c>
      <c r="G1991" t="inlineStr">
        <is>
          <t>STRÖMSUND</t>
        </is>
      </c>
      <c r="H1991" t="inlineStr">
        <is>
          <t>SCA</t>
        </is>
      </c>
      <c r="I1991" t="n">
        <v>1.6</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34156-2026</t>
        </is>
      </c>
      <c r="B1992" t="inlineStr">
        <is>
          <t>avverkningsanmälan</t>
        </is>
      </c>
      <c r="C1992" t="inlineStr">
        <is>
          <t>Föryngringsavverkning</t>
        </is>
      </c>
      <c r="D1992" s="1" t="n">
        <v>46253</v>
      </c>
      <c r="E1992" s="1" t="n">
        <v>46318</v>
      </c>
      <c r="F1992" t="inlineStr">
        <is>
          <t>JÄMTLANDS LÄN</t>
        </is>
      </c>
      <c r="G1992" t="inlineStr">
        <is>
          <t>STRÖMSUND</t>
        </is>
      </c>
      <c r="H1992" t="inlineStr">
        <is>
          <t>SCA</t>
        </is>
      </c>
      <c r="I1992" t="n">
        <v>5.3</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30828-2023</t>
        </is>
      </c>
      <c r="B1993" t="inlineStr">
        <is>
          <t>avverkningsanmälan</t>
        </is>
      </c>
      <c r="C1993" t="inlineStr">
        <is>
          <t>Föryngringsavverkning</t>
        </is>
      </c>
      <c r="D1993" s="1" t="n">
        <v>45112</v>
      </c>
      <c r="E1993" s="1" t="n">
        <v>46318</v>
      </c>
      <c r="F1993" t="inlineStr">
        <is>
          <t>JÄMTLANDS LÄN</t>
        </is>
      </c>
      <c r="G1993" t="inlineStr">
        <is>
          <t>STRÖMSUND</t>
        </is>
      </c>
      <c r="H1993" t="inlineStr">
        <is>
          <t>SCA</t>
        </is>
      </c>
      <c r="I1993" t="n">
        <v>1.4</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61856-2025</t>
        </is>
      </c>
      <c r="B1994" t="inlineStr">
        <is>
          <t>avverkningsanmälan</t>
        </is>
      </c>
      <c r="C1994" t="inlineStr">
        <is>
          <t>Föryngringsavverkning</t>
        </is>
      </c>
      <c r="D1994" s="1" t="n">
        <v>46003</v>
      </c>
      <c r="E1994" s="1" t="n">
        <v>46318</v>
      </c>
      <c r="F1994" t="inlineStr">
        <is>
          <t>JÄMTLANDS LÄN</t>
        </is>
      </c>
      <c r="G1994" t="inlineStr">
        <is>
          <t>STRÖMSUND</t>
        </is>
      </c>
      <c r="H1994" t="inlineStr">
        <is>
          <t>SCA</t>
        </is>
      </c>
      <c r="I1994" t="n">
        <v>2.5</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59218-2025</t>
        </is>
      </c>
      <c r="B1995" t="inlineStr">
        <is>
          <t>avverkningsanmälan</t>
        </is>
      </c>
      <c r="C1995" t="inlineStr">
        <is>
          <t>Föryngringsavverkning</t>
        </is>
      </c>
      <c r="D1995" s="1" t="n">
        <v>45988</v>
      </c>
      <c r="E1995" s="1" t="n">
        <v>46318</v>
      </c>
      <c r="F1995" t="inlineStr">
        <is>
          <t>JÄMTLANDS LÄN</t>
        </is>
      </c>
      <c r="G1995" t="inlineStr">
        <is>
          <t>STRÖMSUND</t>
        </is>
      </c>
      <c r="H1995" t="inlineStr">
        <is>
          <t>SCA</t>
        </is>
      </c>
      <c r="I1995" t="n">
        <v>5.1</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39698-2024</t>
        </is>
      </c>
      <c r="B1996" t="inlineStr">
        <is>
          <t>avverkningsanmälan</t>
        </is>
      </c>
      <c r="C1996" t="inlineStr">
        <is>
          <t>Föryngringsavverkning</t>
        </is>
      </c>
      <c r="D1996" s="1" t="n">
        <v>45552</v>
      </c>
      <c r="E1996" s="1" t="n">
        <v>46318</v>
      </c>
      <c r="F1996" t="inlineStr">
        <is>
          <t>JÄMTLANDS LÄN</t>
        </is>
      </c>
      <c r="G1996" t="inlineStr">
        <is>
          <t>STRÖMSUND</t>
        </is>
      </c>
      <c r="H1996" t="inlineStr">
        <is>
          <t>SCA</t>
        </is>
      </c>
      <c r="I1996" t="n">
        <v>3</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32873-2023</t>
        </is>
      </c>
      <c r="B1997" t="inlineStr">
        <is>
          <t>avverkningsanmälan</t>
        </is>
      </c>
      <c r="C1997" t="inlineStr">
        <is>
          <t>Föryngringsavverkning</t>
        </is>
      </c>
      <c r="D1997" s="1" t="n">
        <v>45112</v>
      </c>
      <c r="E1997" s="1" t="n">
        <v>46318</v>
      </c>
      <c r="F1997" t="inlineStr">
        <is>
          <t>JÄMTLANDS LÄN</t>
        </is>
      </c>
      <c r="G1997" t="inlineStr">
        <is>
          <t>STRÖMSUND</t>
        </is>
      </c>
      <c r="H1997" t="inlineStr">
        <is>
          <t>Kommuner</t>
        </is>
      </c>
      <c r="I1997" t="n">
        <v>0.7</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41940-2023</t>
        </is>
      </c>
      <c r="B1998" t="inlineStr">
        <is>
          <t>avverkningsanmälan</t>
        </is>
      </c>
      <c r="C1998" t="inlineStr">
        <is>
          <t>Föryngringsavverkning</t>
        </is>
      </c>
      <c r="D1998" s="1" t="n">
        <v>45176</v>
      </c>
      <c r="E1998" s="1" t="n">
        <v>46318</v>
      </c>
      <c r="F1998" t="inlineStr">
        <is>
          <t>JÄMTLANDS LÄN</t>
        </is>
      </c>
      <c r="G1998" t="inlineStr">
        <is>
          <t>STRÖMSUND</t>
        </is>
      </c>
      <c r="H1998" t="inlineStr">
        <is>
          <t>SCA</t>
        </is>
      </c>
      <c r="I1998" t="n">
        <v>0.6</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40426-2024</t>
        </is>
      </c>
      <c r="B1999" t="inlineStr">
        <is>
          <t>avverkningsanmälan</t>
        </is>
      </c>
      <c r="C1999" t="inlineStr">
        <is>
          <t>Föryngringsavverkning</t>
        </is>
      </c>
      <c r="D1999" s="1" t="n">
        <v>45555</v>
      </c>
      <c r="E1999" s="1" t="n">
        <v>46318</v>
      </c>
      <c r="F1999" t="inlineStr">
        <is>
          <t>JÄMTLANDS LÄN</t>
        </is>
      </c>
      <c r="G1999" t="inlineStr">
        <is>
          <t>STRÖMSUND</t>
        </is>
      </c>
      <c r="H1999" t="inlineStr">
        <is>
          <t>SCA</t>
        </is>
      </c>
      <c r="I1999" t="n">
        <v>0.2</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60801-2021</t>
        </is>
      </c>
      <c r="B2000" t="inlineStr">
        <is>
          <t>avverkningsanmälan</t>
        </is>
      </c>
      <c r="C2000" t="inlineStr">
        <is>
          <t>Föryngringsavverkning</t>
        </is>
      </c>
      <c r="D2000" s="1" t="n">
        <v>44497</v>
      </c>
      <c r="E2000" s="1" t="n">
        <v>46318</v>
      </c>
      <c r="F2000" t="inlineStr">
        <is>
          <t>JÄMTLANDS LÄN</t>
        </is>
      </c>
      <c r="G2000" t="inlineStr">
        <is>
          <t>STRÖMSUND</t>
        </is>
      </c>
      <c r="I2000" t="n">
        <v>2.7</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34176-2026</t>
        </is>
      </c>
      <c r="B2001" t="inlineStr">
        <is>
          <t>avverkningsanmälan</t>
        </is>
      </c>
      <c r="C2001" t="inlineStr">
        <is>
          <t>Föryngringsavverkning</t>
        </is>
      </c>
      <c r="D2001" s="1" t="n">
        <v>46253</v>
      </c>
      <c r="E2001" s="1" t="n">
        <v>46318</v>
      </c>
      <c r="F2001" t="inlineStr">
        <is>
          <t>JÄMTLANDS LÄN</t>
        </is>
      </c>
      <c r="G2001" t="inlineStr">
        <is>
          <t>STRÖMSUND</t>
        </is>
      </c>
      <c r="H2001" t="inlineStr">
        <is>
          <t>SCA</t>
        </is>
      </c>
      <c r="I2001" t="n">
        <v>4.8</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17030-2025</t>
        </is>
      </c>
      <c r="B2002" t="inlineStr">
        <is>
          <t>avverkningsanmälan</t>
        </is>
      </c>
      <c r="C2002" t="inlineStr">
        <is>
          <t>Föryngringsavverkning</t>
        </is>
      </c>
      <c r="D2002" s="1" t="n">
        <v>45755</v>
      </c>
      <c r="E2002" s="1" t="n">
        <v>46318</v>
      </c>
      <c r="F2002" t="inlineStr">
        <is>
          <t>JÄMTLANDS LÄN</t>
        </is>
      </c>
      <c r="G2002" t="inlineStr">
        <is>
          <t>STRÖMSUND</t>
        </is>
      </c>
      <c r="H2002" t="inlineStr">
        <is>
          <t>SCA</t>
        </is>
      </c>
      <c r="I2002" t="n">
        <v>4.8</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15407-2022</t>
        </is>
      </c>
      <c r="B2003" t="inlineStr">
        <is>
          <t>avverkningsanmälan</t>
        </is>
      </c>
      <c r="C2003" t="inlineStr">
        <is>
          <t>Föryngringsavverkning</t>
        </is>
      </c>
      <c r="D2003" s="1" t="n">
        <v>44662</v>
      </c>
      <c r="E2003" s="1" t="n">
        <v>46318</v>
      </c>
      <c r="F2003" t="inlineStr">
        <is>
          <t>JÄMTLANDS LÄN</t>
        </is>
      </c>
      <c r="G2003" t="inlineStr">
        <is>
          <t>STRÖMSUND</t>
        </is>
      </c>
      <c r="I2003" t="n">
        <v>9.199999999999999</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22476-2023</t>
        </is>
      </c>
      <c r="B2004" t="inlineStr">
        <is>
          <t>avverkningsanmälan</t>
        </is>
      </c>
      <c r="C2004" t="inlineStr">
        <is>
          <t>Föryngringsavverkning</t>
        </is>
      </c>
      <c r="D2004" s="1" t="n">
        <v>45070</v>
      </c>
      <c r="E2004" s="1" t="n">
        <v>46318</v>
      </c>
      <c r="F2004" t="inlineStr">
        <is>
          <t>JÄMTLANDS LÄN</t>
        </is>
      </c>
      <c r="G2004" t="inlineStr">
        <is>
          <t>STRÖMSUND</t>
        </is>
      </c>
      <c r="H2004" t="inlineStr">
        <is>
          <t>SCA</t>
        </is>
      </c>
      <c r="I2004" t="n">
        <v>3.7</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48476-2023</t>
        </is>
      </c>
      <c r="B2005" t="inlineStr">
        <is>
          <t>avverkningsanmälan</t>
        </is>
      </c>
      <c r="C2005" t="inlineStr">
        <is>
          <t>Avverkning för att bevara och utveckla /försöksver</t>
        </is>
      </c>
      <c r="D2005" s="1" t="n">
        <v>45206</v>
      </c>
      <c r="E2005" s="1" t="n">
        <v>46318</v>
      </c>
      <c r="F2005" t="inlineStr">
        <is>
          <t>JÄMTLANDS LÄN</t>
        </is>
      </c>
      <c r="G2005" t="inlineStr">
        <is>
          <t>STRÖMSUND</t>
        </is>
      </c>
      <c r="H2005" t="inlineStr">
        <is>
          <t>SCA</t>
        </is>
      </c>
      <c r="I2005" t="n">
        <v>16.7</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44969-2023</t>
        </is>
      </c>
      <c r="B2006" t="inlineStr">
        <is>
          <t>avverkningsanmälan</t>
        </is>
      </c>
      <c r="C2006" t="inlineStr">
        <is>
          <t>Föryngringsavverkning</t>
        </is>
      </c>
      <c r="D2006" s="1" t="n">
        <v>45190</v>
      </c>
      <c r="E2006" s="1" t="n">
        <v>46318</v>
      </c>
      <c r="F2006" t="inlineStr">
        <is>
          <t>JÄMTLANDS LÄN</t>
        </is>
      </c>
      <c r="G2006" t="inlineStr">
        <is>
          <t>STRÖMSUND</t>
        </is>
      </c>
      <c r="I2006" t="n">
        <v>2.8</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44995-2023</t>
        </is>
      </c>
      <c r="B2007" t="inlineStr">
        <is>
          <t>avverkningsanmälan</t>
        </is>
      </c>
      <c r="C2007" t="inlineStr">
        <is>
          <t>Föryngringsavverkning</t>
        </is>
      </c>
      <c r="D2007" s="1" t="n">
        <v>45190</v>
      </c>
      <c r="E2007" s="1" t="n">
        <v>46318</v>
      </c>
      <c r="F2007" t="inlineStr">
        <is>
          <t>JÄMTLANDS LÄN</t>
        </is>
      </c>
      <c r="G2007" t="inlineStr">
        <is>
          <t>STRÖMSUND</t>
        </is>
      </c>
      <c r="H2007" t="inlineStr">
        <is>
          <t>SCA</t>
        </is>
      </c>
      <c r="I2007" t="n">
        <v>3.1</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48775-2023</t>
        </is>
      </c>
      <c r="B2008" t="inlineStr">
        <is>
          <t>avverkningsanmälan</t>
        </is>
      </c>
      <c r="C2008" t="inlineStr">
        <is>
          <t>Föryngringsavverkning</t>
        </is>
      </c>
      <c r="D2008" s="1" t="n">
        <v>45208</v>
      </c>
      <c r="E2008" s="1" t="n">
        <v>46318</v>
      </c>
      <c r="F2008" t="inlineStr">
        <is>
          <t>JÄMTLANDS LÄN</t>
        </is>
      </c>
      <c r="G2008" t="inlineStr">
        <is>
          <t>STRÖMSUND</t>
        </is>
      </c>
      <c r="H2008" t="inlineStr">
        <is>
          <t>SCA</t>
        </is>
      </c>
      <c r="I2008" t="n">
        <v>1.6</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41316-2026</t>
        </is>
      </c>
      <c r="B2009" t="inlineStr">
        <is>
          <t>avverkningsanmälan</t>
        </is>
      </c>
      <c r="C2009" t="inlineStr">
        <is>
          <t>Föryngringsavverkning</t>
        </is>
      </c>
      <c r="D2009" s="1" t="n">
        <v>46300</v>
      </c>
      <c r="E2009" s="1" t="n">
        <v>46318</v>
      </c>
      <c r="F2009" t="inlineStr">
        <is>
          <t>JÄMTLANDS LÄN</t>
        </is>
      </c>
      <c r="G2009" t="inlineStr">
        <is>
          <t>STRÖMSUND</t>
        </is>
      </c>
      <c r="H2009" t="inlineStr">
        <is>
          <t>Holmen skog AB</t>
        </is>
      </c>
      <c r="I2009" t="n">
        <v>4.9</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34549-2026</t>
        </is>
      </c>
      <c r="B2010" t="inlineStr">
        <is>
          <t>avverkningsanmälan</t>
        </is>
      </c>
      <c r="C2010" t="inlineStr">
        <is>
          <t>Föryngringsavverkning</t>
        </is>
      </c>
      <c r="D2010" s="1" t="n">
        <v>46255</v>
      </c>
      <c r="E2010" s="1" t="n">
        <v>46318</v>
      </c>
      <c r="F2010" t="inlineStr">
        <is>
          <t>JÄMTLANDS LÄN</t>
        </is>
      </c>
      <c r="G2010" t="inlineStr">
        <is>
          <t>STRÖMSUND</t>
        </is>
      </c>
      <c r="H2010" t="inlineStr">
        <is>
          <t>Holmen skog AB</t>
        </is>
      </c>
      <c r="I2010" t="n">
        <v>3.6</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41259-2026</t>
        </is>
      </c>
      <c r="B2011" t="inlineStr">
        <is>
          <t>avverkningsanmälan</t>
        </is>
      </c>
      <c r="C2011" t="inlineStr">
        <is>
          <t>Föryngringsavverkning</t>
        </is>
      </c>
      <c r="D2011" s="1" t="n">
        <v>46300</v>
      </c>
      <c r="E2011" s="1" t="n">
        <v>46318</v>
      </c>
      <c r="F2011" t="inlineStr">
        <is>
          <t>JÄMTLANDS LÄN</t>
        </is>
      </c>
      <c r="G2011" t="inlineStr">
        <is>
          <t>STRÖMSUND</t>
        </is>
      </c>
      <c r="I2011" t="n">
        <v>4.5</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39946-2023</t>
        </is>
      </c>
      <c r="B2012" t="inlineStr">
        <is>
          <t>avverkningsanmälan</t>
        </is>
      </c>
      <c r="C2012" t="inlineStr">
        <is>
          <t>Föryngringsavverkning</t>
        </is>
      </c>
      <c r="D2012" s="1" t="n">
        <v>45168</v>
      </c>
      <c r="E2012" s="1" t="n">
        <v>46318</v>
      </c>
      <c r="F2012" t="inlineStr">
        <is>
          <t>JÄMTLANDS LÄN</t>
        </is>
      </c>
      <c r="G2012" t="inlineStr">
        <is>
          <t>STRÖMSUND</t>
        </is>
      </c>
      <c r="I2012" t="n">
        <v>3.3</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41548-2026</t>
        </is>
      </c>
      <c r="B2013" t="inlineStr">
        <is>
          <t>avverkningsanmälan</t>
        </is>
      </c>
      <c r="C2013" t="inlineStr">
        <is>
          <t>Föryngringsavverkning</t>
        </is>
      </c>
      <c r="D2013" s="1" t="n">
        <v>46301</v>
      </c>
      <c r="E2013" s="1" t="n">
        <v>46318</v>
      </c>
      <c r="F2013" t="inlineStr">
        <is>
          <t>JÄMTLANDS LÄN</t>
        </is>
      </c>
      <c r="G2013" t="inlineStr">
        <is>
          <t>STRÖMSUND</t>
        </is>
      </c>
      <c r="H2013" t="inlineStr">
        <is>
          <t>SCA</t>
        </is>
      </c>
      <c r="I2013" t="n">
        <v>0.9</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41301-2026</t>
        </is>
      </c>
      <c r="B2014" t="inlineStr">
        <is>
          <t>avverkningsanmälan</t>
        </is>
      </c>
      <c r="C2014" t="inlineStr">
        <is>
          <t>Föryngringsavverkning</t>
        </is>
      </c>
      <c r="D2014" s="1" t="n">
        <v>46300</v>
      </c>
      <c r="E2014" s="1" t="n">
        <v>46318</v>
      </c>
      <c r="F2014" t="inlineStr">
        <is>
          <t>JÄMTLANDS LÄN</t>
        </is>
      </c>
      <c r="G2014" t="inlineStr">
        <is>
          <t>STRÖMSUND</t>
        </is>
      </c>
      <c r="H2014" t="inlineStr">
        <is>
          <t>SCA</t>
        </is>
      </c>
      <c r="I2014" t="n">
        <v>19.7</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6112-2024</t>
        </is>
      </c>
      <c r="B2015" t="inlineStr">
        <is>
          <t>avverkningsanmälan</t>
        </is>
      </c>
      <c r="C2015" t="inlineStr">
        <is>
          <t>Föryngringsavverkning</t>
        </is>
      </c>
      <c r="D2015" s="1" t="n">
        <v>45337</v>
      </c>
      <c r="E2015" s="1" t="n">
        <v>46318</v>
      </c>
      <c r="F2015" t="inlineStr">
        <is>
          <t>JÄMTLANDS LÄN</t>
        </is>
      </c>
      <c r="G2015" t="inlineStr">
        <is>
          <t>STRÖMSUND</t>
        </is>
      </c>
      <c r="I2015" t="n">
        <v>0.5</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15455-2023</t>
        </is>
      </c>
      <c r="B2016" t="inlineStr">
        <is>
          <t>avverkningsanmälan</t>
        </is>
      </c>
      <c r="C2016" t="inlineStr">
        <is>
          <t>Föryngringsavverkning</t>
        </is>
      </c>
      <c r="D2016" s="1" t="n">
        <v>45019</v>
      </c>
      <c r="E2016" s="1" t="n">
        <v>46318</v>
      </c>
      <c r="F2016" t="inlineStr">
        <is>
          <t>JÄMTLANDS LÄN</t>
        </is>
      </c>
      <c r="G2016" t="inlineStr">
        <is>
          <t>STRÖMSUND</t>
        </is>
      </c>
      <c r="I2016" t="n">
        <v>20.3</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24801-2024</t>
        </is>
      </c>
      <c r="B2017" t="inlineStr">
        <is>
          <t>avverkningsanmälan</t>
        </is>
      </c>
      <c r="C2017" t="inlineStr">
        <is>
          <t>Föryngringsavverkning</t>
        </is>
      </c>
      <c r="D2017" s="1" t="n">
        <v>45460</v>
      </c>
      <c r="E2017" s="1" t="n">
        <v>46318</v>
      </c>
      <c r="F2017" t="inlineStr">
        <is>
          <t>JÄMTLANDS LÄN</t>
        </is>
      </c>
      <c r="G2017" t="inlineStr">
        <is>
          <t>STRÖMSUND</t>
        </is>
      </c>
      <c r="H2017" t="inlineStr">
        <is>
          <t>SCA</t>
        </is>
      </c>
      <c r="I2017" t="n">
        <v>0.5</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8676-2023</t>
        </is>
      </c>
      <c r="B2018" t="inlineStr">
        <is>
          <t>avverkningsanmälan</t>
        </is>
      </c>
      <c r="C2018" t="inlineStr">
        <is>
          <t>Föryngringsavverkning</t>
        </is>
      </c>
      <c r="D2018" s="1" t="n">
        <v>44977</v>
      </c>
      <c r="E2018" s="1" t="n">
        <v>46318</v>
      </c>
      <c r="F2018" t="inlineStr">
        <is>
          <t>JÄMTLANDS LÄN</t>
        </is>
      </c>
      <c r="G2018" t="inlineStr">
        <is>
          <t>STRÖMSUND</t>
        </is>
      </c>
      <c r="H2018" t="inlineStr">
        <is>
          <t>SCA</t>
        </is>
      </c>
      <c r="I2018" t="n">
        <v>16.5</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60775-2022</t>
        </is>
      </c>
      <c r="B2019" t="inlineStr">
        <is>
          <t>avverkningsanmälan</t>
        </is>
      </c>
      <c r="C2019" t="inlineStr">
        <is>
          <t>Föryngringsavverkning</t>
        </is>
      </c>
      <c r="D2019" s="1" t="n">
        <v>44907</v>
      </c>
      <c r="E2019" s="1" t="n">
        <v>46318</v>
      </c>
      <c r="F2019" t="inlineStr">
        <is>
          <t>JÄMTLANDS LÄN</t>
        </is>
      </c>
      <c r="G2019" t="inlineStr">
        <is>
          <t>STRÖMSUND</t>
        </is>
      </c>
      <c r="I2019" t="n">
        <v>1</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38661-2022</t>
        </is>
      </c>
      <c r="B2020" t="inlineStr">
        <is>
          <t>avverkningsanmälan</t>
        </is>
      </c>
      <c r="C2020" t="inlineStr">
        <is>
          <t>Föryngringsavverkning</t>
        </is>
      </c>
      <c r="D2020" s="1" t="n">
        <v>44813</v>
      </c>
      <c r="E2020" s="1" t="n">
        <v>46318</v>
      </c>
      <c r="F2020" t="inlineStr">
        <is>
          <t>JÄMTLANDS LÄN</t>
        </is>
      </c>
      <c r="G2020" t="inlineStr">
        <is>
          <t>STRÖMSUND</t>
        </is>
      </c>
      <c r="I2020" t="n">
        <v>3.1</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21735-2024</t>
        </is>
      </c>
      <c r="B2021" t="inlineStr">
        <is>
          <t>avverkningsanmälan</t>
        </is>
      </c>
      <c r="C2021" t="inlineStr">
        <is>
          <t>Avverkning för annat ändamål</t>
        </is>
      </c>
      <c r="D2021" s="1" t="n">
        <v>45442</v>
      </c>
      <c r="E2021" s="1" t="n">
        <v>46318</v>
      </c>
      <c r="F2021" t="inlineStr">
        <is>
          <t>JÄMTLANDS LÄN</t>
        </is>
      </c>
      <c r="G2021" t="inlineStr">
        <is>
          <t>STRÖMSUND</t>
        </is>
      </c>
      <c r="I2021" t="n">
        <v>15.1</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41454-2026</t>
        </is>
      </c>
      <c r="B2022" t="inlineStr">
        <is>
          <t>avverkningsanmälan</t>
        </is>
      </c>
      <c r="C2022" t="inlineStr">
        <is>
          <t>Föryngringsavverkning</t>
        </is>
      </c>
      <c r="D2022" s="1" t="n">
        <v>46301</v>
      </c>
      <c r="E2022" s="1" t="n">
        <v>46318</v>
      </c>
      <c r="F2022" t="inlineStr">
        <is>
          <t>JÄMTLANDS LÄN</t>
        </is>
      </c>
      <c r="G2022" t="inlineStr">
        <is>
          <t>STRÖMSUND</t>
        </is>
      </c>
      <c r="H2022" t="inlineStr">
        <is>
          <t>SCA</t>
        </is>
      </c>
      <c r="I2022" t="n">
        <v>0.6</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27365-2023</t>
        </is>
      </c>
      <c r="B2023" t="inlineStr">
        <is>
          <t>avverkningsanmälan</t>
        </is>
      </c>
      <c r="C2023" t="inlineStr">
        <is>
          <t>Avverkning för att bevara och utveckla /försöksver</t>
        </is>
      </c>
      <c r="D2023" s="1" t="n">
        <v>45096</v>
      </c>
      <c r="E2023" s="1" t="n">
        <v>46318</v>
      </c>
      <c r="F2023" t="inlineStr">
        <is>
          <t>JÄMTLANDS LÄN</t>
        </is>
      </c>
      <c r="G2023" t="inlineStr">
        <is>
          <t>STRÖMSUND</t>
        </is>
      </c>
      <c r="H2023" t="inlineStr">
        <is>
          <t>SCA</t>
        </is>
      </c>
      <c r="I2023" t="n">
        <v>1.1</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41477-2026</t>
        </is>
      </c>
      <c r="B2024" t="inlineStr">
        <is>
          <t>avverkningsanmälan</t>
        </is>
      </c>
      <c r="C2024" t="inlineStr">
        <is>
          <t>Föryngringsavverkning</t>
        </is>
      </c>
      <c r="D2024" s="1" t="n">
        <v>46301</v>
      </c>
      <c r="E2024" s="1" t="n">
        <v>46318</v>
      </c>
      <c r="F2024" t="inlineStr">
        <is>
          <t>JÄMTLANDS LÄN</t>
        </is>
      </c>
      <c r="G2024" t="inlineStr">
        <is>
          <t>STRÖMSUND</t>
        </is>
      </c>
      <c r="H2024" t="inlineStr">
        <is>
          <t>SCA</t>
        </is>
      </c>
      <c r="I2024" t="n">
        <v>1.9</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41153-2026</t>
        </is>
      </c>
      <c r="B2025" t="inlineStr">
        <is>
          <t>avverkningsanmälan</t>
        </is>
      </c>
      <c r="C2025" t="inlineStr">
        <is>
          <t>Föryngringsavverkning</t>
        </is>
      </c>
      <c r="D2025" s="1" t="n">
        <v>46300</v>
      </c>
      <c r="E2025" s="1" t="n">
        <v>46318</v>
      </c>
      <c r="F2025" t="inlineStr">
        <is>
          <t>JÄMTLANDS LÄN</t>
        </is>
      </c>
      <c r="G2025" t="inlineStr">
        <is>
          <t>STRÖMSUND</t>
        </is>
      </c>
      <c r="H2025" t="inlineStr">
        <is>
          <t>SCA</t>
        </is>
      </c>
      <c r="I2025" t="n">
        <v>1.3</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53142-2023</t>
        </is>
      </c>
      <c r="B2026" t="inlineStr">
        <is>
          <t>avverkningsanmälan</t>
        </is>
      </c>
      <c r="C2026" t="inlineStr">
        <is>
          <t>Föryngringsavverkning</t>
        </is>
      </c>
      <c r="D2026" s="1" t="n">
        <v>45229</v>
      </c>
      <c r="E2026" s="1" t="n">
        <v>46318</v>
      </c>
      <c r="F2026" t="inlineStr">
        <is>
          <t>JÄMTLANDS LÄN</t>
        </is>
      </c>
      <c r="G2026" t="inlineStr">
        <is>
          <t>STRÖMSUND</t>
        </is>
      </c>
      <c r="I2026" t="n">
        <v>2.8</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61419-2021</t>
        </is>
      </c>
      <c r="B2027" t="inlineStr">
        <is>
          <t>avverkningsanmälan</t>
        </is>
      </c>
      <c r="C2027" t="inlineStr">
        <is>
          <t>Avverkning för att bevara och utveckla /försöksver</t>
        </is>
      </c>
      <c r="D2027" s="1" t="n">
        <v>44500</v>
      </c>
      <c r="E2027" s="1" t="n">
        <v>46318</v>
      </c>
      <c r="F2027" t="inlineStr">
        <is>
          <t>JÄMTLANDS LÄN</t>
        </is>
      </c>
      <c r="G2027" t="inlineStr">
        <is>
          <t>STRÖMSUND</t>
        </is>
      </c>
      <c r="H2027" t="inlineStr">
        <is>
          <t>SCA</t>
        </is>
      </c>
      <c r="I2027" t="n">
        <v>6.2</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60014-2023</t>
        </is>
      </c>
      <c r="B2028" t="inlineStr">
        <is>
          <t>avverkningsanmälan</t>
        </is>
      </c>
      <c r="C2028" t="inlineStr">
        <is>
          <t>Föryngringsavverkning</t>
        </is>
      </c>
      <c r="D2028" s="1" t="n">
        <v>45257</v>
      </c>
      <c r="E2028" s="1" t="n">
        <v>46318</v>
      </c>
      <c r="F2028" t="inlineStr">
        <is>
          <t>JÄMTLANDS LÄN</t>
        </is>
      </c>
      <c r="G2028" t="inlineStr">
        <is>
          <t>STRÖMSUND</t>
        </is>
      </c>
      <c r="H2028" t="inlineStr">
        <is>
          <t>SCA</t>
        </is>
      </c>
      <c r="I2028" t="n">
        <v>2.8</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41206-2026</t>
        </is>
      </c>
      <c r="B2029" t="inlineStr">
        <is>
          <t>avverkningsanmälan</t>
        </is>
      </c>
      <c r="C2029" t="inlineStr">
        <is>
          <t>Föryngringsavverkning</t>
        </is>
      </c>
      <c r="D2029" s="1" t="n">
        <v>46300</v>
      </c>
      <c r="E2029" s="1" t="n">
        <v>46318</v>
      </c>
      <c r="F2029" t="inlineStr">
        <is>
          <t>JÄMTLANDS LÄN</t>
        </is>
      </c>
      <c r="G2029" t="inlineStr">
        <is>
          <t>STRÖMSUND</t>
        </is>
      </c>
      <c r="I2029" t="n">
        <v>4.8</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5047-2025</t>
        </is>
      </c>
      <c r="B2030" t="inlineStr">
        <is>
          <t>avverkningsanmälan</t>
        </is>
      </c>
      <c r="C2030" t="inlineStr">
        <is>
          <t>Föryngringsavverkning</t>
        </is>
      </c>
      <c r="D2030" s="1" t="n">
        <v>45691</v>
      </c>
      <c r="E2030" s="1" t="n">
        <v>46318</v>
      </c>
      <c r="F2030" t="inlineStr">
        <is>
          <t>JÄMTLANDS LÄN</t>
        </is>
      </c>
      <c r="G2030" t="inlineStr">
        <is>
          <t>STRÖMSUND</t>
        </is>
      </c>
      <c r="H2030" t="inlineStr">
        <is>
          <t>SCA</t>
        </is>
      </c>
      <c r="I2030" t="n">
        <v>2.4</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30586-2024</t>
        </is>
      </c>
      <c r="B2031" t="inlineStr">
        <is>
          <t>avverkningsanmälan</t>
        </is>
      </c>
      <c r="C2031" t="inlineStr">
        <is>
          <t>Föryngringsavverkning</t>
        </is>
      </c>
      <c r="D2031" s="1" t="n">
        <v>45492</v>
      </c>
      <c r="E2031" s="1" t="n">
        <v>46318</v>
      </c>
      <c r="F2031" t="inlineStr">
        <is>
          <t>JÄMTLANDS LÄN</t>
        </is>
      </c>
      <c r="G2031" t="inlineStr">
        <is>
          <t>STRÖMSUND</t>
        </is>
      </c>
      <c r="H2031" t="inlineStr">
        <is>
          <t>SCA</t>
        </is>
      </c>
      <c r="I2031" t="n">
        <v>1.4</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41337-2026</t>
        </is>
      </c>
      <c r="B2032" t="inlineStr">
        <is>
          <t>avverkningsanmälan</t>
        </is>
      </c>
      <c r="C2032" t="inlineStr">
        <is>
          <t>Föryngringsavverkning</t>
        </is>
      </c>
      <c r="D2032" s="1" t="n">
        <v>46301</v>
      </c>
      <c r="E2032" s="1" t="n">
        <v>46318</v>
      </c>
      <c r="F2032" t="inlineStr">
        <is>
          <t>JÄMTLANDS LÄN</t>
        </is>
      </c>
      <c r="G2032" t="inlineStr">
        <is>
          <t>STRÖMSUND</t>
        </is>
      </c>
      <c r="I2032" t="n">
        <v>2.6</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4034-2025</t>
        </is>
      </c>
      <c r="B2033" t="inlineStr">
        <is>
          <t>avverkningsanmälan</t>
        </is>
      </c>
      <c r="C2033" t="inlineStr">
        <is>
          <t>Föryngringsavverkning</t>
        </is>
      </c>
      <c r="D2033" s="1" t="n">
        <v>45684</v>
      </c>
      <c r="E2033" s="1" t="n">
        <v>46318</v>
      </c>
      <c r="F2033" t="inlineStr">
        <is>
          <t>JÄMTLANDS LÄN</t>
        </is>
      </c>
      <c r="G2033" t="inlineStr">
        <is>
          <t>STRÖMSUND</t>
        </is>
      </c>
      <c r="H2033" t="inlineStr">
        <is>
          <t>SCA</t>
        </is>
      </c>
      <c r="I2033" t="n">
        <v>3.4</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16722-2025</t>
        </is>
      </c>
      <c r="B2034" t="inlineStr">
        <is>
          <t>avverkningsanmälan</t>
        </is>
      </c>
      <c r="C2034" t="inlineStr">
        <is>
          <t>Föryngringsavverkning</t>
        </is>
      </c>
      <c r="D2034" s="1" t="n">
        <v>45754</v>
      </c>
      <c r="E2034" s="1" t="n">
        <v>46318</v>
      </c>
      <c r="F2034" t="inlineStr">
        <is>
          <t>JÄMTLANDS LÄN</t>
        </is>
      </c>
      <c r="G2034" t="inlineStr">
        <is>
          <t>STRÖMSUND</t>
        </is>
      </c>
      <c r="H2034" t="inlineStr">
        <is>
          <t>SCA</t>
        </is>
      </c>
      <c r="I2034" t="n">
        <v>2.1</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41556-2026</t>
        </is>
      </c>
      <c r="B2035" t="inlineStr">
        <is>
          <t>avverkningsanmälan</t>
        </is>
      </c>
      <c r="C2035" t="inlineStr">
        <is>
          <t>Föryngringsavverkning</t>
        </is>
      </c>
      <c r="D2035" s="1" t="n">
        <v>46301</v>
      </c>
      <c r="E2035" s="1" t="n">
        <v>46318</v>
      </c>
      <c r="F2035" t="inlineStr">
        <is>
          <t>JÄMTLANDS LÄN</t>
        </is>
      </c>
      <c r="G2035" t="inlineStr">
        <is>
          <t>STRÖMSUND</t>
        </is>
      </c>
      <c r="I2035" t="n">
        <v>4.3</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41197-2025</t>
        </is>
      </c>
      <c r="B2036" t="inlineStr">
        <is>
          <t>avverkningsanmälan</t>
        </is>
      </c>
      <c r="C2036" t="inlineStr">
        <is>
          <t>Föryngringsavverkning</t>
        </is>
      </c>
      <c r="D2036" s="1" t="n">
        <v>45898</v>
      </c>
      <c r="E2036" s="1" t="n">
        <v>46318</v>
      </c>
      <c r="F2036" t="inlineStr">
        <is>
          <t>JÄMTLANDS LÄN</t>
        </is>
      </c>
      <c r="G2036" t="inlineStr">
        <is>
          <t>STRÖMSUND</t>
        </is>
      </c>
      <c r="H2036" t="inlineStr">
        <is>
          <t>SCA</t>
        </is>
      </c>
      <c r="I2036" t="n">
        <v>1.7</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69132-2021</t>
        </is>
      </c>
      <c r="B2037" t="inlineStr">
        <is>
          <t>avverkningsanmälan</t>
        </is>
      </c>
      <c r="C2037" t="inlineStr">
        <is>
          <t>Föryngringsavverkning</t>
        </is>
      </c>
      <c r="D2037" s="1" t="n">
        <v>44530</v>
      </c>
      <c r="E2037" s="1" t="n">
        <v>46318</v>
      </c>
      <c r="F2037" t="inlineStr">
        <is>
          <t>JÄMTLANDS LÄN</t>
        </is>
      </c>
      <c r="G2037" t="inlineStr">
        <is>
          <t>STRÖMSUND</t>
        </is>
      </c>
      <c r="I2037" t="n">
        <v>4.5</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41523-2026</t>
        </is>
      </c>
      <c r="B2038" t="inlineStr">
        <is>
          <t>avverkningsanmälan</t>
        </is>
      </c>
      <c r="C2038" t="inlineStr">
        <is>
          <t>Avverkning för annat ändamål</t>
        </is>
      </c>
      <c r="D2038" s="1" t="n">
        <v>46301</v>
      </c>
      <c r="E2038" s="1" t="n">
        <v>46318</v>
      </c>
      <c r="F2038" t="inlineStr">
        <is>
          <t>JÄMTLANDS LÄN</t>
        </is>
      </c>
      <c r="G2038" t="inlineStr">
        <is>
          <t>STRÖMSUND</t>
        </is>
      </c>
      <c r="I2038" t="n">
        <v>0.6</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23779-2023</t>
        </is>
      </c>
      <c r="B2039" t="inlineStr">
        <is>
          <t>avverkningsanmälan</t>
        </is>
      </c>
      <c r="C2039" t="inlineStr">
        <is>
          <t>Föryngringsavverkning</t>
        </is>
      </c>
      <c r="D2039" s="1" t="n">
        <v>45077</v>
      </c>
      <c r="E2039" s="1" t="n">
        <v>46318</v>
      </c>
      <c r="F2039" t="inlineStr">
        <is>
          <t>JÄMTLANDS LÄN</t>
        </is>
      </c>
      <c r="G2039" t="inlineStr">
        <is>
          <t>STRÖMSUND</t>
        </is>
      </c>
      <c r="H2039" t="inlineStr">
        <is>
          <t>SCA</t>
        </is>
      </c>
      <c r="I2039" t="n">
        <v>2.5</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41219-2026</t>
        </is>
      </c>
      <c r="B2040" t="inlineStr">
        <is>
          <t>avverkningsanmälan</t>
        </is>
      </c>
      <c r="C2040" t="inlineStr">
        <is>
          <t>Föryngringsavverkning</t>
        </is>
      </c>
      <c r="D2040" s="1" t="n">
        <v>46300</v>
      </c>
      <c r="E2040" s="1" t="n">
        <v>46318</v>
      </c>
      <c r="F2040" t="inlineStr">
        <is>
          <t>JÄMTLANDS LÄN</t>
        </is>
      </c>
      <c r="G2040" t="inlineStr">
        <is>
          <t>STRÖMSUND</t>
        </is>
      </c>
      <c r="I2040" t="n">
        <v>2.2</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58887-2025</t>
        </is>
      </c>
      <c r="B2041" t="inlineStr">
        <is>
          <t>avverkningsanmälan</t>
        </is>
      </c>
      <c r="C2041" t="inlineStr">
        <is>
          <t>Föryngringsavverkning</t>
        </is>
      </c>
      <c r="D2041" s="1" t="n">
        <v>45986</v>
      </c>
      <c r="E2041" s="1" t="n">
        <v>46318</v>
      </c>
      <c r="F2041" t="inlineStr">
        <is>
          <t>JÄMTLANDS LÄN</t>
        </is>
      </c>
      <c r="G2041" t="inlineStr">
        <is>
          <t>STRÖMSUND</t>
        </is>
      </c>
      <c r="I2041" t="n">
        <v>1.8</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34901-2026</t>
        </is>
      </c>
      <c r="B2042" t="inlineStr">
        <is>
          <t>avverkningsanmälan</t>
        </is>
      </c>
      <c r="C2042" t="inlineStr">
        <is>
          <t>Föryngringsavverkning</t>
        </is>
      </c>
      <c r="D2042" s="1" t="n">
        <v>46259</v>
      </c>
      <c r="E2042" s="1" t="n">
        <v>46318</v>
      </c>
      <c r="F2042" t="inlineStr">
        <is>
          <t>JÄMTLANDS LÄN</t>
        </is>
      </c>
      <c r="G2042" t="inlineStr">
        <is>
          <t>STRÖMSUND</t>
        </is>
      </c>
      <c r="H2042" t="inlineStr">
        <is>
          <t>SCA</t>
        </is>
      </c>
      <c r="I2042" t="n">
        <v>0.7</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35003-2026</t>
        </is>
      </c>
      <c r="B2043" t="inlineStr">
        <is>
          <t>avverkningsanmälan</t>
        </is>
      </c>
      <c r="C2043" t="inlineStr">
        <is>
          <t>Föryngringsavverkning</t>
        </is>
      </c>
      <c r="D2043" s="1" t="n">
        <v>46259</v>
      </c>
      <c r="E2043" s="1" t="n">
        <v>46318</v>
      </c>
      <c r="F2043" t="inlineStr">
        <is>
          <t>JÄMTLANDS LÄN</t>
        </is>
      </c>
      <c r="G2043" t="inlineStr">
        <is>
          <t>STRÖMSUND</t>
        </is>
      </c>
      <c r="H2043" t="inlineStr">
        <is>
          <t>SCA</t>
        </is>
      </c>
      <c r="I2043" t="n">
        <v>0.9</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59461-2022</t>
        </is>
      </c>
      <c r="B2044" t="inlineStr">
        <is>
          <t>avverkningsanmälan</t>
        </is>
      </c>
      <c r="C2044" t="inlineStr">
        <is>
          <t>Föryngringsavverkning</t>
        </is>
      </c>
      <c r="D2044" s="1" t="n">
        <v>44907</v>
      </c>
      <c r="E2044" s="1" t="n">
        <v>46318</v>
      </c>
      <c r="F2044" t="inlineStr">
        <is>
          <t>JÄMTLANDS LÄN</t>
        </is>
      </c>
      <c r="G2044" t="inlineStr">
        <is>
          <t>STRÖMSUND</t>
        </is>
      </c>
      <c r="I2044" t="n">
        <v>10.7</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55675-2024</t>
        </is>
      </c>
      <c r="B2045" t="inlineStr">
        <is>
          <t>avverkningsanmälan</t>
        </is>
      </c>
      <c r="C2045" t="inlineStr">
        <is>
          <t>Föryngringsavverkning</t>
        </is>
      </c>
      <c r="D2045" s="1" t="n">
        <v>45622</v>
      </c>
      <c r="E2045" s="1" t="n">
        <v>46318</v>
      </c>
      <c r="F2045" t="inlineStr">
        <is>
          <t>JÄMTLANDS LÄN</t>
        </is>
      </c>
      <c r="G2045" t="inlineStr">
        <is>
          <t>STRÖMSUND</t>
        </is>
      </c>
      <c r="I2045" t="n">
        <v>1</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35002-2026</t>
        </is>
      </c>
      <c r="B2046" t="inlineStr">
        <is>
          <t>avverkningsanmälan</t>
        </is>
      </c>
      <c r="C2046" t="inlineStr">
        <is>
          <t>Föryngringsavverkning</t>
        </is>
      </c>
      <c r="D2046" s="1" t="n">
        <v>46259</v>
      </c>
      <c r="E2046" s="1" t="n">
        <v>46318</v>
      </c>
      <c r="F2046" t="inlineStr">
        <is>
          <t>JÄMTLANDS LÄN</t>
        </is>
      </c>
      <c r="G2046" t="inlineStr">
        <is>
          <t>STRÖMSUND</t>
        </is>
      </c>
      <c r="H2046" t="inlineStr">
        <is>
          <t>SCA</t>
        </is>
      </c>
      <c r="I2046" t="n">
        <v>2.8</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59645-2022</t>
        </is>
      </c>
      <c r="B2047" t="inlineStr">
        <is>
          <t>avverkningsanmälan</t>
        </is>
      </c>
      <c r="C2047" t="inlineStr">
        <is>
          <t>Föryngringsavverkning</t>
        </is>
      </c>
      <c r="D2047" s="1" t="n">
        <v>44907</v>
      </c>
      <c r="E2047" s="1" t="n">
        <v>46318</v>
      </c>
      <c r="F2047" t="inlineStr">
        <is>
          <t>JÄMTLANDS LÄN</t>
        </is>
      </c>
      <c r="G2047" t="inlineStr">
        <is>
          <t>STRÖMSUND</t>
        </is>
      </c>
      <c r="H2047" t="inlineStr">
        <is>
          <t>SCA</t>
        </is>
      </c>
      <c r="I2047" t="n">
        <v>1.5</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34900-2026</t>
        </is>
      </c>
      <c r="B2048" t="inlineStr">
        <is>
          <t>avverkningsanmälan</t>
        </is>
      </c>
      <c r="C2048" t="inlineStr">
        <is>
          <t>Föryngringsavverkning</t>
        </is>
      </c>
      <c r="D2048" s="1" t="n">
        <v>46259</v>
      </c>
      <c r="E2048" s="1" t="n">
        <v>46318</v>
      </c>
      <c r="F2048" t="inlineStr">
        <is>
          <t>JÄMTLANDS LÄN</t>
        </is>
      </c>
      <c r="G2048" t="inlineStr">
        <is>
          <t>STRÖMSUND</t>
        </is>
      </c>
      <c r="H2048" t="inlineStr">
        <is>
          <t>SCA</t>
        </is>
      </c>
      <c r="I2048" t="n">
        <v>11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35217-2026</t>
        </is>
      </c>
      <c r="B2049" t="inlineStr">
        <is>
          <t>avverkningsanmälan</t>
        </is>
      </c>
      <c r="C2049" t="inlineStr">
        <is>
          <t>Föryngringsavverkning</t>
        </is>
      </c>
      <c r="D2049" s="1" t="n">
        <v>46260</v>
      </c>
      <c r="E2049" s="1" t="n">
        <v>46318</v>
      </c>
      <c r="F2049" t="inlineStr">
        <is>
          <t>JÄMTLANDS LÄN</t>
        </is>
      </c>
      <c r="G2049" t="inlineStr">
        <is>
          <t>STRÖMSUND</t>
        </is>
      </c>
      <c r="H2049" t="inlineStr">
        <is>
          <t>SCA</t>
        </is>
      </c>
      <c r="I2049" t="n">
        <v>2.2</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5377-2025</t>
        </is>
      </c>
      <c r="B2050" t="inlineStr">
        <is>
          <t>avverkningsanmälan</t>
        </is>
      </c>
      <c r="C2050" t="inlineStr">
        <is>
          <t>Föryngringsavverkning</t>
        </is>
      </c>
      <c r="D2050" s="1" t="n">
        <v>45692</v>
      </c>
      <c r="E2050" s="1" t="n">
        <v>46318</v>
      </c>
      <c r="F2050" t="inlineStr">
        <is>
          <t>JÄMTLANDS LÄN</t>
        </is>
      </c>
      <c r="G2050" t="inlineStr">
        <is>
          <t>STRÖMSUND</t>
        </is>
      </c>
      <c r="I2050" t="n">
        <v>1.4</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41942-2024</t>
        </is>
      </c>
      <c r="B2051" t="inlineStr">
        <is>
          <t>avverkningsanmälan</t>
        </is>
      </c>
      <c r="C2051" t="inlineStr">
        <is>
          <t>Avverkning för att bevara och utveckla /försöksver</t>
        </is>
      </c>
      <c r="D2051" s="1" t="n">
        <v>45561</v>
      </c>
      <c r="E2051" s="1" t="n">
        <v>46318</v>
      </c>
      <c r="F2051" t="inlineStr">
        <is>
          <t>JÄMTLANDS LÄN</t>
        </is>
      </c>
      <c r="G2051" t="inlineStr">
        <is>
          <t>STRÖMSUND</t>
        </is>
      </c>
      <c r="H2051" t="inlineStr">
        <is>
          <t>SCA</t>
        </is>
      </c>
      <c r="I2051" t="n">
        <v>10.7</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35209-2026</t>
        </is>
      </c>
      <c r="B2052" t="inlineStr">
        <is>
          <t>avverkningsanmälan</t>
        </is>
      </c>
      <c r="C2052" t="inlineStr">
        <is>
          <t>Föryngringsavverkning</t>
        </is>
      </c>
      <c r="D2052" s="1" t="n">
        <v>46260</v>
      </c>
      <c r="E2052" s="1" t="n">
        <v>46318</v>
      </c>
      <c r="F2052" t="inlineStr">
        <is>
          <t>JÄMTLANDS LÄN</t>
        </is>
      </c>
      <c r="G2052" t="inlineStr">
        <is>
          <t>STRÖMSUND</t>
        </is>
      </c>
      <c r="H2052" t="inlineStr">
        <is>
          <t>SCA</t>
        </is>
      </c>
      <c r="I2052" t="n">
        <v>2.9</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39689-2022</t>
        </is>
      </c>
      <c r="B2053" t="inlineStr">
        <is>
          <t>avverkningsanmälan</t>
        </is>
      </c>
      <c r="C2053" t="inlineStr">
        <is>
          <t>Avverkning för att bevara och utveckla /försöksver</t>
        </is>
      </c>
      <c r="D2053" s="1" t="n">
        <v>44818</v>
      </c>
      <c r="E2053" s="1" t="n">
        <v>46318</v>
      </c>
      <c r="F2053" t="inlineStr">
        <is>
          <t>JÄMTLANDS LÄN</t>
        </is>
      </c>
      <c r="G2053" t="inlineStr">
        <is>
          <t>STRÖMSUND</t>
        </is>
      </c>
      <c r="H2053" t="inlineStr">
        <is>
          <t>SCA</t>
        </is>
      </c>
      <c r="I2053" t="n">
        <v>7.7</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9301-2023</t>
        </is>
      </c>
      <c r="B2054" t="inlineStr">
        <is>
          <t>avverkningsanmälan</t>
        </is>
      </c>
      <c r="C2054" t="inlineStr">
        <is>
          <t>Föryngringsavverkning</t>
        </is>
      </c>
      <c r="D2054" s="1" t="n">
        <v>44977</v>
      </c>
      <c r="E2054" s="1" t="n">
        <v>46318</v>
      </c>
      <c r="F2054" t="inlineStr">
        <is>
          <t>JÄMTLANDS LÄN</t>
        </is>
      </c>
      <c r="G2054" t="inlineStr">
        <is>
          <t>STRÖMSUND</t>
        </is>
      </c>
      <c r="I2054" t="n">
        <v>5</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2534-2025</t>
        </is>
      </c>
      <c r="B2055" t="inlineStr">
        <is>
          <t>avverkningsanmälan</t>
        </is>
      </c>
      <c r="C2055" t="inlineStr">
        <is>
          <t>Föryngringsavverkning</t>
        </is>
      </c>
      <c r="D2055" s="1" t="n">
        <v>45674</v>
      </c>
      <c r="E2055" s="1" t="n">
        <v>46318</v>
      </c>
      <c r="F2055" t="inlineStr">
        <is>
          <t>JÄMTLANDS LÄN</t>
        </is>
      </c>
      <c r="G2055" t="inlineStr">
        <is>
          <t>STRÖMSUND</t>
        </is>
      </c>
      <c r="H2055" t="inlineStr">
        <is>
          <t>SCA</t>
        </is>
      </c>
      <c r="I2055" t="n">
        <v>15.6</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35550-2026</t>
        </is>
      </c>
      <c r="B2056" t="inlineStr">
        <is>
          <t>avverkningsanmälan</t>
        </is>
      </c>
      <c r="C2056" t="inlineStr">
        <is>
          <t>Föryngringsavverkning</t>
        </is>
      </c>
      <c r="D2056" s="1" t="n">
        <v>46262</v>
      </c>
      <c r="E2056" s="1" t="n">
        <v>46318</v>
      </c>
      <c r="F2056" t="inlineStr">
        <is>
          <t>JÄMTLANDS LÄN</t>
        </is>
      </c>
      <c r="G2056" t="inlineStr">
        <is>
          <t>STRÖMSUND</t>
        </is>
      </c>
      <c r="H2056" t="inlineStr">
        <is>
          <t>SCA</t>
        </is>
      </c>
      <c r="I2056" t="n">
        <v>1.4</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35328-2026</t>
        </is>
      </c>
      <c r="B2057" t="inlineStr">
        <is>
          <t>avverkningsanmälan</t>
        </is>
      </c>
      <c r="C2057" t="inlineStr">
        <is>
          <t>Föryngringsavverkning</t>
        </is>
      </c>
      <c r="D2057" s="1" t="n">
        <v>46261</v>
      </c>
      <c r="E2057" s="1" t="n">
        <v>46318</v>
      </c>
      <c r="F2057" t="inlineStr">
        <is>
          <t>JÄMTLANDS LÄN</t>
        </is>
      </c>
      <c r="G2057" t="inlineStr">
        <is>
          <t>STRÖMSUND</t>
        </is>
      </c>
      <c r="H2057" t="inlineStr">
        <is>
          <t>SCA</t>
        </is>
      </c>
      <c r="I2057" t="n">
        <v>1.2</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25645-2026</t>
        </is>
      </c>
      <c r="B2058" t="inlineStr">
        <is>
          <t>avverkningsanmälan</t>
        </is>
      </c>
      <c r="C2058" t="inlineStr">
        <is>
          <t>Föryngringsavverkning</t>
        </is>
      </c>
      <c r="D2058" s="1" t="n">
        <v>46177</v>
      </c>
      <c r="E2058" s="1" t="n">
        <v>46318</v>
      </c>
      <c r="F2058" t="inlineStr">
        <is>
          <t>JÄMTLANDS LÄN</t>
        </is>
      </c>
      <c r="G2058" t="inlineStr">
        <is>
          <t>STRÖMSUND</t>
        </is>
      </c>
      <c r="H2058" t="inlineStr">
        <is>
          <t>SCA</t>
        </is>
      </c>
      <c r="I2058" t="n">
        <v>13</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42231-2026</t>
        </is>
      </c>
      <c r="B2059" t="inlineStr">
        <is>
          <t>avverkningsanmälan</t>
        </is>
      </c>
      <c r="C2059" t="inlineStr">
        <is>
          <t>Föryngringsavverkning</t>
        </is>
      </c>
      <c r="D2059" s="1" t="n">
        <v>46307</v>
      </c>
      <c r="E2059" s="1" t="n">
        <v>46318</v>
      </c>
      <c r="F2059" t="inlineStr">
        <is>
          <t>JÄMTLANDS LÄN</t>
        </is>
      </c>
      <c r="G2059" t="inlineStr">
        <is>
          <t>STRÖMSUND</t>
        </is>
      </c>
      <c r="H2059" t="inlineStr">
        <is>
          <t>SCA</t>
        </is>
      </c>
      <c r="I2059" t="n">
        <v>2</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42386-2026</t>
        </is>
      </c>
      <c r="B2060" t="inlineStr">
        <is>
          <t>avverkningsanmälan</t>
        </is>
      </c>
      <c r="C2060" t="inlineStr">
        <is>
          <t>Föryngringsavverkning</t>
        </is>
      </c>
      <c r="D2060" s="1" t="n">
        <v>46307</v>
      </c>
      <c r="E2060" s="1" t="n">
        <v>46318</v>
      </c>
      <c r="F2060" t="inlineStr">
        <is>
          <t>JÄMTLANDS LÄN</t>
        </is>
      </c>
      <c r="G2060" t="inlineStr">
        <is>
          <t>STRÖMSUND</t>
        </is>
      </c>
      <c r="H2060" t="inlineStr">
        <is>
          <t>SCA</t>
        </is>
      </c>
      <c r="I2060" t="n">
        <v>20.7</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60310-2024</t>
        </is>
      </c>
      <c r="B2061" t="inlineStr">
        <is>
          <t>avverkningsanmälan</t>
        </is>
      </c>
      <c r="C2061" t="inlineStr">
        <is>
          <t>Föryngringsavverkning</t>
        </is>
      </c>
      <c r="D2061" s="1" t="n">
        <v>45643</v>
      </c>
      <c r="E2061" s="1" t="n">
        <v>46318</v>
      </c>
      <c r="F2061" t="inlineStr">
        <is>
          <t>JÄMTLANDS LÄN</t>
        </is>
      </c>
      <c r="G2061" t="inlineStr">
        <is>
          <t>STRÖMSUND</t>
        </is>
      </c>
      <c r="H2061" t="inlineStr">
        <is>
          <t>SCA</t>
        </is>
      </c>
      <c r="I2061" t="n">
        <v>15.6</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35581-2026</t>
        </is>
      </c>
      <c r="B2062" t="inlineStr">
        <is>
          <t>avverkningsanmälan</t>
        </is>
      </c>
      <c r="C2062" t="inlineStr">
        <is>
          <t>Föryngringsavverkning</t>
        </is>
      </c>
      <c r="D2062" s="1" t="n">
        <v>46262</v>
      </c>
      <c r="E2062" s="1" t="n">
        <v>46318</v>
      </c>
      <c r="F2062" t="inlineStr">
        <is>
          <t>JÄMTLANDS LÄN</t>
        </is>
      </c>
      <c r="G2062" t="inlineStr">
        <is>
          <t>STRÖMSUND</t>
        </is>
      </c>
      <c r="H2062" t="inlineStr">
        <is>
          <t>SCA</t>
        </is>
      </c>
      <c r="I2062" t="n">
        <v>3.2</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38399-2026</t>
        </is>
      </c>
      <c r="B2063" t="inlineStr">
        <is>
          <t>avverkningsanmälan</t>
        </is>
      </c>
      <c r="C2063" t="inlineStr">
        <is>
          <t>Föryngringsavverkning</t>
        </is>
      </c>
      <c r="D2063" s="1" t="n">
        <v>46282</v>
      </c>
      <c r="E2063" s="1" t="n">
        <v>46318</v>
      </c>
      <c r="F2063" t="inlineStr">
        <is>
          <t>JÄMTLANDS LÄN</t>
        </is>
      </c>
      <c r="G2063" t="inlineStr">
        <is>
          <t>STRÖMSUND</t>
        </is>
      </c>
      <c r="H2063" t="inlineStr">
        <is>
          <t>SCA</t>
        </is>
      </c>
      <c r="I2063" t="n">
        <v>26.3</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30024-2022</t>
        </is>
      </c>
      <c r="B2064" t="inlineStr">
        <is>
          <t>avverkningsanmälan</t>
        </is>
      </c>
      <c r="C2064" t="inlineStr">
        <is>
          <t>Föryngringsavverkning</t>
        </is>
      </c>
      <c r="D2064" s="1" t="n">
        <v>44756</v>
      </c>
      <c r="E2064" s="1" t="n">
        <v>46318</v>
      </c>
      <c r="F2064" t="inlineStr">
        <is>
          <t>JÄMTLANDS LÄN</t>
        </is>
      </c>
      <c r="G2064" t="inlineStr">
        <is>
          <t>STRÖMSUND</t>
        </is>
      </c>
      <c r="H2064" t="inlineStr">
        <is>
          <t>SCA</t>
        </is>
      </c>
      <c r="I2064" t="n">
        <v>2</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37084-2022</t>
        </is>
      </c>
      <c r="B2065" t="inlineStr">
        <is>
          <t>avverkningsanmälan</t>
        </is>
      </c>
      <c r="C2065" t="inlineStr">
        <is>
          <t>Föryngringsavverkning</t>
        </is>
      </c>
      <c r="D2065" s="1" t="n">
        <v>44806</v>
      </c>
      <c r="E2065" s="1" t="n">
        <v>46318</v>
      </c>
      <c r="F2065" t="inlineStr">
        <is>
          <t>JÄMTLANDS LÄN</t>
        </is>
      </c>
      <c r="G2065" t="inlineStr">
        <is>
          <t>STRÖMSUND</t>
        </is>
      </c>
      <c r="H2065" t="inlineStr">
        <is>
          <t>Kommuner</t>
        </is>
      </c>
      <c r="I2065" t="n">
        <v>3.8</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37090-2022</t>
        </is>
      </c>
      <c r="B2066" t="inlineStr">
        <is>
          <t>avverkningsanmälan</t>
        </is>
      </c>
      <c r="C2066" t="inlineStr">
        <is>
          <t>Föryngringsavverkning</t>
        </is>
      </c>
      <c r="D2066" s="1" t="n">
        <v>44806</v>
      </c>
      <c r="E2066" s="1" t="n">
        <v>46318</v>
      </c>
      <c r="F2066" t="inlineStr">
        <is>
          <t>JÄMTLANDS LÄN</t>
        </is>
      </c>
      <c r="G2066" t="inlineStr">
        <is>
          <t>STRÖMSUND</t>
        </is>
      </c>
      <c r="H2066" t="inlineStr">
        <is>
          <t>Kommuner</t>
        </is>
      </c>
      <c r="I2066" t="n">
        <v>0.8</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58947-2024</t>
        </is>
      </c>
      <c r="B2067" t="inlineStr">
        <is>
          <t>avverkningsanmälan</t>
        </is>
      </c>
      <c r="C2067" t="inlineStr">
        <is>
          <t>Föryngringsavverkning</t>
        </is>
      </c>
      <c r="D2067" s="1" t="n">
        <v>45636</v>
      </c>
      <c r="E2067" s="1" t="n">
        <v>46318</v>
      </c>
      <c r="F2067" t="inlineStr">
        <is>
          <t>JÄMTLANDS LÄN</t>
        </is>
      </c>
      <c r="G2067" t="inlineStr">
        <is>
          <t>STRÖMSUND</t>
        </is>
      </c>
      <c r="H2067" t="inlineStr">
        <is>
          <t>SCA</t>
        </is>
      </c>
      <c r="I2067" t="n">
        <v>4</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6-2024</t>
        </is>
      </c>
      <c r="B2068" t="inlineStr">
        <is>
          <t>avverkningsanmälan</t>
        </is>
      </c>
      <c r="C2068" t="inlineStr">
        <is>
          <t>Föryngringsavverkning</t>
        </is>
      </c>
      <c r="D2068" s="1" t="n">
        <v>45293</v>
      </c>
      <c r="E2068" s="1" t="n">
        <v>46318</v>
      </c>
      <c r="F2068" t="inlineStr">
        <is>
          <t>JÄMTLANDS LÄN</t>
        </is>
      </c>
      <c r="G2068" t="inlineStr">
        <is>
          <t>STRÖMSUND</t>
        </is>
      </c>
      <c r="I2068" t="n">
        <v>1</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14142-2026</t>
        </is>
      </c>
      <c r="B2069" t="inlineStr">
        <is>
          <t>avverkningsanmälan</t>
        </is>
      </c>
      <c r="C2069" t="inlineStr">
        <is>
          <t>Avverkning för annat ändamål</t>
        </is>
      </c>
      <c r="D2069" s="1" t="n">
        <v>46099</v>
      </c>
      <c r="E2069" s="1" t="n">
        <v>46318</v>
      </c>
      <c r="F2069" t="inlineStr">
        <is>
          <t>JÄMTLANDS LÄN</t>
        </is>
      </c>
      <c r="G2069" t="inlineStr">
        <is>
          <t>STRÖMSUND</t>
        </is>
      </c>
      <c r="H2069" t="inlineStr">
        <is>
          <t>SCA</t>
        </is>
      </c>
      <c r="I2069" t="n">
        <v>3.3</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14163-2026</t>
        </is>
      </c>
      <c r="B2070" t="inlineStr">
        <is>
          <t>avverkningsanmälan</t>
        </is>
      </c>
      <c r="C2070" t="inlineStr">
        <is>
          <t>Avverkning för annat ändamål</t>
        </is>
      </c>
      <c r="D2070" s="1" t="n">
        <v>46099</v>
      </c>
      <c r="E2070" s="1" t="n">
        <v>46318</v>
      </c>
      <c r="F2070" t="inlineStr">
        <is>
          <t>JÄMTLANDS LÄN</t>
        </is>
      </c>
      <c r="G2070" t="inlineStr">
        <is>
          <t>STRÖMSUND</t>
        </is>
      </c>
      <c r="H2070" t="inlineStr">
        <is>
          <t>SCA</t>
        </is>
      </c>
      <c r="I2070" t="n">
        <v>1.7</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21524-2026</t>
        </is>
      </c>
      <c r="B2071" t="inlineStr">
        <is>
          <t>avverkningsanmälan</t>
        </is>
      </c>
      <c r="C2071" t="inlineStr">
        <is>
          <t>Föryngringsavverkning</t>
        </is>
      </c>
      <c r="D2071" s="1" t="n">
        <v>46144</v>
      </c>
      <c r="E2071" s="1" t="n">
        <v>46318</v>
      </c>
      <c r="F2071" t="inlineStr">
        <is>
          <t>JÄMTLANDS LÄN</t>
        </is>
      </c>
      <c r="G2071" t="inlineStr">
        <is>
          <t>STRÖMSUND</t>
        </is>
      </c>
      <c r="I2071" t="n">
        <v>6.6</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21545-2026</t>
        </is>
      </c>
      <c r="B2072" t="inlineStr">
        <is>
          <t>avverkningsanmälan</t>
        </is>
      </c>
      <c r="C2072" t="inlineStr">
        <is>
          <t>Föryngringsavverkning</t>
        </is>
      </c>
      <c r="D2072" s="1" t="n">
        <v>46144</v>
      </c>
      <c r="E2072" s="1" t="n">
        <v>46318</v>
      </c>
      <c r="F2072" t="inlineStr">
        <is>
          <t>JÄMTLANDS LÄN</t>
        </is>
      </c>
      <c r="G2072" t="inlineStr">
        <is>
          <t>STRÖMSUND</t>
        </is>
      </c>
      <c r="I2072" t="n">
        <v>6</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21552-2026</t>
        </is>
      </c>
      <c r="B2073" t="inlineStr">
        <is>
          <t>avverkningsanmälan</t>
        </is>
      </c>
      <c r="C2073" t="inlineStr">
        <is>
          <t>Föryngringsavverkning</t>
        </is>
      </c>
      <c r="D2073" s="1" t="n">
        <v>46144</v>
      </c>
      <c r="E2073" s="1" t="n">
        <v>46318</v>
      </c>
      <c r="F2073" t="inlineStr">
        <is>
          <t>JÄMTLANDS LÄN</t>
        </is>
      </c>
      <c r="G2073" t="inlineStr">
        <is>
          <t>STRÖMSUND</t>
        </is>
      </c>
      <c r="I2073" t="n">
        <v>3.3</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33590-2023</t>
        </is>
      </c>
      <c r="B2074" t="inlineStr">
        <is>
          <t>avverkningsanmälan</t>
        </is>
      </c>
      <c r="C2074" t="inlineStr">
        <is>
          <t>Föryngringsavverkning</t>
        </is>
      </c>
      <c r="D2074" s="1" t="n">
        <v>45131</v>
      </c>
      <c r="E2074" s="1" t="n">
        <v>46318</v>
      </c>
      <c r="F2074" t="inlineStr">
        <is>
          <t>JÄMTLANDS LÄN</t>
        </is>
      </c>
      <c r="G2074" t="inlineStr">
        <is>
          <t>STRÖMSUND</t>
        </is>
      </c>
      <c r="H2074" t="inlineStr">
        <is>
          <t>SCA</t>
        </is>
      </c>
      <c r="I2074" t="n">
        <v>3.1</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33870-2026</t>
        </is>
      </c>
      <c r="B2075" t="inlineStr">
        <is>
          <t>avverkningsanmälan</t>
        </is>
      </c>
      <c r="C2075" t="inlineStr">
        <is>
          <t>Avverkning för att bevara och utveckla /försöksver</t>
        </is>
      </c>
      <c r="D2075" s="1" t="n">
        <v>46251</v>
      </c>
      <c r="E2075" s="1" t="n">
        <v>46318</v>
      </c>
      <c r="F2075" t="inlineStr">
        <is>
          <t>JÄMTLANDS LÄN</t>
        </is>
      </c>
      <c r="G2075" t="inlineStr">
        <is>
          <t>STRÖMSUND</t>
        </is>
      </c>
      <c r="H2075" t="inlineStr">
        <is>
          <t>SCA</t>
        </is>
      </c>
      <c r="I2075" t="n">
        <v>39</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16490-2024</t>
        </is>
      </c>
      <c r="B2076" t="inlineStr">
        <is>
          <t>avverkningsanmälan</t>
        </is>
      </c>
      <c r="C2076" t="inlineStr">
        <is>
          <t>Avverkning för annat ändamål</t>
        </is>
      </c>
      <c r="D2076" s="1" t="n">
        <v>45408</v>
      </c>
      <c r="E2076" s="1" t="n">
        <v>46318</v>
      </c>
      <c r="F2076" t="inlineStr">
        <is>
          <t>JÄMTLANDS LÄN</t>
        </is>
      </c>
      <c r="G2076" t="inlineStr">
        <is>
          <t>STRÖMSUND</t>
        </is>
      </c>
      <c r="I2076" t="n">
        <v>5.8</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42309-2026</t>
        </is>
      </c>
      <c r="B2077" t="inlineStr">
        <is>
          <t>avverkningsanmälan</t>
        </is>
      </c>
      <c r="C2077" t="inlineStr">
        <is>
          <t>Föryngringsavverkning</t>
        </is>
      </c>
      <c r="D2077" s="1" t="n">
        <v>46307</v>
      </c>
      <c r="E2077" s="1" t="n">
        <v>46318</v>
      </c>
      <c r="F2077" t="inlineStr">
        <is>
          <t>JÄMTLANDS LÄN</t>
        </is>
      </c>
      <c r="G2077" t="inlineStr">
        <is>
          <t>STRÖMSUND</t>
        </is>
      </c>
      <c r="H2077" t="inlineStr">
        <is>
          <t>SCA</t>
        </is>
      </c>
      <c r="I2077" t="n">
        <v>4.3</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35532-2026</t>
        </is>
      </c>
      <c r="B2078" t="inlineStr">
        <is>
          <t>avverkningsanmälan</t>
        </is>
      </c>
      <c r="C2078" t="inlineStr">
        <is>
          <t>Föryngringsavverkning</t>
        </is>
      </c>
      <c r="D2078" s="1" t="n">
        <v>46262</v>
      </c>
      <c r="E2078" s="1" t="n">
        <v>46318</v>
      </c>
      <c r="F2078" t="inlineStr">
        <is>
          <t>JÄMTLANDS LÄN</t>
        </is>
      </c>
      <c r="G2078" t="inlineStr">
        <is>
          <t>STRÖMSUND</t>
        </is>
      </c>
      <c r="H2078" t="inlineStr">
        <is>
          <t>Holmen skog AB</t>
        </is>
      </c>
      <c r="I2078" t="n">
        <v>17.5</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30581-2026</t>
        </is>
      </c>
      <c r="B2079" t="inlineStr">
        <is>
          <t>avverkningsanmälan</t>
        </is>
      </c>
      <c r="C2079" t="inlineStr">
        <is>
          <t>Föryngringsavverkning</t>
        </is>
      </c>
      <c r="D2079" s="1" t="n">
        <v>46210</v>
      </c>
      <c r="E2079" s="1" t="n">
        <v>46318</v>
      </c>
      <c r="F2079" t="inlineStr">
        <is>
          <t>JÄMTLANDS LÄN</t>
        </is>
      </c>
      <c r="G2079" t="inlineStr">
        <is>
          <t>STRÖMSUND</t>
        </is>
      </c>
      <c r="I2079" t="n">
        <v>6.4</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35909-2026</t>
        </is>
      </c>
      <c r="B2080" t="inlineStr">
        <is>
          <t>avverkningsanmälan</t>
        </is>
      </c>
      <c r="C2080" t="inlineStr">
        <is>
          <t>Föryngringsavverkning</t>
        </is>
      </c>
      <c r="D2080" s="1" t="n">
        <v>46265</v>
      </c>
      <c r="E2080" s="1" t="n">
        <v>46318</v>
      </c>
      <c r="F2080" t="inlineStr">
        <is>
          <t>JÄMTLANDS LÄN</t>
        </is>
      </c>
      <c r="G2080" t="inlineStr">
        <is>
          <t>STRÖMSUND</t>
        </is>
      </c>
      <c r="H2080" t="inlineStr">
        <is>
          <t>SCA</t>
        </is>
      </c>
      <c r="I2080" t="n">
        <v>8.199999999999999</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21368-2026</t>
        </is>
      </c>
      <c r="B2081" t="inlineStr">
        <is>
          <t>avverkningsanmälan</t>
        </is>
      </c>
      <c r="C2081" t="inlineStr">
        <is>
          <t>Föryngringsavverkning</t>
        </is>
      </c>
      <c r="D2081" s="1" t="n">
        <v>46144</v>
      </c>
      <c r="E2081" s="1" t="n">
        <v>46318</v>
      </c>
      <c r="F2081" t="inlineStr">
        <is>
          <t>JÄMTLANDS LÄN</t>
        </is>
      </c>
      <c r="G2081" t="inlineStr">
        <is>
          <t>STRÖMSUND</t>
        </is>
      </c>
      <c r="I2081" t="n">
        <v>3.2</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41775-2026</t>
        </is>
      </c>
      <c r="B2082" t="inlineStr">
        <is>
          <t>avverkningsanmälan</t>
        </is>
      </c>
      <c r="C2082" t="inlineStr">
        <is>
          <t>Föryngringsavverkning</t>
        </is>
      </c>
      <c r="D2082" s="1" t="n">
        <v>46302</v>
      </c>
      <c r="E2082" s="1" t="n">
        <v>46318</v>
      </c>
      <c r="F2082" t="inlineStr">
        <is>
          <t>JÄMTLANDS LÄN</t>
        </is>
      </c>
      <c r="G2082" t="inlineStr">
        <is>
          <t>STRÖMSUND</t>
        </is>
      </c>
      <c r="H2082" t="inlineStr">
        <is>
          <t>SCA</t>
        </is>
      </c>
      <c r="I2082" t="n">
        <v>31.1</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42526-2026</t>
        </is>
      </c>
      <c r="B2083" t="inlineStr">
        <is>
          <t>avverkningsanmälan</t>
        </is>
      </c>
      <c r="C2083" t="inlineStr">
        <is>
          <t>Föryngringsavverkning</t>
        </is>
      </c>
      <c r="D2083" s="1" t="n">
        <v>46308</v>
      </c>
      <c r="E2083" s="1" t="n">
        <v>46318</v>
      </c>
      <c r="F2083" t="inlineStr">
        <is>
          <t>JÄMTLANDS LÄN</t>
        </is>
      </c>
      <c r="G2083" t="inlineStr">
        <is>
          <t>STRÖMSUND</t>
        </is>
      </c>
      <c r="H2083" t="inlineStr">
        <is>
          <t>SCA</t>
        </is>
      </c>
      <c r="I2083" t="n">
        <v>2.6</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42552-2026</t>
        </is>
      </c>
      <c r="B2084" t="inlineStr">
        <is>
          <t>avverkningsanmälan</t>
        </is>
      </c>
      <c r="C2084" t="inlineStr">
        <is>
          <t>Föryngringsavverkning</t>
        </is>
      </c>
      <c r="D2084" s="1" t="n">
        <v>46308</v>
      </c>
      <c r="E2084" s="1" t="n">
        <v>46318</v>
      </c>
      <c r="F2084" t="inlineStr">
        <is>
          <t>JÄMTLANDS LÄN</t>
        </is>
      </c>
      <c r="G2084" t="inlineStr">
        <is>
          <t>STRÖMSUND</t>
        </is>
      </c>
      <c r="H2084" t="inlineStr">
        <is>
          <t>SCA</t>
        </is>
      </c>
      <c r="I2084" t="n">
        <v>2.4</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35807-2026</t>
        </is>
      </c>
      <c r="B2085" t="inlineStr">
        <is>
          <t>avverkningsanmälan</t>
        </is>
      </c>
      <c r="C2085" t="inlineStr">
        <is>
          <t>Föryngringsavverkning</t>
        </is>
      </c>
      <c r="D2085" s="1" t="n">
        <v>46265</v>
      </c>
      <c r="E2085" s="1" t="n">
        <v>46318</v>
      </c>
      <c r="F2085" t="inlineStr">
        <is>
          <t>JÄMTLANDS LÄN</t>
        </is>
      </c>
      <c r="G2085" t="inlineStr">
        <is>
          <t>STRÖMSUND</t>
        </is>
      </c>
      <c r="H2085" t="inlineStr">
        <is>
          <t>Holmen skog AB</t>
        </is>
      </c>
      <c r="I2085" t="n">
        <v>7.8</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35850-2022</t>
        </is>
      </c>
      <c r="B2086" t="inlineStr">
        <is>
          <t>avverkningsanmälan</t>
        </is>
      </c>
      <c r="C2086" t="inlineStr">
        <is>
          <t>Föryngringsavverkning</t>
        </is>
      </c>
      <c r="D2086" s="1" t="n">
        <v>44802</v>
      </c>
      <c r="E2086" s="1" t="n">
        <v>46318</v>
      </c>
      <c r="F2086" t="inlineStr">
        <is>
          <t>JÄMTLANDS LÄN</t>
        </is>
      </c>
      <c r="G2086" t="inlineStr">
        <is>
          <t>STRÖMSUND</t>
        </is>
      </c>
      <c r="I2086" t="n">
        <v>1.4</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36010-2026</t>
        </is>
      </c>
      <c r="B2087" t="inlineStr">
        <is>
          <t>avverkningsanmälan</t>
        </is>
      </c>
      <c r="C2087" t="inlineStr">
        <is>
          <t>Föryngringsavverkning</t>
        </is>
      </c>
      <c r="D2087" s="1" t="n">
        <v>46266</v>
      </c>
      <c r="E2087" s="1" t="n">
        <v>46318</v>
      </c>
      <c r="F2087" t="inlineStr">
        <is>
          <t>JÄMTLANDS LÄN</t>
        </is>
      </c>
      <c r="G2087" t="inlineStr">
        <is>
          <t>STRÖMSUND</t>
        </is>
      </c>
      <c r="H2087" t="inlineStr">
        <is>
          <t>SCA</t>
        </is>
      </c>
      <c r="I2087" t="n">
        <v>2.7</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42517-2026</t>
        </is>
      </c>
      <c r="B2088" t="inlineStr">
        <is>
          <t>avverkningsanmälan</t>
        </is>
      </c>
      <c r="C2088" t="inlineStr">
        <is>
          <t>Föryngringsavverkning</t>
        </is>
      </c>
      <c r="D2088" s="1" t="n">
        <v>46308</v>
      </c>
      <c r="E2088" s="1" t="n">
        <v>46318</v>
      </c>
      <c r="F2088" t="inlineStr">
        <is>
          <t>JÄMTLANDS LÄN</t>
        </is>
      </c>
      <c r="G2088" t="inlineStr">
        <is>
          <t>STRÖMSUND</t>
        </is>
      </c>
      <c r="H2088" t="inlineStr">
        <is>
          <t>SCA</t>
        </is>
      </c>
      <c r="I2088" t="n">
        <v>4.4</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49547-2024</t>
        </is>
      </c>
      <c r="B2089" t="inlineStr">
        <is>
          <t>avverkningsanmälan</t>
        </is>
      </c>
      <c r="C2089" t="inlineStr">
        <is>
          <t>Avverkning för att bevara och utveckla /försöksver</t>
        </is>
      </c>
      <c r="D2089" s="1" t="n">
        <v>45596</v>
      </c>
      <c r="E2089" s="1" t="n">
        <v>46318</v>
      </c>
      <c r="F2089" t="inlineStr">
        <is>
          <t>JÄMTLANDS LÄN</t>
        </is>
      </c>
      <c r="G2089" t="inlineStr">
        <is>
          <t>STRÖMSUND</t>
        </is>
      </c>
      <c r="H2089" t="inlineStr">
        <is>
          <t>SCA</t>
        </is>
      </c>
      <c r="I2089" t="n">
        <v>13.8</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35629-2026</t>
        </is>
      </c>
      <c r="B2090" t="inlineStr">
        <is>
          <t>avverkningsanmälan</t>
        </is>
      </c>
      <c r="C2090" t="inlineStr">
        <is>
          <t>Föryngringsavverkning</t>
        </is>
      </c>
      <c r="D2090" s="1" t="n">
        <v>46265</v>
      </c>
      <c r="E2090" s="1" t="n">
        <v>46318</v>
      </c>
      <c r="F2090" t="inlineStr">
        <is>
          <t>JÄMTLANDS LÄN</t>
        </is>
      </c>
      <c r="G2090" t="inlineStr">
        <is>
          <t>STRÖMSUND</t>
        </is>
      </c>
      <c r="H2090" t="inlineStr">
        <is>
          <t>SCA</t>
        </is>
      </c>
      <c r="I2090" t="n">
        <v>3.5</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20272-2024</t>
        </is>
      </c>
      <c r="B2091" t="inlineStr">
        <is>
          <t>avverkningsanmälan</t>
        </is>
      </c>
      <c r="C2091" t="inlineStr">
        <is>
          <t>Avverkning för att bevara och utveckla /försöksver</t>
        </is>
      </c>
      <c r="D2091" s="1" t="n">
        <v>45434</v>
      </c>
      <c r="E2091" s="1" t="n">
        <v>46318</v>
      </c>
      <c r="F2091" t="inlineStr">
        <is>
          <t>JÄMTLANDS LÄN</t>
        </is>
      </c>
      <c r="G2091" t="inlineStr">
        <is>
          <t>STRÖMSUND</t>
        </is>
      </c>
      <c r="H2091" t="inlineStr">
        <is>
          <t>SCA</t>
        </is>
      </c>
      <c r="I2091" t="n">
        <v>7.6</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19027-2023</t>
        </is>
      </c>
      <c r="B2092" t="inlineStr">
        <is>
          <t>avverkningsanmälan</t>
        </is>
      </c>
      <c r="C2092" t="inlineStr">
        <is>
          <t>Föryngringsavverkning</t>
        </is>
      </c>
      <c r="D2092" s="1" t="n">
        <v>45047</v>
      </c>
      <c r="E2092" s="1" t="n">
        <v>46318</v>
      </c>
      <c r="F2092" t="inlineStr">
        <is>
          <t>JÄMTLANDS LÄN</t>
        </is>
      </c>
      <c r="G2092" t="inlineStr">
        <is>
          <t>STRÖMSUND</t>
        </is>
      </c>
      <c r="I2092" t="n">
        <v>4.1</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5453-2024</t>
        </is>
      </c>
      <c r="B2093" t="inlineStr">
        <is>
          <t>avverkningsanmälan</t>
        </is>
      </c>
      <c r="C2093" t="inlineStr">
        <is>
          <t>Föryngringsavverkning</t>
        </is>
      </c>
      <c r="D2093" s="1" t="n">
        <v>45331</v>
      </c>
      <c r="E2093" s="1" t="n">
        <v>46318</v>
      </c>
      <c r="F2093" t="inlineStr">
        <is>
          <t>JÄMTLANDS LÄN</t>
        </is>
      </c>
      <c r="G2093" t="inlineStr">
        <is>
          <t>STRÖMSUND</t>
        </is>
      </c>
      <c r="H2093" t="inlineStr">
        <is>
          <t>SCA</t>
        </is>
      </c>
      <c r="I2093" t="n">
        <v>3.9</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35815-2026</t>
        </is>
      </c>
      <c r="B2094" t="inlineStr">
        <is>
          <t>avverkningsanmälan</t>
        </is>
      </c>
      <c r="C2094" t="inlineStr">
        <is>
          <t>Föryngringsavverkning</t>
        </is>
      </c>
      <c r="D2094" s="1" t="n">
        <v>46265</v>
      </c>
      <c r="E2094" s="1" t="n">
        <v>46318</v>
      </c>
      <c r="F2094" t="inlineStr">
        <is>
          <t>JÄMTLANDS LÄN</t>
        </is>
      </c>
      <c r="G2094" t="inlineStr">
        <is>
          <t>STRÖMSUND</t>
        </is>
      </c>
      <c r="H2094" t="inlineStr">
        <is>
          <t>Holmen skog AB</t>
        </is>
      </c>
      <c r="I2094" t="n">
        <v>0.6</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508-2024</t>
        </is>
      </c>
      <c r="B2095" t="inlineStr">
        <is>
          <t>avverkningsanmälan</t>
        </is>
      </c>
      <c r="C2095" t="inlineStr">
        <is>
          <t>Föryngringsavverkning</t>
        </is>
      </c>
      <c r="D2095" s="1" t="n">
        <v>45299</v>
      </c>
      <c r="E2095" s="1" t="n">
        <v>46318</v>
      </c>
      <c r="F2095" t="inlineStr">
        <is>
          <t>JÄMTLANDS LÄN</t>
        </is>
      </c>
      <c r="G2095" t="inlineStr">
        <is>
          <t>STRÖMSUND</t>
        </is>
      </c>
      <c r="I2095" t="n">
        <v>13.1</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2296-2023</t>
        </is>
      </c>
      <c r="B2096" t="inlineStr">
        <is>
          <t>avverkningsanmälan</t>
        </is>
      </c>
      <c r="C2096" t="inlineStr">
        <is>
          <t>Föryngringsavverkning</t>
        </is>
      </c>
      <c r="D2096" s="1" t="n">
        <v>44942</v>
      </c>
      <c r="E2096" s="1" t="n">
        <v>46318</v>
      </c>
      <c r="F2096" t="inlineStr">
        <is>
          <t>JÄMTLANDS LÄN</t>
        </is>
      </c>
      <c r="G2096" t="inlineStr">
        <is>
          <t>STRÖMSUND</t>
        </is>
      </c>
      <c r="I2096" t="n">
        <v>1</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44010-2024</t>
        </is>
      </c>
      <c r="B2097" t="inlineStr">
        <is>
          <t>avverkningsanmälan</t>
        </is>
      </c>
      <c r="C2097" t="inlineStr">
        <is>
          <t>Föryngringsavverkning</t>
        </is>
      </c>
      <c r="D2097" s="1" t="n">
        <v>45572</v>
      </c>
      <c r="E2097" s="1" t="n">
        <v>46318</v>
      </c>
      <c r="F2097" t="inlineStr">
        <is>
          <t>JÄMTLANDS LÄN</t>
        </is>
      </c>
      <c r="G2097" t="inlineStr">
        <is>
          <t>STRÖMSUND</t>
        </is>
      </c>
      <c r="I2097" t="n">
        <v>0.6</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35644-2026</t>
        </is>
      </c>
      <c r="B2098" t="inlineStr">
        <is>
          <t>avverkningsanmälan</t>
        </is>
      </c>
      <c r="C2098" t="inlineStr">
        <is>
          <t>Föryngringsavverkning</t>
        </is>
      </c>
      <c r="D2098" s="1" t="n">
        <v>46265</v>
      </c>
      <c r="E2098" s="1" t="n">
        <v>46318</v>
      </c>
      <c r="F2098" t="inlineStr">
        <is>
          <t>JÄMTLANDS LÄN</t>
        </is>
      </c>
      <c r="G2098" t="inlineStr">
        <is>
          <t>STRÖMSUND</t>
        </is>
      </c>
      <c r="H2098" t="inlineStr">
        <is>
          <t>SCA</t>
        </is>
      </c>
      <c r="I2098" t="n">
        <v>7.2</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3629-2024</t>
        </is>
      </c>
      <c r="B2099" t="inlineStr">
        <is>
          <t>avverkningsanmälan</t>
        </is>
      </c>
      <c r="C2099" t="inlineStr">
        <is>
          <t>Föryngringsavverkning</t>
        </is>
      </c>
      <c r="D2099" s="1" t="n">
        <v>45320</v>
      </c>
      <c r="E2099" s="1" t="n">
        <v>46318</v>
      </c>
      <c r="F2099" t="inlineStr">
        <is>
          <t>JÄMTLANDS LÄN</t>
        </is>
      </c>
      <c r="G2099" t="inlineStr">
        <is>
          <t>STRÖMSUND</t>
        </is>
      </c>
      <c r="H2099" t="inlineStr">
        <is>
          <t>SCA</t>
        </is>
      </c>
      <c r="I2099" t="n">
        <v>29.9</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35743-2026</t>
        </is>
      </c>
      <c r="B2100" t="inlineStr">
        <is>
          <t>avverkningsanmälan</t>
        </is>
      </c>
      <c r="C2100" t="inlineStr">
        <is>
          <t>Föryngringsavverkning</t>
        </is>
      </c>
      <c r="D2100" s="1" t="n">
        <v>46265</v>
      </c>
      <c r="E2100" s="1" t="n">
        <v>46318</v>
      </c>
      <c r="F2100" t="inlineStr">
        <is>
          <t>JÄMTLANDS LÄN</t>
        </is>
      </c>
      <c r="G2100" t="inlineStr">
        <is>
          <t>STRÖMSUND</t>
        </is>
      </c>
      <c r="H2100" t="inlineStr">
        <is>
          <t>Holmen skog AB</t>
        </is>
      </c>
      <c r="I2100" t="n">
        <v>0.6</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29113-2024</t>
        </is>
      </c>
      <c r="B2101" t="inlineStr">
        <is>
          <t>avverkningsanmälan</t>
        </is>
      </c>
      <c r="C2101" t="inlineStr">
        <is>
          <t>Föryngringsavverkning</t>
        </is>
      </c>
      <c r="D2101" s="1" t="n">
        <v>45481</v>
      </c>
      <c r="E2101" s="1" t="n">
        <v>46318</v>
      </c>
      <c r="F2101" t="inlineStr">
        <is>
          <t>JÄMTLANDS LÄN</t>
        </is>
      </c>
      <c r="G2101" t="inlineStr">
        <is>
          <t>STRÖMSUND</t>
        </is>
      </c>
      <c r="H2101" t="inlineStr">
        <is>
          <t>SCA</t>
        </is>
      </c>
      <c r="I2101" t="n">
        <v>2</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52737-2023</t>
        </is>
      </c>
      <c r="B2102" t="inlineStr">
        <is>
          <t>avverkningsanmälan</t>
        </is>
      </c>
      <c r="C2102" t="inlineStr">
        <is>
          <t>Föryngringsavverkning</t>
        </is>
      </c>
      <c r="D2102" s="1" t="n">
        <v>45225</v>
      </c>
      <c r="E2102" s="1" t="n">
        <v>46318</v>
      </c>
      <c r="F2102" t="inlineStr">
        <is>
          <t>JÄMTLANDS LÄN</t>
        </is>
      </c>
      <c r="G2102" t="inlineStr">
        <is>
          <t>STRÖMSUND</t>
        </is>
      </c>
      <c r="H2102" t="inlineStr">
        <is>
          <t>SCA</t>
        </is>
      </c>
      <c r="I2102" t="n">
        <v>7.8</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42948-2026</t>
        </is>
      </c>
      <c r="B2103" t="inlineStr">
        <is>
          <t>avverkningsanmälan</t>
        </is>
      </c>
      <c r="C2103" t="inlineStr">
        <is>
          <t>Föryngringsavverkning</t>
        </is>
      </c>
      <c r="D2103" s="1" t="n">
        <v>46310</v>
      </c>
      <c r="E2103" s="1" t="n">
        <v>46318</v>
      </c>
      <c r="F2103" t="inlineStr">
        <is>
          <t>JÄMTLANDS LÄN</t>
        </is>
      </c>
      <c r="G2103" t="inlineStr">
        <is>
          <t>STRÖMSUND</t>
        </is>
      </c>
      <c r="H2103" t="inlineStr">
        <is>
          <t>SCA</t>
        </is>
      </c>
      <c r="I2103" t="n">
        <v>10.5</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36204-2026</t>
        </is>
      </c>
      <c r="B2104" t="inlineStr">
        <is>
          <t>avverkningsanmälan</t>
        </is>
      </c>
      <c r="C2104" t="inlineStr">
        <is>
          <t>Föryngringsavverkning</t>
        </is>
      </c>
      <c r="D2104" s="1" t="n">
        <v>46267</v>
      </c>
      <c r="E2104" s="1" t="n">
        <v>46318</v>
      </c>
      <c r="F2104" t="inlineStr">
        <is>
          <t>JÄMTLANDS LÄN</t>
        </is>
      </c>
      <c r="G2104" t="inlineStr">
        <is>
          <t>STRÖMSUND</t>
        </is>
      </c>
      <c r="H2104" t="inlineStr">
        <is>
          <t>SCA</t>
        </is>
      </c>
      <c r="I2104" t="n">
        <v>3.1</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8419-2024</t>
        </is>
      </c>
      <c r="B2105" t="inlineStr">
        <is>
          <t>avverkningsanmälan</t>
        </is>
      </c>
      <c r="C2105" t="inlineStr">
        <is>
          <t>Föryngringsavverkning</t>
        </is>
      </c>
      <c r="D2105" s="1" t="n">
        <v>45352</v>
      </c>
      <c r="E2105" s="1" t="n">
        <v>46318</v>
      </c>
      <c r="F2105" t="inlineStr">
        <is>
          <t>JÄMTLANDS LÄN</t>
        </is>
      </c>
      <c r="G2105" t="inlineStr">
        <is>
          <t>STRÖMSUND</t>
        </is>
      </c>
      <c r="H2105" t="inlineStr">
        <is>
          <t>SCA</t>
        </is>
      </c>
      <c r="I2105" t="n">
        <v>23</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15364-2024</t>
        </is>
      </c>
      <c r="B2106" t="inlineStr">
        <is>
          <t>avverkningsanmälan</t>
        </is>
      </c>
      <c r="C2106" t="inlineStr">
        <is>
          <t>Föryngringsavverkning</t>
        </is>
      </c>
      <c r="D2106" s="1" t="n">
        <v>45400</v>
      </c>
      <c r="E2106" s="1" t="n">
        <v>46318</v>
      </c>
      <c r="F2106" t="inlineStr">
        <is>
          <t>JÄMTLANDS LÄN</t>
        </is>
      </c>
      <c r="G2106" t="inlineStr">
        <is>
          <t>STRÖMSUND</t>
        </is>
      </c>
      <c r="I2106" t="n">
        <v>9.800000000000001</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15375-2024</t>
        </is>
      </c>
      <c r="B2107" t="inlineStr">
        <is>
          <t>avverkningsanmälan</t>
        </is>
      </c>
      <c r="C2107" t="inlineStr">
        <is>
          <t>Föryngringsavverkning</t>
        </is>
      </c>
      <c r="D2107" s="1" t="n">
        <v>45400</v>
      </c>
      <c r="E2107" s="1" t="n">
        <v>46318</v>
      </c>
      <c r="F2107" t="inlineStr">
        <is>
          <t>JÄMTLANDS LÄN</t>
        </is>
      </c>
      <c r="G2107" t="inlineStr">
        <is>
          <t>STRÖMSUND</t>
        </is>
      </c>
      <c r="I2107" t="n">
        <v>6.7</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36095-2026</t>
        </is>
      </c>
      <c r="B2108" t="inlineStr">
        <is>
          <t>avverkningsanmälan</t>
        </is>
      </c>
      <c r="C2108" t="inlineStr">
        <is>
          <t>Föryngringsavverkning</t>
        </is>
      </c>
      <c r="D2108" s="1" t="n">
        <v>46267</v>
      </c>
      <c r="E2108" s="1" t="n">
        <v>46318</v>
      </c>
      <c r="F2108" t="inlineStr">
        <is>
          <t>JÄMTLANDS LÄN</t>
        </is>
      </c>
      <c r="G2108" t="inlineStr">
        <is>
          <t>STRÖMSUND</t>
        </is>
      </c>
      <c r="I2108" t="n">
        <v>2.5</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36039-2026</t>
        </is>
      </c>
      <c r="B2109" t="inlineStr">
        <is>
          <t>avverkningsanmälan</t>
        </is>
      </c>
      <c r="C2109" t="inlineStr">
        <is>
          <t>Föryngringsavverkning</t>
        </is>
      </c>
      <c r="D2109" s="1" t="n">
        <v>46267</v>
      </c>
      <c r="E2109" s="1" t="n">
        <v>46318</v>
      </c>
      <c r="F2109" t="inlineStr">
        <is>
          <t>JÄMTLANDS LÄN</t>
        </is>
      </c>
      <c r="G2109" t="inlineStr">
        <is>
          <t>STRÖMSUND</t>
        </is>
      </c>
      <c r="H2109" t="inlineStr">
        <is>
          <t>SCA</t>
        </is>
      </c>
      <c r="I2109" t="n">
        <v>15.7</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36099-2026</t>
        </is>
      </c>
      <c r="B2110" t="inlineStr">
        <is>
          <t>avverkningsanmälan</t>
        </is>
      </c>
      <c r="C2110" t="inlineStr">
        <is>
          <t>Föryngringsavverkning</t>
        </is>
      </c>
      <c r="D2110" s="1" t="n">
        <v>46267</v>
      </c>
      <c r="E2110" s="1" t="n">
        <v>46318</v>
      </c>
      <c r="F2110" t="inlineStr">
        <is>
          <t>JÄMTLANDS LÄN</t>
        </is>
      </c>
      <c r="G2110" t="inlineStr">
        <is>
          <t>STRÖMSUND</t>
        </is>
      </c>
      <c r="I2110" t="n">
        <v>3.1</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35834-2026</t>
        </is>
      </c>
      <c r="B2111" t="inlineStr">
        <is>
          <t>avverkningsanmälan</t>
        </is>
      </c>
      <c r="C2111" t="inlineStr">
        <is>
          <t>Föryngringsavverkning</t>
        </is>
      </c>
      <c r="D2111" s="1" t="n">
        <v>46265</v>
      </c>
      <c r="E2111" s="1" t="n">
        <v>46318</v>
      </c>
      <c r="F2111" t="inlineStr">
        <is>
          <t>JÄMTLANDS LÄN</t>
        </is>
      </c>
      <c r="G2111" t="inlineStr">
        <is>
          <t>STRÖMSUND</t>
        </is>
      </c>
      <c r="H2111" t="inlineStr">
        <is>
          <t>SCA</t>
        </is>
      </c>
      <c r="I2111" t="n">
        <v>2.9</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42949-2026</t>
        </is>
      </c>
      <c r="B2112" t="inlineStr">
        <is>
          <t>avverkningsanmälan</t>
        </is>
      </c>
      <c r="C2112" t="inlineStr">
        <is>
          <t>Föryngringsavverkning</t>
        </is>
      </c>
      <c r="D2112" s="1" t="n">
        <v>46310</v>
      </c>
      <c r="E2112" s="1" t="n">
        <v>46318</v>
      </c>
      <c r="F2112" t="inlineStr">
        <is>
          <t>JÄMTLANDS LÄN</t>
        </is>
      </c>
      <c r="G2112" t="inlineStr">
        <is>
          <t>STRÖMSUND</t>
        </is>
      </c>
      <c r="H2112" t="inlineStr">
        <is>
          <t>SCA</t>
        </is>
      </c>
      <c r="I2112" t="n">
        <v>2.7</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36388-2026</t>
        </is>
      </c>
      <c r="B2113" t="inlineStr">
        <is>
          <t>avverkningsanmälan</t>
        </is>
      </c>
      <c r="C2113" t="inlineStr">
        <is>
          <t>Föryngringsavverkning</t>
        </is>
      </c>
      <c r="D2113" s="1" t="n">
        <v>46268</v>
      </c>
      <c r="E2113" s="1" t="n">
        <v>46318</v>
      </c>
      <c r="F2113" t="inlineStr">
        <is>
          <t>JÄMTLANDS LÄN</t>
        </is>
      </c>
      <c r="G2113" t="inlineStr">
        <is>
          <t>STRÖMSUND</t>
        </is>
      </c>
      <c r="H2113" t="inlineStr">
        <is>
          <t>SCA</t>
        </is>
      </c>
      <c r="I2113" t="n">
        <v>4</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57274-2022</t>
        </is>
      </c>
      <c r="B2114" t="inlineStr">
        <is>
          <t>avverkningsanmälan</t>
        </is>
      </c>
      <c r="C2114" t="inlineStr">
        <is>
          <t>Föryngringsavverkning</t>
        </is>
      </c>
      <c r="D2114" s="1" t="n">
        <v>44895</v>
      </c>
      <c r="E2114" s="1" t="n">
        <v>46318</v>
      </c>
      <c r="F2114" t="inlineStr">
        <is>
          <t>JÄMTLANDS LÄN</t>
        </is>
      </c>
      <c r="G2114" t="inlineStr">
        <is>
          <t>STRÖMSUND</t>
        </is>
      </c>
      <c r="H2114" t="inlineStr">
        <is>
          <t>SCA</t>
        </is>
      </c>
      <c r="I2114" t="n">
        <v>3</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36103-2026</t>
        </is>
      </c>
      <c r="B2115" t="inlineStr">
        <is>
          <t>avverkningsanmälan</t>
        </is>
      </c>
      <c r="C2115" t="inlineStr">
        <is>
          <t>Föryngringsavverkning</t>
        </is>
      </c>
      <c r="D2115" s="1" t="n">
        <v>46267</v>
      </c>
      <c r="E2115" s="1" t="n">
        <v>46318</v>
      </c>
      <c r="F2115" t="inlineStr">
        <is>
          <t>JÄMTLANDS LÄN</t>
        </is>
      </c>
      <c r="G2115" t="inlineStr">
        <is>
          <t>STRÖMSUND</t>
        </is>
      </c>
      <c r="I2115" t="n">
        <v>10.8</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34818-2024</t>
        </is>
      </c>
      <c r="B2116" t="inlineStr">
        <is>
          <t>avverkningsanmälan</t>
        </is>
      </c>
      <c r="C2116" t="inlineStr">
        <is>
          <t>Föryngringsavverkning</t>
        </is>
      </c>
      <c r="D2116" s="1" t="n">
        <v>45526</v>
      </c>
      <c r="E2116" s="1" t="n">
        <v>46318</v>
      </c>
      <c r="F2116" t="inlineStr">
        <is>
          <t>JÄMTLANDS LÄN</t>
        </is>
      </c>
      <c r="G2116" t="inlineStr">
        <is>
          <t>STRÖMSUND</t>
        </is>
      </c>
      <c r="H2116" t="inlineStr">
        <is>
          <t>SCA</t>
        </is>
      </c>
      <c r="I2116" t="n">
        <v>2.2</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35227-2026</t>
        </is>
      </c>
      <c r="B2117" t="inlineStr">
        <is>
          <t>avverkningsanmälan</t>
        </is>
      </c>
      <c r="C2117" t="inlineStr">
        <is>
          <t>Avverkning för annat ändamål</t>
        </is>
      </c>
      <c r="D2117" s="1" t="n">
        <v>46260</v>
      </c>
      <c r="E2117" s="1" t="n">
        <v>46318</v>
      </c>
      <c r="F2117" t="inlineStr">
        <is>
          <t>JÄMTLANDS LÄN</t>
        </is>
      </c>
      <c r="G2117" t="inlineStr">
        <is>
          <t>STRÖMSUND</t>
        </is>
      </c>
      <c r="I2117" t="n">
        <v>1.2</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40440-2023</t>
        </is>
      </c>
      <c r="B2118" t="inlineStr">
        <is>
          <t>avverkningsanmälan</t>
        </is>
      </c>
      <c r="C2118" t="inlineStr">
        <is>
          <t>Föryngringsavverkning</t>
        </is>
      </c>
      <c r="D2118" s="1" t="n">
        <v>45169</v>
      </c>
      <c r="E2118" s="1" t="n">
        <v>46318</v>
      </c>
      <c r="F2118" t="inlineStr">
        <is>
          <t>JÄMTLANDS LÄN</t>
        </is>
      </c>
      <c r="G2118" t="inlineStr">
        <is>
          <t>STRÖMSUND</t>
        </is>
      </c>
      <c r="H2118" t="inlineStr">
        <is>
          <t>SCA</t>
        </is>
      </c>
      <c r="I2118" t="n">
        <v>0.4</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42914-2026</t>
        </is>
      </c>
      <c r="B2119" t="inlineStr">
        <is>
          <t>avverkningsanmälan</t>
        </is>
      </c>
      <c r="C2119" t="inlineStr">
        <is>
          <t>Föryngringsavverkning</t>
        </is>
      </c>
      <c r="D2119" s="1" t="n">
        <v>46310</v>
      </c>
      <c r="E2119" s="1" t="n">
        <v>46318</v>
      </c>
      <c r="F2119" t="inlineStr">
        <is>
          <t>JÄMTLANDS LÄN</t>
        </is>
      </c>
      <c r="G2119" t="inlineStr">
        <is>
          <t>STRÖMSUND</t>
        </is>
      </c>
      <c r="H2119" t="inlineStr">
        <is>
          <t>SCA</t>
        </is>
      </c>
      <c r="I2119" t="n">
        <v>1.7</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72749-2021</t>
        </is>
      </c>
      <c r="B2120" t="inlineStr">
        <is>
          <t>avverkningsanmälan</t>
        </is>
      </c>
      <c r="C2120" t="inlineStr">
        <is>
          <t>Föryngringsavverkning</t>
        </is>
      </c>
      <c r="D2120" s="1" t="n">
        <v>44546</v>
      </c>
      <c r="E2120" s="1" t="n">
        <v>46318</v>
      </c>
      <c r="F2120" t="inlineStr">
        <is>
          <t>JÄMTLANDS LÄN</t>
        </is>
      </c>
      <c r="G2120" t="inlineStr">
        <is>
          <t>STRÖMSUND</t>
        </is>
      </c>
      <c r="I2120" t="n">
        <v>35.6</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23531-2024</t>
        </is>
      </c>
      <c r="B2121" t="inlineStr">
        <is>
          <t>avverkningsanmälan</t>
        </is>
      </c>
      <c r="C2121" t="inlineStr">
        <is>
          <t>Föryngringsavverkning</t>
        </is>
      </c>
      <c r="D2121" s="1" t="n">
        <v>45453</v>
      </c>
      <c r="E2121" s="1" t="n">
        <v>46318</v>
      </c>
      <c r="F2121" t="inlineStr">
        <is>
          <t>JÄMTLANDS LÄN</t>
        </is>
      </c>
      <c r="G2121" t="inlineStr">
        <is>
          <t>STRÖMSUND</t>
        </is>
      </c>
      <c r="H2121" t="inlineStr">
        <is>
          <t>SCA</t>
        </is>
      </c>
      <c r="I2121" t="n">
        <v>2.3</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41579-2024</t>
        </is>
      </c>
      <c r="B2122" t="inlineStr">
        <is>
          <t>avverkningsanmälan</t>
        </is>
      </c>
      <c r="C2122" t="inlineStr">
        <is>
          <t>Föryngringsavverkning</t>
        </is>
      </c>
      <c r="D2122" s="1" t="n">
        <v>45560</v>
      </c>
      <c r="E2122" s="1" t="n">
        <v>46318</v>
      </c>
      <c r="F2122" t="inlineStr">
        <is>
          <t>JÄMTLANDS LÄN</t>
        </is>
      </c>
      <c r="G2122" t="inlineStr">
        <is>
          <t>STRÖMSUND</t>
        </is>
      </c>
      <c r="H2122" t="inlineStr">
        <is>
          <t>SCA</t>
        </is>
      </c>
      <c r="I2122" t="n">
        <v>1</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40399-2023</t>
        </is>
      </c>
      <c r="B2123" t="inlineStr">
        <is>
          <t>avverkningsanmälan</t>
        </is>
      </c>
      <c r="C2123" t="inlineStr">
        <is>
          <t>Föryngringsavverkning</t>
        </is>
      </c>
      <c r="D2123" s="1" t="n">
        <v>45169</v>
      </c>
      <c r="E2123" s="1" t="n">
        <v>46318</v>
      </c>
      <c r="F2123" t="inlineStr">
        <is>
          <t>JÄMTLANDS LÄN</t>
        </is>
      </c>
      <c r="G2123" t="inlineStr">
        <is>
          <t>STRÖMSUND</t>
        </is>
      </c>
      <c r="H2123" t="inlineStr">
        <is>
          <t>SCA</t>
        </is>
      </c>
      <c r="I2123" t="n">
        <v>7</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40407-2023</t>
        </is>
      </c>
      <c r="B2124" t="inlineStr">
        <is>
          <t>avverkningsanmälan</t>
        </is>
      </c>
      <c r="C2124" t="inlineStr">
        <is>
          <t>Föryngringsavverkning</t>
        </is>
      </c>
      <c r="D2124" s="1" t="n">
        <v>45169</v>
      </c>
      <c r="E2124" s="1" t="n">
        <v>46318</v>
      </c>
      <c r="F2124" t="inlineStr">
        <is>
          <t>JÄMTLANDS LÄN</t>
        </is>
      </c>
      <c r="G2124" t="inlineStr">
        <is>
          <t>STRÖMSUND</t>
        </is>
      </c>
      <c r="H2124" t="inlineStr">
        <is>
          <t>SCA</t>
        </is>
      </c>
      <c r="I2124" t="n">
        <v>3.4</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18254-2025</t>
        </is>
      </c>
      <c r="B2125" t="inlineStr">
        <is>
          <t>avverkningsanmälan</t>
        </is>
      </c>
      <c r="C2125" t="inlineStr">
        <is>
          <t>Föryngringsavverkning</t>
        </is>
      </c>
      <c r="D2125" s="1" t="n">
        <v>45762</v>
      </c>
      <c r="E2125" s="1" t="n">
        <v>46318</v>
      </c>
      <c r="F2125" t="inlineStr">
        <is>
          <t>JÄMTLANDS LÄN</t>
        </is>
      </c>
      <c r="G2125" t="inlineStr">
        <is>
          <t>STRÖMSUND</t>
        </is>
      </c>
      <c r="H2125" t="inlineStr">
        <is>
          <t>SCA</t>
        </is>
      </c>
      <c r="I2125" t="n">
        <v>1</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54763-2024</t>
        </is>
      </c>
      <c r="B2126" t="inlineStr">
        <is>
          <t>avverkningsanmälan</t>
        </is>
      </c>
      <c r="C2126" t="inlineStr">
        <is>
          <t>Föryngringsavverkning</t>
        </is>
      </c>
      <c r="D2126" s="1" t="n">
        <v>45618</v>
      </c>
      <c r="E2126" s="1" t="n">
        <v>46318</v>
      </c>
      <c r="F2126" t="inlineStr">
        <is>
          <t>JÄMTLANDS LÄN</t>
        </is>
      </c>
      <c r="G2126" t="inlineStr">
        <is>
          <t>STRÖMSUND</t>
        </is>
      </c>
      <c r="I2126" t="n">
        <v>0.9</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57258-2024</t>
        </is>
      </c>
      <c r="B2127" t="inlineStr">
        <is>
          <t>avverkningsanmälan</t>
        </is>
      </c>
      <c r="C2127" t="inlineStr">
        <is>
          <t>Föryngringsavverkning</t>
        </is>
      </c>
      <c r="D2127" s="1" t="n">
        <v>45628</v>
      </c>
      <c r="E2127" s="1" t="n">
        <v>46318</v>
      </c>
      <c r="F2127" t="inlineStr">
        <is>
          <t>JÄMTLANDS LÄN</t>
        </is>
      </c>
      <c r="G2127" t="inlineStr">
        <is>
          <t>STRÖMSUND</t>
        </is>
      </c>
      <c r="I2127" t="n">
        <v>8.800000000000001</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70511-2021</t>
        </is>
      </c>
      <c r="B2128" t="inlineStr">
        <is>
          <t>avverkningsanmälan</t>
        </is>
      </c>
      <c r="C2128" t="inlineStr">
        <is>
          <t>Föryngringsavverkning</t>
        </is>
      </c>
      <c r="D2128" s="1" t="n">
        <v>44536</v>
      </c>
      <c r="E2128" s="1" t="n">
        <v>46318</v>
      </c>
      <c r="F2128" t="inlineStr">
        <is>
          <t>JÄMTLANDS LÄN</t>
        </is>
      </c>
      <c r="G2128" t="inlineStr">
        <is>
          <t>STRÖMSUND</t>
        </is>
      </c>
      <c r="H2128" t="inlineStr">
        <is>
          <t>SCA</t>
        </is>
      </c>
      <c r="I2128" t="n">
        <v>401.6</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30062-2024</t>
        </is>
      </c>
      <c r="B2129" t="inlineStr">
        <is>
          <t>avverkningsanmälan</t>
        </is>
      </c>
      <c r="C2129" t="inlineStr">
        <is>
          <t>Avverkning för att bevara och utveckla /försöksver</t>
        </is>
      </c>
      <c r="D2129" s="1" t="n">
        <v>45488</v>
      </c>
      <c r="E2129" s="1" t="n">
        <v>46318</v>
      </c>
      <c r="F2129" t="inlineStr">
        <is>
          <t>JÄMTLANDS LÄN</t>
        </is>
      </c>
      <c r="G2129" t="inlineStr">
        <is>
          <t>STRÖMSUND</t>
        </is>
      </c>
      <c r="H2129" t="inlineStr">
        <is>
          <t>SCA</t>
        </is>
      </c>
      <c r="I2129" t="n">
        <v>1.1</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35308-2022</t>
        </is>
      </c>
      <c r="B2130" t="inlineStr">
        <is>
          <t>avverkningsanmälan</t>
        </is>
      </c>
      <c r="C2130" t="inlineStr">
        <is>
          <t>Föryngringsavverkning</t>
        </is>
      </c>
      <c r="D2130" s="1" t="n">
        <v>44798</v>
      </c>
      <c r="E2130" s="1" t="n">
        <v>46318</v>
      </c>
      <c r="F2130" t="inlineStr">
        <is>
          <t>JÄMTLANDS LÄN</t>
        </is>
      </c>
      <c r="G2130" t="inlineStr">
        <is>
          <t>STRÖMSUND</t>
        </is>
      </c>
      <c r="H2130" t="inlineStr">
        <is>
          <t>Kommuner</t>
        </is>
      </c>
      <c r="I2130" t="n">
        <v>8.4</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32906-2023</t>
        </is>
      </c>
      <c r="B2131" t="inlineStr">
        <is>
          <t>avverkningsanmälan</t>
        </is>
      </c>
      <c r="C2131" t="inlineStr">
        <is>
          <t>Föryngringsavverkning</t>
        </is>
      </c>
      <c r="D2131" s="1" t="n">
        <v>45124</v>
      </c>
      <c r="E2131" s="1" t="n">
        <v>46318</v>
      </c>
      <c r="F2131" t="inlineStr">
        <is>
          <t>JÄMTLANDS LÄN</t>
        </is>
      </c>
      <c r="G2131" t="inlineStr">
        <is>
          <t>STRÖMSUND</t>
        </is>
      </c>
      <c r="H2131" t="inlineStr">
        <is>
          <t>SCA</t>
        </is>
      </c>
      <c r="I2131" t="n">
        <v>1.8</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4464-2022</t>
        </is>
      </c>
      <c r="B2132" t="inlineStr">
        <is>
          <t>avverkningsanmälan</t>
        </is>
      </c>
      <c r="C2132" t="inlineStr">
        <is>
          <t>Föryngringsavverkning</t>
        </is>
      </c>
      <c r="D2132" s="1" t="n">
        <v>44589</v>
      </c>
      <c r="E2132" s="1" t="n">
        <v>46318</v>
      </c>
      <c r="F2132" t="inlineStr">
        <is>
          <t>JÄMTLANDS LÄN</t>
        </is>
      </c>
      <c r="G2132" t="inlineStr">
        <is>
          <t>STRÖMSUND</t>
        </is>
      </c>
      <c r="I2132" t="n">
        <v>5.4</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15273-2022</t>
        </is>
      </c>
      <c r="B2133" t="inlineStr">
        <is>
          <t>avverkningsanmälan</t>
        </is>
      </c>
      <c r="C2133" t="inlineStr">
        <is>
          <t>Föryngringsavverkning</t>
        </is>
      </c>
      <c r="D2133" s="1" t="n">
        <v>44659</v>
      </c>
      <c r="E2133" s="1" t="n">
        <v>46318</v>
      </c>
      <c r="F2133" t="inlineStr">
        <is>
          <t>JÄMTLANDS LÄN</t>
        </is>
      </c>
      <c r="G2133" t="inlineStr">
        <is>
          <t>STRÖMSUND</t>
        </is>
      </c>
      <c r="I2133" t="n">
        <v>1.1</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17213-2025</t>
        </is>
      </c>
      <c r="B2134" t="inlineStr">
        <is>
          <t>avverkningsanmälan</t>
        </is>
      </c>
      <c r="C2134" t="inlineStr">
        <is>
          <t>Föryngringsavverkning</t>
        </is>
      </c>
      <c r="D2134" s="1" t="n">
        <v>45756</v>
      </c>
      <c r="E2134" s="1" t="n">
        <v>46318</v>
      </c>
      <c r="F2134" t="inlineStr">
        <is>
          <t>JÄMTLANDS LÄN</t>
        </is>
      </c>
      <c r="G2134" t="inlineStr">
        <is>
          <t>STRÖMSUND</t>
        </is>
      </c>
      <c r="H2134" t="inlineStr">
        <is>
          <t>SCA</t>
        </is>
      </c>
      <c r="I2134" t="n">
        <v>2.4</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17256-2025</t>
        </is>
      </c>
      <c r="B2135" t="inlineStr">
        <is>
          <t>avverkningsanmälan</t>
        </is>
      </c>
      <c r="C2135" t="inlineStr">
        <is>
          <t>Föryngringsavverkning</t>
        </is>
      </c>
      <c r="D2135" s="1" t="n">
        <v>45756</v>
      </c>
      <c r="E2135" s="1" t="n">
        <v>46318</v>
      </c>
      <c r="F2135" t="inlineStr">
        <is>
          <t>JÄMTLANDS LÄN</t>
        </is>
      </c>
      <c r="G2135" t="inlineStr">
        <is>
          <t>STRÖMSUND</t>
        </is>
      </c>
      <c r="I2135" t="n">
        <v>0.9</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1271-2024</t>
        </is>
      </c>
      <c r="B2136" t="inlineStr">
        <is>
          <t>avverkningsanmälan</t>
        </is>
      </c>
      <c r="C2136" t="inlineStr">
        <is>
          <t>Föryngringsavverkning</t>
        </is>
      </c>
      <c r="D2136" s="1" t="n">
        <v>45302</v>
      </c>
      <c r="E2136" s="1" t="n">
        <v>46318</v>
      </c>
      <c r="F2136" t="inlineStr">
        <is>
          <t>JÄMTLANDS LÄN</t>
        </is>
      </c>
      <c r="G2136" t="inlineStr">
        <is>
          <t>STRÖMSUND</t>
        </is>
      </c>
      <c r="I2136" t="n">
        <v>2.9</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9799-2025</t>
        </is>
      </c>
      <c r="B2137" t="inlineStr">
        <is>
          <t>avverkningsanmälan</t>
        </is>
      </c>
      <c r="C2137" t="inlineStr">
        <is>
          <t>Föryngringsavverkning</t>
        </is>
      </c>
      <c r="D2137" s="1" t="n">
        <v>45716</v>
      </c>
      <c r="E2137" s="1" t="n">
        <v>46318</v>
      </c>
      <c r="F2137" t="inlineStr">
        <is>
          <t>JÄMTLANDS LÄN</t>
        </is>
      </c>
      <c r="G2137" t="inlineStr">
        <is>
          <t>STRÖMSUND</t>
        </is>
      </c>
      <c r="I2137" t="n">
        <v>1</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62493-2023</t>
        </is>
      </c>
      <c r="B2138" t="inlineStr">
        <is>
          <t>avverkningsanmälan</t>
        </is>
      </c>
      <c r="C2138" t="inlineStr">
        <is>
          <t>Avverkning för att bevara och utveckla /försöksver</t>
        </is>
      </c>
      <c r="D2138" s="1" t="n">
        <v>45268</v>
      </c>
      <c r="E2138" s="1" t="n">
        <v>46318</v>
      </c>
      <c r="F2138" t="inlineStr">
        <is>
          <t>JÄMTLANDS LÄN</t>
        </is>
      </c>
      <c r="G2138" t="inlineStr">
        <is>
          <t>STRÖMSUND</t>
        </is>
      </c>
      <c r="H2138" t="inlineStr">
        <is>
          <t>Holmen skog AB</t>
        </is>
      </c>
      <c r="I2138" t="n">
        <v>4</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1542-2025</t>
        </is>
      </c>
      <c r="B2139" t="inlineStr">
        <is>
          <t>avverkningsanmälan</t>
        </is>
      </c>
      <c r="C2139" t="inlineStr">
        <is>
          <t>Föryngringsavverkning</t>
        </is>
      </c>
      <c r="D2139" s="1" t="n">
        <v>45670</v>
      </c>
      <c r="E2139" s="1" t="n">
        <v>46318</v>
      </c>
      <c r="F2139" t="inlineStr">
        <is>
          <t>JÄMTLANDS LÄN</t>
        </is>
      </c>
      <c r="G2139" t="inlineStr">
        <is>
          <t>STRÖMSUND</t>
        </is>
      </c>
      <c r="I2139" t="n">
        <v>4.8</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1543-2025</t>
        </is>
      </c>
      <c r="B2140" t="inlineStr">
        <is>
          <t>avverkningsanmälan</t>
        </is>
      </c>
      <c r="C2140" t="inlineStr">
        <is>
          <t>Föryngringsavverkning</t>
        </is>
      </c>
      <c r="D2140" s="1" t="n">
        <v>45670</v>
      </c>
      <c r="E2140" s="1" t="n">
        <v>46318</v>
      </c>
      <c r="F2140" t="inlineStr">
        <is>
          <t>JÄMTLANDS LÄN</t>
        </is>
      </c>
      <c r="G2140" t="inlineStr">
        <is>
          <t>STRÖMSUND</t>
        </is>
      </c>
      <c r="I2140" t="n">
        <v>11.6</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1544-2025</t>
        </is>
      </c>
      <c r="B2141" t="inlineStr">
        <is>
          <t>avverkningsanmälan</t>
        </is>
      </c>
      <c r="C2141" t="inlineStr">
        <is>
          <t>Föryngringsavverkning</t>
        </is>
      </c>
      <c r="D2141" s="1" t="n">
        <v>45670</v>
      </c>
      <c r="E2141" s="1" t="n">
        <v>46318</v>
      </c>
      <c r="F2141" t="inlineStr">
        <is>
          <t>JÄMTLANDS LÄN</t>
        </is>
      </c>
      <c r="G2141" t="inlineStr">
        <is>
          <t>STRÖMSUND</t>
        </is>
      </c>
      <c r="I2141" t="n">
        <v>2.3</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1545-2025</t>
        </is>
      </c>
      <c r="B2142" t="inlineStr">
        <is>
          <t>avverkningsanmälan</t>
        </is>
      </c>
      <c r="C2142" t="inlineStr">
        <is>
          <t>Föryngringsavverkning</t>
        </is>
      </c>
      <c r="D2142" s="1" t="n">
        <v>45670</v>
      </c>
      <c r="E2142" s="1" t="n">
        <v>46318</v>
      </c>
      <c r="F2142" t="inlineStr">
        <is>
          <t>JÄMTLANDS LÄN</t>
        </is>
      </c>
      <c r="G2142" t="inlineStr">
        <is>
          <t>STRÖMSUND</t>
        </is>
      </c>
      <c r="I2142" t="n">
        <v>1.3</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1547-2025</t>
        </is>
      </c>
      <c r="B2143" t="inlineStr">
        <is>
          <t>avverkningsanmälan</t>
        </is>
      </c>
      <c r="C2143" t="inlineStr">
        <is>
          <t>Föryngringsavverkning</t>
        </is>
      </c>
      <c r="D2143" s="1" t="n">
        <v>45670</v>
      </c>
      <c r="E2143" s="1" t="n">
        <v>46318</v>
      </c>
      <c r="F2143" t="inlineStr">
        <is>
          <t>JÄMTLANDS LÄN</t>
        </is>
      </c>
      <c r="G2143" t="inlineStr">
        <is>
          <t>STRÖMSUND</t>
        </is>
      </c>
      <c r="I2143" t="n">
        <v>5.8</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14294-2022</t>
        </is>
      </c>
      <c r="B2144" t="inlineStr">
        <is>
          <t>avverkningsanmälan</t>
        </is>
      </c>
      <c r="C2144" t="inlineStr">
        <is>
          <t>Föryngringsavverkning</t>
        </is>
      </c>
      <c r="D2144" s="1" t="n">
        <v>44651</v>
      </c>
      <c r="E2144" s="1" t="n">
        <v>46318</v>
      </c>
      <c r="F2144" t="inlineStr">
        <is>
          <t>JÄMTLANDS LÄN</t>
        </is>
      </c>
      <c r="G2144" t="inlineStr">
        <is>
          <t>STRÖMSUND</t>
        </is>
      </c>
      <c r="H2144" t="inlineStr">
        <is>
          <t>SCA</t>
        </is>
      </c>
      <c r="I2144" t="n">
        <v>2.8</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40439-2023</t>
        </is>
      </c>
      <c r="B2145" t="inlineStr">
        <is>
          <t>avverkningsanmälan</t>
        </is>
      </c>
      <c r="C2145" t="inlineStr">
        <is>
          <t>Föryngringsavverkning</t>
        </is>
      </c>
      <c r="D2145" s="1" t="n">
        <v>45169</v>
      </c>
      <c r="E2145" s="1" t="n">
        <v>46318</v>
      </c>
      <c r="F2145" t="inlineStr">
        <is>
          <t>JÄMTLANDS LÄN</t>
        </is>
      </c>
      <c r="G2145" t="inlineStr">
        <is>
          <t>STRÖMSUND</t>
        </is>
      </c>
      <c r="H2145" t="inlineStr">
        <is>
          <t>SCA</t>
        </is>
      </c>
      <c r="I2145" t="n">
        <v>1.4</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56997-2024</t>
        </is>
      </c>
      <c r="B2146" t="inlineStr">
        <is>
          <t>avverkningsanmälan</t>
        </is>
      </c>
      <c r="C2146" t="inlineStr">
        <is>
          <t>Föryngringsavverkning</t>
        </is>
      </c>
      <c r="D2146" s="1" t="n">
        <v>45628</v>
      </c>
      <c r="E2146" s="1" t="n">
        <v>46318</v>
      </c>
      <c r="F2146" t="inlineStr">
        <is>
          <t>JÄMTLANDS LÄN</t>
        </is>
      </c>
      <c r="G2146" t="inlineStr">
        <is>
          <t>STRÖMSUND</t>
        </is>
      </c>
      <c r="I2146" t="n">
        <v>4.1</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19045-2025</t>
        </is>
      </c>
      <c r="B2147" t="inlineStr">
        <is>
          <t>avverkningsanmälan</t>
        </is>
      </c>
      <c r="C2147" t="inlineStr">
        <is>
          <t>Föryngringsavverkning</t>
        </is>
      </c>
      <c r="D2147" s="1" t="n">
        <v>45764</v>
      </c>
      <c r="E2147" s="1" t="n">
        <v>46318</v>
      </c>
      <c r="F2147" t="inlineStr">
        <is>
          <t>JÄMTLANDS LÄN</t>
        </is>
      </c>
      <c r="G2147" t="inlineStr">
        <is>
          <t>STRÖMSUND</t>
        </is>
      </c>
      <c r="H2147" t="inlineStr">
        <is>
          <t>SCA</t>
        </is>
      </c>
      <c r="I2147" t="n">
        <v>4.2</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41902-2023</t>
        </is>
      </c>
      <c r="B2148" t="inlineStr">
        <is>
          <t>avverkningsanmälan</t>
        </is>
      </c>
      <c r="C2148" t="inlineStr">
        <is>
          <t>Föryngringsavverkning</t>
        </is>
      </c>
      <c r="D2148" s="1" t="n">
        <v>45176</v>
      </c>
      <c r="E2148" s="1" t="n">
        <v>46318</v>
      </c>
      <c r="F2148" t="inlineStr">
        <is>
          <t>JÄMTLANDS LÄN</t>
        </is>
      </c>
      <c r="G2148" t="inlineStr">
        <is>
          <t>STRÖMSUND</t>
        </is>
      </c>
      <c r="I2148" t="n">
        <v>1.9</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4388-2023</t>
        </is>
      </c>
      <c r="B2149" t="inlineStr">
        <is>
          <t>avverkningsanmälan</t>
        </is>
      </c>
      <c r="C2149" t="inlineStr">
        <is>
          <t>Föryngringsavverkning</t>
        </is>
      </c>
      <c r="D2149" s="1" t="n">
        <v>44955</v>
      </c>
      <c r="E2149" s="1" t="n">
        <v>46318</v>
      </c>
      <c r="F2149" t="inlineStr">
        <is>
          <t>JÄMTLANDS LÄN</t>
        </is>
      </c>
      <c r="G2149" t="inlineStr">
        <is>
          <t>STRÖMSUND</t>
        </is>
      </c>
      <c r="I2149" t="n">
        <v>5</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62668-2021</t>
        </is>
      </c>
      <c r="B2150" t="inlineStr">
        <is>
          <t>avverkningsanmälan</t>
        </is>
      </c>
      <c r="C2150" t="inlineStr">
        <is>
          <t>Föryngringsavverkning</t>
        </is>
      </c>
      <c r="D2150" s="1" t="n">
        <v>44503</v>
      </c>
      <c r="E2150" s="1" t="n">
        <v>46318</v>
      </c>
      <c r="F2150" t="inlineStr">
        <is>
          <t>JÄMTLANDS LÄN</t>
        </is>
      </c>
      <c r="G2150" t="inlineStr">
        <is>
          <t>STRÖMSUND</t>
        </is>
      </c>
      <c r="H2150" t="inlineStr">
        <is>
          <t>SCA</t>
        </is>
      </c>
      <c r="I2150" t="n">
        <v>1.7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14978-2024</t>
        </is>
      </c>
      <c r="B2151" t="inlineStr">
        <is>
          <t>avverkningsanmälan</t>
        </is>
      </c>
      <c r="C2151" t="inlineStr">
        <is>
          <t>Föryngringsavverkning</t>
        </is>
      </c>
      <c r="D2151" s="1" t="n">
        <v>45398</v>
      </c>
      <c r="E2151" s="1" t="n">
        <v>46318</v>
      </c>
      <c r="F2151" t="inlineStr">
        <is>
          <t>JÄMTLANDS LÄN</t>
        </is>
      </c>
      <c r="G2151" t="inlineStr">
        <is>
          <t>STRÖMSUND</t>
        </is>
      </c>
      <c r="H2151" t="inlineStr">
        <is>
          <t>SCA</t>
        </is>
      </c>
      <c r="I2151" t="n">
        <v>1</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27298-2024</t>
        </is>
      </c>
      <c r="B2152" t="inlineStr">
        <is>
          <t>avverkningsanmälan</t>
        </is>
      </c>
      <c r="C2152" t="inlineStr">
        <is>
          <t>Föryngringsavverkning</t>
        </is>
      </c>
      <c r="D2152" s="1" t="n">
        <v>45471</v>
      </c>
      <c r="E2152" s="1" t="n">
        <v>46318</v>
      </c>
      <c r="F2152" t="inlineStr">
        <is>
          <t>JÄMTLANDS LÄN</t>
        </is>
      </c>
      <c r="G2152" t="inlineStr">
        <is>
          <t>STRÖMSUND</t>
        </is>
      </c>
      <c r="H2152" t="inlineStr">
        <is>
          <t>SCA</t>
        </is>
      </c>
      <c r="I2152" t="n">
        <v>2.7</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55690-2024</t>
        </is>
      </c>
      <c r="B2153" t="inlineStr">
        <is>
          <t>avverkningsanmälan</t>
        </is>
      </c>
      <c r="C2153" t="inlineStr">
        <is>
          <t>Föryngringsavverkning</t>
        </is>
      </c>
      <c r="D2153" s="1" t="n">
        <v>45622</v>
      </c>
      <c r="E2153" s="1" t="n">
        <v>46318</v>
      </c>
      <c r="F2153" t="inlineStr">
        <is>
          <t>JÄMTLANDS LÄN</t>
        </is>
      </c>
      <c r="G2153" t="inlineStr">
        <is>
          <t>STRÖMSUND</t>
        </is>
      </c>
      <c r="H2153" t="inlineStr">
        <is>
          <t>SCA</t>
        </is>
      </c>
      <c r="I2153" t="n">
        <v>2.6</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14347-2023</t>
        </is>
      </c>
      <c r="B2154" t="inlineStr">
        <is>
          <t>avverkningsanmälan</t>
        </is>
      </c>
      <c r="C2154" t="inlineStr">
        <is>
          <t>Avverkning för annat ändamål</t>
        </is>
      </c>
      <c r="D2154" s="1" t="n">
        <v>45012</v>
      </c>
      <c r="E2154" s="1" t="n">
        <v>46318</v>
      </c>
      <c r="F2154" t="inlineStr">
        <is>
          <t>JÄMTLANDS LÄN</t>
        </is>
      </c>
      <c r="G2154" t="inlineStr">
        <is>
          <t>STRÖMSUND</t>
        </is>
      </c>
      <c r="I2154" t="n">
        <v>1.4</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19346-2024</t>
        </is>
      </c>
      <c r="B2155" t="inlineStr">
        <is>
          <t>avverkningsanmälan</t>
        </is>
      </c>
      <c r="C2155" t="inlineStr">
        <is>
          <t>Föryngringsavverkning</t>
        </is>
      </c>
      <c r="D2155" s="1" t="n">
        <v>45428</v>
      </c>
      <c r="E2155" s="1" t="n">
        <v>46318</v>
      </c>
      <c r="F2155" t="inlineStr">
        <is>
          <t>JÄMTLANDS LÄN</t>
        </is>
      </c>
      <c r="G2155" t="inlineStr">
        <is>
          <t>STRÖMSUND</t>
        </is>
      </c>
      <c r="I2155" t="n">
        <v>3.5</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62194-2021</t>
        </is>
      </c>
      <c r="B2156" t="inlineStr">
        <is>
          <t>avverkningsanmälan</t>
        </is>
      </c>
      <c r="C2156" t="inlineStr">
        <is>
          <t>Föryngringsavverkning</t>
        </is>
      </c>
      <c r="D2156" s="1" t="n">
        <v>44502</v>
      </c>
      <c r="E2156" s="1" t="n">
        <v>46318</v>
      </c>
      <c r="F2156" t="inlineStr">
        <is>
          <t>JÄMTLANDS LÄN</t>
        </is>
      </c>
      <c r="G2156" t="inlineStr">
        <is>
          <t>STRÖMSUND</t>
        </is>
      </c>
      <c r="I2156" t="n">
        <v>3.2</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5333-2024</t>
        </is>
      </c>
      <c r="B2157" t="inlineStr">
        <is>
          <t>avverkningsanmälan</t>
        </is>
      </c>
      <c r="C2157" t="inlineStr">
        <is>
          <t>Föryngringsavverkning</t>
        </is>
      </c>
      <c r="D2157" s="1" t="n">
        <v>45331</v>
      </c>
      <c r="E2157" s="1" t="n">
        <v>46318</v>
      </c>
      <c r="F2157" t="inlineStr">
        <is>
          <t>JÄMTLANDS LÄN</t>
        </is>
      </c>
      <c r="G2157" t="inlineStr">
        <is>
          <t>STRÖMSUND</t>
        </is>
      </c>
      <c r="I2157" t="n">
        <v>2.7</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5350-2024</t>
        </is>
      </c>
      <c r="B2158" t="inlineStr">
        <is>
          <t>avverkningsanmälan</t>
        </is>
      </c>
      <c r="C2158" t="inlineStr">
        <is>
          <t>Föryngringsavverkning</t>
        </is>
      </c>
      <c r="D2158" s="1" t="n">
        <v>45331</v>
      </c>
      <c r="E2158" s="1" t="n">
        <v>46318</v>
      </c>
      <c r="F2158" t="inlineStr">
        <is>
          <t>JÄMTLANDS LÄN</t>
        </is>
      </c>
      <c r="G2158" t="inlineStr">
        <is>
          <t>STRÖMSUND</t>
        </is>
      </c>
      <c r="I2158" t="n">
        <v>0.9</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55657-2023</t>
        </is>
      </c>
      <c r="B2159" t="inlineStr">
        <is>
          <t>avverkningsanmälan</t>
        </is>
      </c>
      <c r="C2159" t="inlineStr">
        <is>
          <t>Föryngringsavverkning</t>
        </is>
      </c>
      <c r="D2159" s="1" t="n">
        <v>45238</v>
      </c>
      <c r="E2159" s="1" t="n">
        <v>46318</v>
      </c>
      <c r="F2159" t="inlineStr">
        <is>
          <t>JÄMTLANDS LÄN</t>
        </is>
      </c>
      <c r="G2159" t="inlineStr">
        <is>
          <t>STRÖMSUND</t>
        </is>
      </c>
      <c r="H2159" t="inlineStr">
        <is>
          <t>SCA</t>
        </is>
      </c>
      <c r="I2159" t="n">
        <v>4.1</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32528-2022</t>
        </is>
      </c>
      <c r="B2160" t="inlineStr">
        <is>
          <t>avverkningsanmälan</t>
        </is>
      </c>
      <c r="C2160" t="inlineStr">
        <is>
          <t>Föryngringsavverkning</t>
        </is>
      </c>
      <c r="D2160" s="1" t="n">
        <v>44782</v>
      </c>
      <c r="E2160" s="1" t="n">
        <v>46318</v>
      </c>
      <c r="F2160" t="inlineStr">
        <is>
          <t>JÄMTLANDS LÄN</t>
        </is>
      </c>
      <c r="G2160" t="inlineStr">
        <is>
          <t>STRÖMSUND</t>
        </is>
      </c>
      <c r="H2160" t="inlineStr">
        <is>
          <t>SCA</t>
        </is>
      </c>
      <c r="I2160" t="n">
        <v>3.1</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50638-2024</t>
        </is>
      </c>
      <c r="B2161" t="inlineStr">
        <is>
          <t>avverkningsanmälan</t>
        </is>
      </c>
      <c r="C2161" t="inlineStr">
        <is>
          <t>Föryngringsavverkning</t>
        </is>
      </c>
      <c r="D2161" s="1" t="n">
        <v>45601</v>
      </c>
      <c r="E2161" s="1" t="n">
        <v>46318</v>
      </c>
      <c r="F2161" t="inlineStr">
        <is>
          <t>JÄMTLANDS LÄN</t>
        </is>
      </c>
      <c r="G2161" t="inlineStr">
        <is>
          <t>STRÖMSUND</t>
        </is>
      </c>
      <c r="H2161" t="inlineStr">
        <is>
          <t>SCA</t>
        </is>
      </c>
      <c r="I2161" t="n">
        <v>9.6</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S 1723-2024</t>
        </is>
      </c>
      <c r="B2162" t="inlineStr">
        <is>
          <t>samrådsanmälan</t>
        </is>
      </c>
      <c r="C2162" t="inlineStr">
        <is>
          <t>Annan skogsbruksåtgärd</t>
        </is>
      </c>
      <c r="D2162" s="1" t="n">
        <v>45434</v>
      </c>
      <c r="E2162" s="1" t="n">
        <v>46318</v>
      </c>
      <c r="F2162" t="inlineStr">
        <is>
          <t>JÄMTLANDS LÄN</t>
        </is>
      </c>
      <c r="G2162" t="inlineStr">
        <is>
          <t>STRÖMSUND</t>
        </is>
      </c>
      <c r="H2162" t="inlineStr">
        <is>
          <t>SCA</t>
        </is>
      </c>
      <c r="I2162" t="n">
        <v>6.1</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S 4036-2023</t>
        </is>
      </c>
      <c r="B2163" t="inlineStr">
        <is>
          <t>samrådsanmälan</t>
        </is>
      </c>
      <c r="C2163" t="inlineStr">
        <is>
          <t>Skogsgödsling</t>
        </is>
      </c>
      <c r="D2163" s="1" t="n">
        <v>45239</v>
      </c>
      <c r="E2163" s="1" t="n">
        <v>46318</v>
      </c>
      <c r="F2163" t="inlineStr">
        <is>
          <t>JÄMTLANDS LÄN</t>
        </is>
      </c>
      <c r="G2163" t="inlineStr">
        <is>
          <t>STRÖMSUND</t>
        </is>
      </c>
      <c r="H2163" t="inlineStr">
        <is>
          <t>Holmen skog AB</t>
        </is>
      </c>
      <c r="I2163" t="n">
        <v>81.09999999999999</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S 2153-2022</t>
        </is>
      </c>
      <c r="B2164" t="inlineStr">
        <is>
          <t>samrådsanmälan</t>
        </is>
      </c>
      <c r="C2164" t="inlineStr">
        <is>
          <t>Annan skogsbruksåtgärd</t>
        </is>
      </c>
      <c r="D2164" s="1" t="n">
        <v>44677</v>
      </c>
      <c r="E2164" s="1" t="n">
        <v>46318</v>
      </c>
      <c r="F2164" t="inlineStr">
        <is>
          <t>JÄMTLANDS LÄN</t>
        </is>
      </c>
      <c r="G2164" t="inlineStr">
        <is>
          <t>STRÖMSUND</t>
        </is>
      </c>
      <c r="H2164" t="inlineStr">
        <is>
          <t>Holmen skog AB</t>
        </is>
      </c>
      <c r="I2164" t="n">
        <v>9.5</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S 2155-2022</t>
        </is>
      </c>
      <c r="B2165" t="inlineStr">
        <is>
          <t>samrådsanmälan</t>
        </is>
      </c>
      <c r="C2165" t="inlineStr">
        <is>
          <t>Annan skogsbruksåtgärd</t>
        </is>
      </c>
      <c r="D2165" s="1" t="n">
        <v>44677</v>
      </c>
      <c r="E2165" s="1" t="n">
        <v>46318</v>
      </c>
      <c r="F2165" t="inlineStr">
        <is>
          <t>JÄMTLANDS LÄN</t>
        </is>
      </c>
      <c r="G2165" t="inlineStr">
        <is>
          <t>STRÖMSUND</t>
        </is>
      </c>
      <c r="I2165" t="n">
        <v>3.2</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S 9919-2021</t>
        </is>
      </c>
      <c r="B2166" t="inlineStr">
        <is>
          <t>samrådsanmälan</t>
        </is>
      </c>
      <c r="C2166" t="inlineStr">
        <is>
          <t>Skogsgödsling</t>
        </is>
      </c>
      <c r="D2166" s="1" t="n">
        <v>44531</v>
      </c>
      <c r="E2166" s="1" t="n">
        <v>46318</v>
      </c>
      <c r="F2166" t="inlineStr">
        <is>
          <t>JÄMTLANDS LÄN</t>
        </is>
      </c>
      <c r="G2166" t="inlineStr">
        <is>
          <t>STRÖMSUND</t>
        </is>
      </c>
      <c r="H2166" t="inlineStr">
        <is>
          <t>Holmen skog AB</t>
        </is>
      </c>
      <c r="I2166" t="n">
        <v>90.59999999999999</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S 4793-2024</t>
        </is>
      </c>
      <c r="B2167" t="inlineStr">
        <is>
          <t>samrådsanmälan</t>
        </is>
      </c>
      <c r="C2167" t="inlineStr">
        <is>
          <t>Annan skogsbruksåtgärd</t>
        </is>
      </c>
      <c r="D2167" s="1" t="n">
        <v>45612</v>
      </c>
      <c r="E2167" s="1" t="n">
        <v>46318</v>
      </c>
      <c r="F2167" t="inlineStr">
        <is>
          <t>JÄMTLANDS LÄN</t>
        </is>
      </c>
      <c r="G2167" t="inlineStr">
        <is>
          <t>STRÖMSUND</t>
        </is>
      </c>
      <c r="I2167" t="n">
        <v>0.1</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S 881-2022</t>
        </is>
      </c>
      <c r="B2168" t="inlineStr">
        <is>
          <t>samrådsanmälan</t>
        </is>
      </c>
      <c r="C2168" t="inlineStr">
        <is>
          <t>Skogsgödsling</t>
        </is>
      </c>
      <c r="D2168" s="1" t="n">
        <v>44606</v>
      </c>
      <c r="E2168" s="1" t="n">
        <v>46318</v>
      </c>
      <c r="F2168" t="inlineStr">
        <is>
          <t>JÄMTLANDS LÄN</t>
        </is>
      </c>
      <c r="G2168" t="inlineStr">
        <is>
          <t>STRÖMSUND</t>
        </is>
      </c>
      <c r="H2168" t="inlineStr">
        <is>
          <t>SCA</t>
        </is>
      </c>
      <c r="I2168" t="n">
        <v>51.5</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S 1573-2024</t>
        </is>
      </c>
      <c r="B2169" t="inlineStr">
        <is>
          <t>samrådsanmälan</t>
        </is>
      </c>
      <c r="C2169" t="inlineStr">
        <is>
          <t>Annan skogsbruksåtgärd</t>
        </is>
      </c>
      <c r="D2169" s="1" t="n">
        <v>45427</v>
      </c>
      <c r="E2169" s="1" t="n">
        <v>46318</v>
      </c>
      <c r="F2169" t="inlineStr">
        <is>
          <t>JÄMTLANDS LÄN</t>
        </is>
      </c>
      <c r="G2169" t="inlineStr">
        <is>
          <t>STRÖMSUND</t>
        </is>
      </c>
      <c r="H2169" t="inlineStr">
        <is>
          <t>SCA</t>
        </is>
      </c>
      <c r="I2169" t="n">
        <v>114.4</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S 10292-2021</t>
        </is>
      </c>
      <c r="B2170" t="inlineStr">
        <is>
          <t>samrådsanmälan</t>
        </is>
      </c>
      <c r="C2170" t="inlineStr">
        <is>
          <t>Annan skogsbruksåtgärd</t>
        </is>
      </c>
      <c r="D2170" s="1" t="n">
        <v>44547</v>
      </c>
      <c r="E2170" s="1" t="n">
        <v>46318</v>
      </c>
      <c r="F2170" t="inlineStr">
        <is>
          <t>JÄMTLANDS LÄN</t>
        </is>
      </c>
      <c r="G2170" t="inlineStr">
        <is>
          <t>STRÖMSUND</t>
        </is>
      </c>
      <c r="H2170" t="inlineStr">
        <is>
          <t>SCA</t>
        </is>
      </c>
      <c r="I2170" t="n">
        <v>5.8</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S 4877-2024</t>
        </is>
      </c>
      <c r="B2171" t="inlineStr">
        <is>
          <t>samrådsanmälan</t>
        </is>
      </c>
      <c r="C2171" t="inlineStr">
        <is>
          <t>Skogsgödsling</t>
        </is>
      </c>
      <c r="D2171" s="1" t="n">
        <v>45618</v>
      </c>
      <c r="E2171" s="1" t="n">
        <v>46318</v>
      </c>
      <c r="F2171" t="inlineStr">
        <is>
          <t>JÄMTLANDS LÄN</t>
        </is>
      </c>
      <c r="G2171" t="inlineStr">
        <is>
          <t>STRÖMSUND</t>
        </is>
      </c>
      <c r="I2171" t="n">
        <v>16.2</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S 2157-2022</t>
        </is>
      </c>
      <c r="B2172" t="inlineStr">
        <is>
          <t>samrådsanmälan</t>
        </is>
      </c>
      <c r="C2172" t="inlineStr">
        <is>
          <t>Annan skogsbruksåtgärd</t>
        </is>
      </c>
      <c r="D2172" s="1" t="n">
        <v>44677</v>
      </c>
      <c r="E2172" s="1" t="n">
        <v>46318</v>
      </c>
      <c r="F2172" t="inlineStr">
        <is>
          <t>JÄMTLANDS LÄN</t>
        </is>
      </c>
      <c r="G2172" t="inlineStr">
        <is>
          <t>STRÖMSUND</t>
        </is>
      </c>
      <c r="I2172" t="n">
        <v>3.6</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S 9110-2021</t>
        </is>
      </c>
      <c r="B2173" t="inlineStr">
        <is>
          <t>samrådsanmälan</t>
        </is>
      </c>
      <c r="C2173" t="inlineStr">
        <is>
          <t>Åtgärd i nyckelbiotop</t>
        </is>
      </c>
      <c r="D2173" s="1" t="n">
        <v>44511</v>
      </c>
      <c r="E2173" s="1" t="n">
        <v>46318</v>
      </c>
      <c r="F2173" t="inlineStr">
        <is>
          <t>JÄMTLANDS LÄN</t>
        </is>
      </c>
      <c r="G2173" t="inlineStr">
        <is>
          <t>STRÖMSUND</t>
        </is>
      </c>
      <c r="H2173" t="inlineStr">
        <is>
          <t>SCA</t>
        </is>
      </c>
      <c r="I2173" t="n">
        <v>2</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S 1053-2025</t>
        </is>
      </c>
      <c r="B2174" t="inlineStr">
        <is>
          <t>samrådsanmälan</t>
        </is>
      </c>
      <c r="C2174" t="inlineStr">
        <is>
          <t>Skogsgödsling</t>
        </is>
      </c>
      <c r="D2174" s="1" t="n">
        <v>45748</v>
      </c>
      <c r="E2174" s="1" t="n">
        <v>46318</v>
      </c>
      <c r="F2174" t="inlineStr">
        <is>
          <t>JÄMTLANDS LÄN</t>
        </is>
      </c>
      <c r="G2174" t="inlineStr">
        <is>
          <t>STRÖMSUND</t>
        </is>
      </c>
      <c r="I2174" t="n">
        <v>17.8</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S 1054-2025</t>
        </is>
      </c>
      <c r="B2175" t="inlineStr">
        <is>
          <t>samrådsanmälan</t>
        </is>
      </c>
      <c r="C2175" t="inlineStr">
        <is>
          <t>Skogsgödsling</t>
        </is>
      </c>
      <c r="D2175" s="1" t="n">
        <v>45748</v>
      </c>
      <c r="E2175" s="1" t="n">
        <v>46318</v>
      </c>
      <c r="F2175" t="inlineStr">
        <is>
          <t>JÄMTLANDS LÄN</t>
        </is>
      </c>
      <c r="G2175" t="inlineStr">
        <is>
          <t>STRÖMSUND</t>
        </is>
      </c>
      <c r="I2175" t="n">
        <v>12.8</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S 1056-2025</t>
        </is>
      </c>
      <c r="B2176" t="inlineStr">
        <is>
          <t>samrådsanmälan</t>
        </is>
      </c>
      <c r="C2176" t="inlineStr">
        <is>
          <t>Skogsgödsling</t>
        </is>
      </c>
      <c r="D2176" s="1" t="n">
        <v>45748</v>
      </c>
      <c r="E2176" s="1" t="n">
        <v>46318</v>
      </c>
      <c r="F2176" t="inlineStr">
        <is>
          <t>JÄMTLANDS LÄN</t>
        </is>
      </c>
      <c r="G2176" t="inlineStr">
        <is>
          <t>STRÖMSUND</t>
        </is>
      </c>
      <c r="I2176" t="n">
        <v>21.6</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S 1055-2025</t>
        </is>
      </c>
      <c r="B2177" t="inlineStr">
        <is>
          <t>samrådsanmälan</t>
        </is>
      </c>
      <c r="C2177" t="inlineStr">
        <is>
          <t>Skogsgödsling</t>
        </is>
      </c>
      <c r="D2177" s="1" t="n">
        <v>45748</v>
      </c>
      <c r="E2177" s="1" t="n">
        <v>46318</v>
      </c>
      <c r="F2177" t="inlineStr">
        <is>
          <t>JÄMTLANDS LÄN</t>
        </is>
      </c>
      <c r="G2177" t="inlineStr">
        <is>
          <t>STRÖMSUND</t>
        </is>
      </c>
      <c r="I2177" t="n">
        <v>6.1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S 1086-2025</t>
        </is>
      </c>
      <c r="B2178" t="inlineStr">
        <is>
          <t>samrådsanmälan</t>
        </is>
      </c>
      <c r="C2178" t="inlineStr">
        <is>
          <t>Skogsgödsling</t>
        </is>
      </c>
      <c r="D2178" s="1" t="n">
        <v>45750</v>
      </c>
      <c r="E2178" s="1" t="n">
        <v>46318</v>
      </c>
      <c r="F2178" t="inlineStr">
        <is>
          <t>JÄMTLANDS LÄN</t>
        </is>
      </c>
      <c r="G2178" t="inlineStr">
        <is>
          <t>STRÖMSUND</t>
        </is>
      </c>
      <c r="I2178" t="n">
        <v>14.6</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S 1105-2025</t>
        </is>
      </c>
      <c r="B2179" t="inlineStr">
        <is>
          <t>samrådsanmälan</t>
        </is>
      </c>
      <c r="C2179" t="inlineStr">
        <is>
          <t>Skogsgödsling</t>
        </is>
      </c>
      <c r="D2179" s="1" t="n">
        <v>45751</v>
      </c>
      <c r="E2179" s="1" t="n">
        <v>46318</v>
      </c>
      <c r="F2179" t="inlineStr">
        <is>
          <t>JÄMTLANDS LÄN</t>
        </is>
      </c>
      <c r="G2179" t="inlineStr">
        <is>
          <t>STRÖMSUND</t>
        </is>
      </c>
      <c r="I2179" t="n">
        <v>92.5</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S 1118-2025</t>
        </is>
      </c>
      <c r="B2180" t="inlineStr">
        <is>
          <t>samrådsanmälan</t>
        </is>
      </c>
      <c r="C2180" t="inlineStr">
        <is>
          <t>Skogsgödsling</t>
        </is>
      </c>
      <c r="D2180" s="1" t="n">
        <v>45751</v>
      </c>
      <c r="E2180" s="1" t="n">
        <v>46318</v>
      </c>
      <c r="F2180" t="inlineStr">
        <is>
          <t>JÄMTLANDS LÄN</t>
        </is>
      </c>
      <c r="G2180" t="inlineStr">
        <is>
          <t>STRÖMSUND</t>
        </is>
      </c>
      <c r="H2180" t="inlineStr">
        <is>
          <t>SCA</t>
        </is>
      </c>
      <c r="I2180" t="n">
        <v>93.90000000000001</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S 1288-2025</t>
        </is>
      </c>
      <c r="B2181" t="inlineStr">
        <is>
          <t>samrådsanmälan</t>
        </is>
      </c>
      <c r="C2181" t="inlineStr">
        <is>
          <t>Annan skogsbruksåtgärd</t>
        </is>
      </c>
      <c r="D2181" s="1" t="n">
        <v>45769</v>
      </c>
      <c r="E2181" s="1" t="n">
        <v>46318</v>
      </c>
      <c r="F2181" t="inlineStr">
        <is>
          <t>JÄMTLANDS LÄN</t>
        </is>
      </c>
      <c r="G2181" t="inlineStr">
        <is>
          <t>STRÖMSUND</t>
        </is>
      </c>
      <c r="H2181" t="inlineStr">
        <is>
          <t>SCA</t>
        </is>
      </c>
      <c r="I2181" t="n">
        <v>16.5</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S 1312-2025</t>
        </is>
      </c>
      <c r="B2182" t="inlineStr">
        <is>
          <t>samrådsanmälan</t>
        </is>
      </c>
      <c r="C2182" t="inlineStr">
        <is>
          <t>Annan skogsbruksåtgärd</t>
        </is>
      </c>
      <c r="D2182" s="1" t="n">
        <v>45770</v>
      </c>
      <c r="E2182" s="1" t="n">
        <v>46318</v>
      </c>
      <c r="F2182" t="inlineStr">
        <is>
          <t>JÄMTLANDS LÄN</t>
        </is>
      </c>
      <c r="G2182" t="inlineStr">
        <is>
          <t>STRÖMSUND</t>
        </is>
      </c>
      <c r="H2182" t="inlineStr">
        <is>
          <t>SCA</t>
        </is>
      </c>
      <c r="I2182" t="n">
        <v>15.2</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S 1674-2025</t>
        </is>
      </c>
      <c r="B2183" t="inlineStr">
        <is>
          <t>samrådsanmälan</t>
        </is>
      </c>
      <c r="C2183" t="inlineStr">
        <is>
          <t>Annan skogsbruksåtgärd</t>
        </is>
      </c>
      <c r="D2183" s="1" t="n">
        <v>45803</v>
      </c>
      <c r="E2183" s="1" t="n">
        <v>46318</v>
      </c>
      <c r="F2183" t="inlineStr">
        <is>
          <t>JÄMTLANDS LÄN</t>
        </is>
      </c>
      <c r="G2183" t="inlineStr">
        <is>
          <t>STRÖMSUND</t>
        </is>
      </c>
      <c r="H2183" t="inlineStr">
        <is>
          <t>SCA</t>
        </is>
      </c>
      <c r="I2183" t="n">
        <v>6.4</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S 1977-2025</t>
        </is>
      </c>
      <c r="B2184" t="inlineStr">
        <is>
          <t>samrådsanmälan</t>
        </is>
      </c>
      <c r="C2184" t="inlineStr">
        <is>
          <t>Annan skogsbruksåtgärd</t>
        </is>
      </c>
      <c r="D2184" s="1" t="n">
        <v>45831</v>
      </c>
      <c r="E2184" s="1" t="n">
        <v>46318</v>
      </c>
      <c r="F2184" t="inlineStr">
        <is>
          <t>JÄMTLANDS LÄN</t>
        </is>
      </c>
      <c r="G2184" t="inlineStr">
        <is>
          <t>STRÖMSUND</t>
        </is>
      </c>
      <c r="I2184" t="n">
        <v>0.2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S 2509-2025</t>
        </is>
      </c>
      <c r="B2185" t="inlineStr">
        <is>
          <t>samrådsanmälan</t>
        </is>
      </c>
      <c r="C2185" t="inlineStr">
        <is>
          <t>Traktorväg</t>
        </is>
      </c>
      <c r="D2185" s="1" t="n">
        <v>45905</v>
      </c>
      <c r="E2185" s="1" t="n">
        <v>46318</v>
      </c>
      <c r="F2185" t="inlineStr">
        <is>
          <t>JÄMTLANDS LÄN</t>
        </is>
      </c>
      <c r="G2185" t="inlineStr">
        <is>
          <t>STRÖMSUND</t>
        </is>
      </c>
      <c r="I2185" t="n">
        <v>12.6</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S 2689-2025</t>
        </is>
      </c>
      <c r="B2186" t="inlineStr">
        <is>
          <t>samrådsanmälan</t>
        </is>
      </c>
      <c r="C2186" t="inlineStr">
        <is>
          <t>Annan skogsbruksåtgärd</t>
        </is>
      </c>
      <c r="D2186" s="1" t="n">
        <v>45924</v>
      </c>
      <c r="E2186" s="1" t="n">
        <v>46318</v>
      </c>
      <c r="F2186" t="inlineStr">
        <is>
          <t>JÄMTLANDS LÄN</t>
        </is>
      </c>
      <c r="G2186" t="inlineStr">
        <is>
          <t>STRÖMSUND</t>
        </is>
      </c>
      <c r="I2186" t="n">
        <v>3.7</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S 600-2025</t>
        </is>
      </c>
      <c r="B2187" t="inlineStr">
        <is>
          <t>samrådsanmälan</t>
        </is>
      </c>
      <c r="C2187" t="inlineStr">
        <is>
          <t>Skogsgödsling</t>
        </is>
      </c>
      <c r="D2187" s="1" t="n">
        <v>45713</v>
      </c>
      <c r="E2187" s="1" t="n">
        <v>46318</v>
      </c>
      <c r="F2187" t="inlineStr">
        <is>
          <t>JÄMTLANDS LÄN</t>
        </is>
      </c>
      <c r="G2187" t="inlineStr">
        <is>
          <t>STRÖMSUND</t>
        </is>
      </c>
      <c r="I2187" t="n">
        <v>6.4</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S 218-2025</t>
        </is>
      </c>
      <c r="B2188" t="inlineStr">
        <is>
          <t>samrådsanmälan</t>
        </is>
      </c>
      <c r="C2188" t="inlineStr">
        <is>
          <t>Skogsgödsling</t>
        </is>
      </c>
      <c r="D2188" s="1" t="n">
        <v>45679</v>
      </c>
      <c r="E2188" s="1" t="n">
        <v>46318</v>
      </c>
      <c r="F2188" t="inlineStr">
        <is>
          <t>JÄMTLANDS LÄN</t>
        </is>
      </c>
      <c r="G2188" t="inlineStr">
        <is>
          <t>STRÖMSUND</t>
        </is>
      </c>
      <c r="I2188" t="n">
        <v>19.8</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S 1153-2026</t>
        </is>
      </c>
      <c r="B2189" t="inlineStr">
        <is>
          <t>samrådsanmälan</t>
        </is>
      </c>
      <c r="C2189" t="inlineStr">
        <is>
          <t>Annan skogsbruksåtgärd</t>
        </is>
      </c>
      <c r="D2189" s="1" t="n">
        <v>46134</v>
      </c>
      <c r="E2189" s="1" t="n">
        <v>46318</v>
      </c>
      <c r="F2189" t="inlineStr">
        <is>
          <t>JÄMTLANDS LÄN</t>
        </is>
      </c>
      <c r="G2189" t="inlineStr">
        <is>
          <t>STRÖMSUND</t>
        </is>
      </c>
      <c r="H2189" t="inlineStr">
        <is>
          <t>SCA</t>
        </is>
      </c>
      <c r="I2189" t="n">
        <v>1</v>
      </c>
      <c r="J2189" t="n">
        <v>0</v>
      </c>
      <c r="K2189" t="n">
        <v>0</v>
      </c>
      <c r="L2189" t="n">
        <v>0</v>
      </c>
      <c r="M2189" t="n">
        <v>0</v>
      </c>
      <c r="N2189" t="n">
        <v>0</v>
      </c>
      <c r="O2189" t="n">
        <v>0</v>
      </c>
      <c r="P2189" t="n">
        <v>0</v>
      </c>
      <c r="Q2189" t="n">
        <v>0</v>
      </c>
      <c r="R2189" t="n">
        <v>0</v>
      </c>
      <c r="S2189" t="n">
        <v>0</v>
      </c>
      <c r="T2189" t="n">
        <v>0</v>
      </c>
      <c r="U2189" t="n">
        <v>0</v>
      </c>
      <c r="V2189" s="2" t="inlineStr"/>
    </row>
    <row r="2190">
      <c r="A2190" t="inlineStr">
        <is>
          <t>S 1550-2026</t>
        </is>
      </c>
      <c r="B2190" t="inlineStr">
        <is>
          <t>samrådsanmälan</t>
        </is>
      </c>
      <c r="C2190" t="inlineStr">
        <is>
          <t>Skogsgödsling</t>
        </is>
      </c>
      <c r="D2190" s="1" t="n">
        <v>46168</v>
      </c>
      <c r="E2190" s="1" t="n">
        <v>46318</v>
      </c>
      <c r="F2190" t="inlineStr">
        <is>
          <t>JÄMTLANDS LÄN</t>
        </is>
      </c>
      <c r="G2190" t="inlineStr">
        <is>
          <t>STRÖMSUND</t>
        </is>
      </c>
      <c r="I2190" t="n">
        <v>20</v>
      </c>
      <c r="J2190" t="n">
        <v>0</v>
      </c>
      <c r="K2190" t="n">
        <v>0</v>
      </c>
      <c r="L2190" t="n">
        <v>0</v>
      </c>
      <c r="M2190" t="n">
        <v>0</v>
      </c>
      <c r="N2190" t="n">
        <v>0</v>
      </c>
      <c r="O2190" t="n">
        <v>0</v>
      </c>
      <c r="P2190" t="n">
        <v>0</v>
      </c>
      <c r="Q2190" t="n">
        <v>0</v>
      </c>
      <c r="R2190" t="n">
        <v>0</v>
      </c>
      <c r="S2190" t="n">
        <v>0</v>
      </c>
      <c r="T2190" t="n">
        <v>0</v>
      </c>
      <c r="U2190" t="n">
        <v>0</v>
      </c>
      <c r="V219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2026-10-23T01:57:48Z</dcterms:created>
  <dcterms:modified xmlns:dcterms="http://purl.org/dc/terms/" xmlns:xsi="http://www.w3.org/2001/XMLSchema-instance" xsi:type="dcterms:W3CDTF">2026-10-23T01:57:51Z</dcterms:modified>
</cp:coreProperties>
</file>